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1Learning\Data Analysis\Career\Guided Projects\Excel Projects\Furniture Sales\"/>
    </mc:Choice>
  </mc:AlternateContent>
  <xr:revisionPtr revIDLastSave="0" documentId="13_ncr:1_{C99769E7-3668-4726-9363-76ED26229CFB}" xr6:coauthVersionLast="47" xr6:coauthVersionMax="47" xr10:uidLastSave="{00000000-0000-0000-0000-000000000000}"/>
  <bookViews>
    <workbookView xWindow="-120" yWindow="-120" windowWidth="20730" windowHeight="11040" xr2:uid="{75DE1A42-26F1-4B6B-93DD-B3F06EB9922A}"/>
  </bookViews>
  <sheets>
    <sheet name="Furniture_Sales" sheetId="2" r:id="rId1"/>
    <sheet name="Analysis" sheetId="1" r:id="rId2"/>
    <sheet name="Visualization" sheetId="3" r:id="rId3"/>
  </sheets>
  <definedNames>
    <definedName name="_xlchart.v5.0" hidden="1">Analysis!$D$33</definedName>
    <definedName name="_xlchart.v5.1" hidden="1">Analysis!$D$34:$D$81</definedName>
    <definedName name="_xlchart.v5.2" hidden="1">Analysis!$E$33</definedName>
    <definedName name="_xlchart.v5.3" hidden="1">Analysis!$E$34:$E$81</definedName>
    <definedName name="ExternalData_1" localSheetId="0" hidden="1">Furniture_Sales!$A$1:$T$2122</definedName>
    <definedName name="Profit">Analysis!$H$6</definedName>
    <definedName name="Profityoy">Analysis!$M$6</definedName>
    <definedName name="proft">Analysis!$I$6</definedName>
    <definedName name="Quantity">Analysis!$H$7</definedName>
    <definedName name="Quantityyoy">Analysis!$M$7</definedName>
    <definedName name="qunatyty">Analysis!$I$7</definedName>
    <definedName name="sale">Analysis!$I$5</definedName>
    <definedName name="Sales">Analysis!$H$5</definedName>
    <definedName name="Salesyoy">Analysis!$M$5</definedName>
    <definedName name="Slicer_Region">#N/A</definedName>
    <definedName name="Slicer_Segment">#N/A</definedName>
  </definedNames>
  <calcPr calcId="191029"/>
  <pivotCaches>
    <pivotCache cacheId="5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1" l="1" a="1"/>
  <c r="I50" i="1" s="1"/>
  <c r="G48" i="1"/>
  <c r="J14" i="1" a="1"/>
  <c r="J14" i="1" s="1"/>
  <c r="G24" i="1"/>
  <c r="D34" i="1" a="1"/>
  <c r="D34" i="1" s="1"/>
  <c r="I7" i="1"/>
  <c r="I6" i="1"/>
  <c r="G38" i="1"/>
  <c r="H12" i="1"/>
  <c r="B15" i="1"/>
  <c r="K49" i="1" l="1"/>
  <c r="K51" i="1" s="1"/>
  <c r="L13" i="1"/>
  <c r="K7" i="1"/>
  <c r="K6" i="1"/>
  <c r="K5" i="1"/>
  <c r="J7" i="1"/>
  <c r="J6" i="1"/>
  <c r="J5" i="1"/>
  <c r="I5" i="1"/>
  <c r="L5" i="1" l="1"/>
  <c r="M5" i="1" s="1"/>
  <c r="L7" i="1"/>
  <c r="M7" i="1" s="1"/>
  <c r="L17" i="1"/>
  <c r="L18" i="1"/>
  <c r="L15" i="1"/>
  <c r="L14" i="1"/>
  <c r="L16" i="1"/>
  <c r="L6" i="1"/>
  <c r="M6" i="1" s="1"/>
  <c r="K52" i="1"/>
  <c r="K53" i="1"/>
  <c r="K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BB9031-C643-46C5-80F8-3B96F927DFD8}"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<sst xmlns="http://schemas.openxmlformats.org/spreadsheetml/2006/main" count="29838" uniqueCount="4428">
  <si>
    <t>Order ID</t>
  </si>
  <si>
    <t>Order Date</t>
  </si>
  <si>
    <t>Ship Date</t>
  </si>
  <si>
    <t>Ship Mode</t>
  </si>
  <si>
    <t>Customer ID</t>
  </si>
  <si>
    <t>Customer Name</t>
  </si>
  <si>
    <t>Segment</t>
  </si>
  <si>
    <t>City</t>
  </si>
  <si>
    <t>State</t>
  </si>
  <si>
    <t>Region</t>
  </si>
  <si>
    <t>Product ID</t>
  </si>
  <si>
    <t>Category</t>
  </si>
  <si>
    <t>Sub-Category</t>
  </si>
  <si>
    <t>Product Name</t>
  </si>
  <si>
    <t>Sales</t>
  </si>
  <si>
    <t>Quantity</t>
  </si>
  <si>
    <t>Profit</t>
  </si>
  <si>
    <t>Duration</t>
  </si>
  <si>
    <t>Year</t>
  </si>
  <si>
    <t>Month</t>
  </si>
  <si>
    <t>CA-2016-152156</t>
  </si>
  <si>
    <t>Second Class</t>
  </si>
  <si>
    <t>CG-12520</t>
  </si>
  <si>
    <t>Claire Gute</t>
  </si>
  <si>
    <t>Consumer</t>
  </si>
  <si>
    <t>Henderson</t>
  </si>
  <si>
    <t>Kentucky</t>
  </si>
  <si>
    <t>South</t>
  </si>
  <si>
    <t>FUR-BO-10001798</t>
  </si>
  <si>
    <t>Furniture</t>
  </si>
  <si>
    <t>Bookcases</t>
  </si>
  <si>
    <t>Bush Somerset Collection Bookcase</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</si>
  <si>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</si>
  <si>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</si>
  <si>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</si>
  <si>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</si>
  <si>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</si>
  <si>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</si>
  <si>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</si>
  <si>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</si>
  <si>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</si>
  <si>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</si>
  <si>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</si>
  <si>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</si>
  <si>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</si>
  <si>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Oct</t>
  </si>
  <si>
    <t>CA-2014-115812</t>
  </si>
  <si>
    <t>BH-11710</t>
  </si>
  <si>
    <t>Brosina Hoffman</t>
  </si>
  <si>
    <t>Los Angeles</t>
  </si>
  <si>
    <t>California</t>
  </si>
  <si>
    <t>West</t>
  </si>
  <si>
    <t>FUR-FU-10001487</t>
  </si>
  <si>
    <t>Furnishings</t>
  </si>
  <si>
    <t>Eldon Expressions Wood and Plastic Desk Accessories, Cherry Wood</t>
  </si>
  <si>
    <t>Jun</t>
  </si>
  <si>
    <t>FUR-TA-10001539</t>
  </si>
  <si>
    <t>Chromcraft Rectangular Conference Tables</t>
  </si>
  <si>
    <t>US-2017-156909</t>
  </si>
  <si>
    <t>SF-20065</t>
  </si>
  <si>
    <t>Sandra Flanagan</t>
  </si>
  <si>
    <t>Philadelphia</t>
  </si>
  <si>
    <t>Pennsylvania</t>
  </si>
  <si>
    <t>East</t>
  </si>
  <si>
    <t>FUR-CH-10002774</t>
  </si>
  <si>
    <t>Global Deluxe Stacking Chair, Gray</t>
  </si>
  <si>
    <t>Jul</t>
  </si>
  <si>
    <t>CA-2015-106320</t>
  </si>
  <si>
    <t>EB-13870</t>
  </si>
  <si>
    <t>Emily Burns</t>
  </si>
  <si>
    <t>Orem</t>
  </si>
  <si>
    <t>Utah</t>
  </si>
  <si>
    <t>Sep</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</si>
  <si>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</si>
  <si>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</si>
  <si>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</si>
  <si>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</si>
  <si>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</si>
  <si>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</si>
  <si>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</si>
  <si>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</si>
  <si>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</si>
  <si>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</si>
  <si>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</si>
  <si>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</si>
  <si>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</si>
  <si>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</si>
  <si>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</si>
  <si>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</si>
  <si>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</si>
  <si>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</si>
  <si>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</si>
  <si>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</si>
  <si>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</si>
  <si>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</si>
  <si>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</si>
  <si>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</si>
  <si>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</si>
  <si>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</si>
  <si>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</si>
  <si>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</si>
  <si>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</si>
  <si>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</si>
  <si>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</si>
  <si>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</si>
  <si>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</si>
  <si>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</si>
  <si>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</si>
  <si>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</si>
  <si>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</si>
  <si>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</si>
  <si>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</si>
  <si>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</si>
  <si>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</si>
  <si>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</si>
  <si>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</si>
  <si>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</si>
  <si>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</si>
  <si>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</si>
  <si>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</si>
  <si>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</si>
  <si>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</si>
  <si>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</si>
  <si>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</si>
  <si>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</si>
  <si>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</si>
  <si>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</si>
  <si>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</si>
  <si>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</si>
  <si>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</si>
  <si>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</si>
  <si>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</si>
  <si>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</si>
  <si>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</si>
  <si>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</si>
  <si>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</si>
  <si>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</si>
  <si>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</si>
  <si>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</si>
  <si>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</si>
  <si>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</si>
  <si>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</si>
  <si>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</si>
  <si>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</si>
  <si>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</si>
  <si>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</si>
  <si>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</si>
  <si>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</si>
  <si>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</si>
  <si>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</si>
  <si>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</si>
  <si>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</si>
  <si>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</si>
  <si>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</si>
  <si>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</si>
  <si>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</si>
  <si>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</si>
  <si>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</si>
  <si>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</si>
  <si>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</si>
  <si>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</si>
  <si>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</si>
  <si>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</si>
  <si>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</si>
  <si>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</si>
  <si>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</si>
  <si>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</si>
  <si>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</si>
  <si>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</si>
  <si>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</si>
  <si>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</si>
  <si>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</si>
  <si>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</si>
  <si>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</si>
  <si>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</si>
  <si>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</si>
  <si>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</si>
  <si>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</si>
  <si>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</si>
  <si>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</si>
  <si>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</si>
  <si>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</si>
  <si>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</si>
  <si>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</si>
  <si>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</si>
  <si>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</si>
  <si>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</si>
  <si>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</si>
  <si>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</si>
  <si>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</si>
  <si>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</si>
  <si>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</si>
  <si>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</si>
  <si>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</si>
  <si>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</si>
  <si>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</si>
  <si>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</si>
  <si>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</si>
  <si>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</si>
  <si>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</si>
  <si>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</si>
  <si>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</si>
  <si>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</si>
  <si>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</si>
  <si>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</si>
  <si>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</si>
  <si>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</si>
  <si>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</si>
  <si>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</si>
  <si>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</si>
  <si>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</si>
  <si>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</si>
  <si>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</si>
  <si>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</si>
  <si>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</si>
  <si>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</si>
  <si>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</si>
  <si>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</si>
  <si>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</si>
  <si>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</si>
  <si>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</si>
  <si>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</si>
  <si>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</si>
  <si>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</si>
  <si>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</si>
  <si>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</si>
  <si>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</si>
  <si>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</si>
  <si>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</si>
  <si>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</si>
  <si>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</si>
  <si>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</si>
  <si>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</si>
  <si>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</si>
  <si>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</si>
  <si>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</si>
  <si>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</si>
  <si>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</si>
  <si>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</si>
  <si>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</si>
  <si>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</si>
  <si>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</si>
  <si>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</si>
  <si>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</si>
  <si>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</si>
  <si>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</si>
  <si>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</si>
  <si>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</si>
  <si>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</si>
  <si>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</si>
  <si>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</si>
  <si>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</si>
  <si>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</si>
  <si>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</si>
  <si>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</si>
  <si>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</si>
  <si>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</si>
  <si>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</si>
  <si>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</si>
  <si>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</si>
  <si>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</si>
  <si>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</si>
  <si>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</si>
  <si>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</si>
  <si>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</si>
  <si>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</si>
  <si>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</si>
  <si>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</si>
  <si>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</si>
  <si>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</si>
  <si>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</si>
  <si>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</si>
  <si>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</si>
  <si>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</si>
  <si>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</si>
  <si>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</si>
  <si>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</si>
  <si>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</si>
  <si>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</si>
  <si>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</si>
  <si>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</si>
  <si>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</si>
  <si>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</si>
  <si>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</si>
  <si>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</si>
  <si>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</si>
  <si>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</si>
  <si>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</si>
  <si>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</si>
  <si>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</si>
  <si>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</si>
  <si>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</si>
  <si>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</si>
  <si>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</si>
  <si>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</si>
  <si>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</si>
  <si>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</si>
  <si>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</si>
  <si>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</si>
  <si>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</si>
  <si>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</si>
  <si>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</si>
  <si>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</si>
  <si>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</si>
  <si>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</si>
  <si>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</si>
  <si>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</si>
  <si>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</si>
  <si>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</si>
  <si>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</si>
  <si>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</si>
  <si>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</si>
  <si>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</si>
  <si>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</si>
  <si>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</si>
  <si>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</si>
  <si>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</si>
  <si>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</si>
  <si>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</si>
  <si>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</si>
  <si>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</si>
  <si>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</si>
  <si>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</si>
  <si>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</si>
  <si>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</si>
  <si>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</si>
  <si>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</si>
  <si>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</si>
  <si>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</si>
  <si>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</si>
  <si>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</si>
  <si>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</si>
  <si>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</si>
  <si>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</si>
  <si>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</si>
  <si>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</si>
  <si>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</si>
  <si>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</si>
  <si>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</si>
  <si>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</si>
  <si>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</si>
  <si>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</si>
  <si>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</si>
  <si>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</si>
  <si>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</si>
  <si>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</si>
  <si>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</si>
  <si>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</si>
  <si>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</si>
  <si>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</si>
  <si>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</si>
  <si>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</si>
  <si>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</si>
  <si>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</si>
  <si>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</si>
  <si>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</si>
  <si>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</si>
  <si>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</si>
  <si>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</si>
  <si>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</si>
  <si>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</si>
  <si>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</si>
  <si>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</si>
  <si>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</si>
  <si>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</si>
  <si>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</si>
  <si>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</si>
  <si>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</si>
  <si>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</si>
  <si>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</si>
  <si>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</si>
  <si>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</si>
  <si>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</si>
  <si>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</si>
  <si>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</si>
  <si>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</si>
  <si>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</si>
  <si>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</si>
  <si>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</si>
  <si>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</si>
  <si>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</si>
  <si>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</si>
  <si>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</si>
  <si>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</si>
  <si>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</si>
  <si>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</si>
  <si>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</si>
  <si>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</si>
  <si>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</si>
  <si>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</si>
  <si>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</si>
  <si>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</si>
  <si>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</si>
  <si>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</si>
  <si>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</si>
  <si>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</si>
  <si>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</si>
  <si>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</si>
  <si>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</si>
  <si>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</si>
  <si>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</si>
  <si>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</si>
  <si>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</si>
  <si>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</si>
  <si>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</si>
  <si>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</si>
  <si>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</si>
  <si>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</si>
  <si>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</si>
  <si>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</si>
  <si>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</si>
  <si>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</si>
  <si>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</si>
  <si>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</si>
  <si>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</si>
  <si>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</si>
  <si>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</si>
  <si>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</si>
  <si>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</si>
  <si>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</si>
  <si>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</si>
  <si>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</si>
  <si>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</si>
  <si>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</si>
  <si>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</si>
  <si>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</si>
  <si>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</si>
  <si>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</si>
  <si>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</si>
  <si>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</si>
  <si>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</si>
  <si>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</si>
  <si>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</si>
  <si>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</si>
  <si>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</si>
  <si>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</si>
  <si>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</si>
  <si>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</si>
  <si>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</si>
  <si>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</si>
  <si>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</si>
  <si>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</si>
  <si>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</si>
  <si>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</si>
  <si>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</si>
  <si>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</si>
  <si>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</si>
  <si>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</si>
  <si>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</si>
  <si>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</si>
  <si>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</si>
  <si>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</si>
  <si>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</si>
  <si>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</si>
  <si>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</si>
  <si>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</si>
  <si>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</si>
  <si>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</si>
  <si>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</si>
  <si>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</si>
  <si>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</si>
  <si>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</si>
  <si>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</si>
  <si>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</si>
  <si>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</si>
  <si>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</si>
  <si>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</si>
  <si>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</si>
  <si>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</si>
  <si>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</si>
  <si>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</si>
  <si>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</si>
  <si>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</si>
  <si>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</si>
  <si>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</si>
  <si>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</si>
  <si>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</si>
  <si>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</si>
  <si>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</si>
  <si>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</si>
  <si>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</si>
  <si>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</si>
  <si>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</si>
  <si>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</si>
  <si>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</si>
  <si>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</si>
  <si>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</si>
  <si>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</si>
  <si>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</si>
  <si>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</si>
  <si>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</si>
  <si>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</si>
  <si>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</si>
  <si>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</si>
  <si>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</si>
  <si>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</si>
  <si>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</si>
  <si>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</si>
  <si>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</si>
  <si>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</si>
  <si>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</si>
  <si>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</si>
  <si>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</si>
  <si>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</si>
  <si>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</si>
  <si>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</si>
  <si>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</si>
  <si>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</si>
  <si>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</si>
  <si>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</si>
  <si>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</si>
  <si>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</si>
  <si>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</si>
  <si>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</si>
  <si>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</si>
  <si>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</si>
  <si>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</si>
  <si>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</si>
  <si>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</si>
  <si>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</si>
  <si>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</si>
  <si>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</si>
  <si>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</si>
  <si>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</si>
  <si>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</si>
  <si>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</si>
  <si>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</si>
  <si>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</si>
  <si>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</si>
  <si>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</si>
  <si>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</si>
  <si>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</si>
  <si>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</si>
  <si>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</si>
  <si>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</si>
  <si>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</si>
  <si>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</si>
  <si>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</si>
  <si>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</si>
  <si>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</si>
  <si>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</si>
  <si>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</si>
  <si>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</si>
  <si>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</si>
  <si>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</si>
  <si>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</si>
  <si>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</si>
  <si>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</si>
  <si>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</si>
  <si>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</si>
  <si>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</si>
  <si>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</si>
  <si>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</si>
  <si>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</si>
  <si>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</si>
  <si>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</si>
  <si>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</si>
  <si>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</si>
  <si>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</si>
  <si>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</si>
  <si>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</si>
  <si>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</si>
  <si>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</si>
  <si>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</si>
  <si>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</si>
  <si>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</si>
  <si>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</si>
  <si>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</si>
  <si>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</si>
  <si>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</si>
  <si>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</si>
  <si>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</si>
  <si>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</si>
  <si>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</si>
  <si>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</si>
  <si>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</si>
  <si>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</si>
  <si>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</si>
  <si>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</si>
  <si>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</si>
  <si>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</si>
  <si>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</si>
  <si>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</si>
  <si>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</si>
  <si>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</si>
  <si>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</si>
  <si>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</si>
  <si>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</si>
  <si>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</si>
  <si>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</si>
  <si>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</si>
  <si>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</si>
  <si>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</si>
  <si>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</si>
  <si>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</si>
  <si>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</si>
  <si>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</si>
  <si>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</si>
  <si>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</si>
  <si>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</si>
  <si>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</si>
  <si>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</si>
  <si>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</si>
  <si>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</si>
  <si>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</si>
  <si>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</si>
  <si>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</si>
  <si>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</si>
  <si>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</si>
  <si>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</si>
  <si>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</si>
  <si>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</si>
  <si>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</si>
  <si>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</si>
  <si>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</si>
  <si>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</si>
  <si>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</si>
  <si>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</si>
  <si>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</si>
  <si>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</si>
  <si>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</si>
  <si>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</si>
  <si>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</si>
  <si>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</si>
  <si>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</si>
  <si>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</si>
  <si>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</si>
  <si>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</si>
  <si>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</si>
  <si>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</si>
  <si>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</si>
  <si>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</si>
  <si>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</si>
  <si>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</si>
  <si>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</si>
  <si>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</si>
  <si>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</si>
  <si>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</si>
  <si>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</si>
  <si>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</si>
  <si>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</si>
  <si>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</si>
  <si>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</si>
  <si>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</si>
  <si>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</si>
  <si>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</si>
  <si>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</si>
  <si>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</si>
  <si>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</si>
  <si>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</si>
  <si>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</si>
  <si>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</si>
  <si>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</si>
  <si>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</si>
  <si>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</si>
  <si>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</si>
  <si>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</si>
  <si>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</si>
  <si>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</si>
  <si>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</si>
  <si>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</si>
  <si>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</si>
  <si>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</si>
  <si>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</si>
  <si>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</si>
  <si>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</si>
  <si>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</si>
  <si>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</si>
  <si>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</si>
  <si>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</si>
  <si>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</si>
  <si>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</si>
  <si>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</si>
  <si>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</si>
  <si>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</si>
  <si>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</si>
  <si>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</si>
  <si>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</si>
  <si>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</si>
  <si>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</si>
  <si>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</si>
  <si>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</si>
  <si>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</si>
  <si>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</si>
  <si>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</si>
  <si>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</si>
  <si>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</si>
  <si>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</si>
  <si>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</si>
  <si>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</si>
  <si>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</si>
  <si>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</si>
  <si>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</si>
  <si>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</si>
  <si>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</si>
  <si>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</si>
  <si>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</si>
  <si>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</si>
  <si>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</si>
  <si>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</si>
  <si>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</si>
  <si>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</si>
  <si>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</si>
  <si>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</si>
  <si>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</si>
  <si>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</si>
  <si>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</si>
  <si>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</si>
  <si>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</si>
  <si>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</si>
  <si>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</si>
  <si>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</si>
  <si>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</si>
  <si>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</si>
  <si>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</si>
  <si>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</si>
  <si>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</si>
  <si>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</si>
  <si>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</si>
  <si>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</si>
  <si>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</si>
  <si>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</si>
  <si>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</si>
  <si>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</si>
  <si>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</si>
  <si>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</si>
  <si>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</si>
  <si>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</si>
  <si>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</si>
  <si>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</si>
  <si>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</si>
  <si>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</si>
  <si>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</si>
  <si>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</si>
  <si>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</si>
  <si>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</si>
  <si>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</si>
  <si>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</si>
  <si>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</si>
  <si>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</si>
  <si>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</si>
  <si>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</si>
  <si>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</si>
  <si>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</si>
  <si>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</si>
  <si>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</si>
  <si>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</si>
  <si>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</si>
  <si>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</si>
  <si>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</si>
  <si>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</si>
  <si>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</si>
  <si>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</si>
  <si>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</si>
  <si>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</si>
  <si>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</si>
  <si>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</si>
  <si>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</si>
  <si>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</si>
  <si>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</si>
  <si>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</si>
  <si>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</si>
  <si>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</si>
  <si>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</si>
  <si>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</si>
  <si>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</si>
  <si>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</si>
  <si>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</si>
  <si>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</si>
  <si>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</si>
  <si>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</si>
  <si>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</si>
  <si>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</si>
  <si>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</si>
  <si>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</si>
  <si>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</si>
  <si>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</si>
  <si>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</si>
  <si>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</si>
  <si>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</si>
  <si>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</si>
  <si>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</si>
  <si>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</si>
  <si>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</si>
  <si>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</si>
  <si>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</si>
  <si>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</si>
  <si>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</si>
  <si>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</si>
  <si>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</si>
  <si>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</si>
  <si>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</si>
  <si>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</si>
  <si>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</si>
  <si>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</si>
  <si>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</si>
  <si>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</si>
  <si>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</si>
  <si>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</si>
  <si>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</si>
  <si>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</si>
  <si>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</si>
  <si>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</si>
  <si>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</si>
  <si>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</si>
  <si>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</si>
  <si>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</si>
  <si>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</si>
  <si>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</si>
  <si>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</si>
  <si>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</si>
  <si>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</si>
  <si>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</si>
  <si>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</si>
  <si>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</si>
  <si>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</si>
  <si>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</si>
  <si>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</si>
  <si>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</si>
  <si>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</si>
  <si>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</si>
  <si>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</si>
  <si>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</si>
  <si>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</si>
  <si>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</si>
  <si>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</si>
  <si>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</si>
  <si>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</si>
  <si>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</si>
  <si>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</si>
  <si>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</si>
  <si>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</si>
  <si>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</si>
  <si>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</si>
  <si>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</si>
  <si>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</si>
  <si>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</si>
  <si>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</si>
  <si>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</si>
  <si>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</si>
  <si>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</si>
  <si>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</si>
  <si>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</si>
  <si>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</si>
  <si>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</si>
  <si>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</si>
  <si>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</si>
  <si>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</si>
  <si>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</si>
  <si>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</si>
  <si>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</si>
  <si>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</si>
  <si>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</si>
  <si>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</si>
  <si>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</si>
  <si>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</si>
  <si>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</si>
  <si>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</si>
  <si>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</si>
  <si>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</si>
  <si>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</si>
  <si>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</si>
  <si>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</si>
  <si>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</si>
  <si>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</si>
  <si>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</si>
  <si>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</si>
  <si>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</si>
  <si>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</si>
  <si>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</si>
  <si>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</si>
  <si>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</si>
  <si>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</si>
  <si>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</si>
  <si>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</si>
  <si>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</si>
  <si>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</si>
  <si>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</si>
  <si>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</si>
  <si>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</si>
  <si>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</si>
  <si>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</si>
  <si>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</si>
  <si>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</si>
  <si>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</si>
  <si>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</si>
  <si>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</si>
  <si>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</si>
  <si>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</si>
  <si>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</si>
  <si>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</si>
  <si>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</si>
  <si>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</si>
  <si>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</si>
  <si>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</si>
  <si>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</si>
  <si>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</si>
  <si>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</si>
  <si>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</si>
  <si>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</si>
  <si>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</si>
  <si>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</si>
  <si>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</si>
  <si>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</si>
  <si>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</si>
  <si>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</si>
  <si>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</si>
  <si>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</si>
  <si>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</si>
  <si>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</si>
  <si>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</si>
  <si>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</si>
  <si>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</si>
  <si>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</si>
  <si>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</si>
  <si>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</si>
  <si>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</si>
  <si>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</si>
  <si>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</si>
  <si>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</si>
  <si>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</si>
  <si>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</si>
  <si>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</si>
  <si>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</si>
  <si>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</si>
  <si>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</si>
  <si>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</si>
  <si>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</si>
  <si>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</si>
  <si>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</si>
  <si>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</si>
  <si>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</si>
  <si>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</si>
  <si>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</si>
  <si>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</si>
  <si>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</si>
  <si>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</si>
  <si>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</si>
  <si>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</si>
  <si>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</si>
  <si>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</si>
  <si>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</si>
  <si>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</si>
  <si>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</si>
  <si>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</si>
  <si>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</si>
  <si>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</si>
  <si>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</si>
  <si>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</si>
  <si>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</si>
  <si>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</si>
  <si>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</si>
  <si>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</si>
  <si>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</si>
  <si>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</si>
  <si>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</si>
  <si>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</si>
  <si>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</si>
  <si>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</si>
  <si>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</si>
  <si>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</si>
  <si>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</si>
  <si>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</si>
  <si>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</si>
  <si>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</si>
  <si>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</si>
  <si>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</si>
  <si>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</si>
  <si>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</si>
  <si>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</si>
  <si>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</si>
  <si>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</si>
  <si>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</si>
  <si>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</si>
  <si>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</si>
  <si>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</si>
  <si>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</si>
  <si>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</si>
  <si>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</si>
  <si>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</si>
  <si>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</si>
  <si>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</si>
  <si>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</si>
  <si>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</si>
  <si>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</si>
  <si>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</si>
  <si>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</si>
  <si>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</si>
  <si>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</si>
  <si>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</si>
  <si>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</si>
  <si>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</si>
  <si>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</si>
  <si>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</si>
  <si>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</si>
  <si>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</si>
  <si>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</si>
  <si>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</si>
  <si>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</si>
  <si>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</si>
  <si>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</si>
  <si>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</si>
  <si>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</si>
  <si>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</si>
  <si>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</si>
  <si>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</si>
  <si>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</si>
  <si>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</si>
  <si>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</si>
  <si>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</si>
  <si>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</si>
  <si>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</si>
  <si>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</si>
  <si>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</si>
  <si>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</si>
  <si>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</si>
  <si>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</si>
  <si>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</si>
  <si>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</si>
  <si>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</si>
  <si>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</si>
  <si>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</si>
  <si>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</si>
  <si>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</si>
  <si>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</si>
  <si>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</si>
  <si>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</si>
  <si>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</si>
  <si>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</si>
  <si>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</si>
  <si>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</si>
  <si>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</si>
  <si>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</si>
  <si>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</si>
  <si>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</si>
  <si>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</si>
  <si>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</si>
  <si>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</si>
  <si>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</si>
  <si>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</si>
  <si>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</si>
  <si>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</si>
  <si>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</si>
  <si>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</si>
  <si>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</si>
  <si>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</si>
  <si>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</si>
  <si>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</si>
  <si>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</si>
  <si>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</si>
  <si>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</si>
  <si>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</si>
  <si>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</si>
  <si>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</si>
  <si>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</si>
  <si>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</si>
  <si>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</si>
  <si>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</si>
  <si>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</si>
  <si>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</si>
  <si>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</si>
  <si>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</si>
  <si>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</si>
  <si>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</si>
  <si>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</si>
  <si>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</si>
  <si>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</si>
  <si>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</si>
  <si>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</si>
  <si>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</si>
  <si>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</si>
  <si>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</si>
  <si>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</si>
  <si>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</si>
  <si>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</si>
  <si>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</si>
  <si>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</si>
  <si>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</si>
  <si>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</si>
  <si>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</si>
  <si>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</si>
  <si>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</si>
  <si>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</si>
  <si>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</si>
  <si>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</si>
  <si>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</si>
  <si>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</si>
  <si>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</si>
  <si>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</si>
  <si>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</si>
  <si>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</si>
  <si>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</si>
  <si>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</si>
  <si>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</si>
  <si>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</si>
  <si>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</si>
  <si>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</si>
  <si>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</si>
  <si>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</si>
  <si>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</si>
  <si>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</si>
  <si>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</si>
  <si>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</si>
  <si>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</si>
  <si>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</si>
  <si>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</si>
  <si>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</si>
  <si>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</si>
  <si>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</si>
  <si>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</si>
  <si>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</si>
  <si>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</si>
  <si>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</si>
  <si>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</si>
  <si>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</si>
  <si>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</si>
  <si>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</si>
  <si>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</si>
  <si>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</si>
  <si>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</si>
  <si>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</si>
  <si>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</si>
  <si>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</si>
  <si>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</si>
  <si>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</si>
  <si>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</si>
  <si>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</si>
  <si>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</si>
  <si>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</si>
  <si>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</si>
  <si>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</si>
  <si>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</si>
  <si>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</si>
  <si>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</si>
  <si>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</si>
  <si>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</si>
  <si>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</si>
  <si>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</si>
  <si>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</si>
  <si>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</si>
  <si>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</si>
  <si>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</si>
  <si>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</si>
  <si>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</si>
  <si>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</si>
  <si>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</si>
  <si>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</si>
  <si>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</si>
  <si>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</si>
  <si>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</si>
  <si>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</si>
  <si>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</si>
  <si>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</si>
  <si>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</si>
  <si>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</si>
  <si>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</si>
  <si>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</si>
  <si>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</si>
  <si>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</si>
  <si>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</si>
  <si>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</si>
  <si>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</si>
  <si>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</si>
  <si>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</si>
  <si>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</si>
  <si>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</si>
  <si>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</si>
  <si>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</si>
  <si>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</si>
  <si>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</si>
  <si>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</si>
  <si>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</si>
  <si>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</si>
  <si>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</si>
  <si>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</si>
  <si>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</si>
  <si>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</si>
  <si>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</si>
  <si>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</si>
  <si>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</si>
  <si>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</si>
  <si>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</si>
  <si>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</si>
  <si>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</si>
  <si>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</si>
  <si>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</si>
  <si>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</si>
  <si>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</si>
  <si>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</si>
  <si>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</si>
  <si>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</si>
  <si>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</si>
  <si>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</si>
  <si>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</si>
  <si>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</si>
  <si>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</si>
  <si>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</si>
  <si>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</si>
  <si>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</si>
  <si>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</si>
  <si>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</si>
  <si>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</si>
  <si>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</si>
  <si>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</si>
  <si>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</si>
  <si>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</si>
  <si>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</si>
  <si>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</si>
  <si>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</si>
  <si>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</si>
  <si>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</si>
  <si>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</si>
  <si>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</si>
  <si>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</si>
  <si>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</si>
  <si>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</si>
  <si>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</si>
  <si>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</si>
  <si>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</si>
  <si>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</si>
  <si>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</si>
  <si>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</si>
  <si>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</si>
  <si>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</si>
  <si>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</si>
  <si>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</si>
  <si>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</si>
  <si>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</si>
  <si>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</si>
  <si>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</si>
  <si>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</si>
  <si>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</si>
  <si>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</si>
  <si>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</si>
  <si>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</si>
  <si>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</si>
  <si>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</si>
  <si>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</si>
  <si>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</si>
  <si>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</si>
  <si>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</si>
  <si>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</si>
  <si>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</si>
  <si>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</si>
  <si>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</si>
  <si>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</si>
  <si>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</si>
  <si>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</si>
  <si>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</si>
  <si>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</si>
  <si>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</si>
  <si>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</si>
  <si>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</si>
  <si>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</si>
  <si>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</si>
  <si>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</si>
  <si>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</si>
  <si>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</si>
  <si>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</si>
  <si>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</si>
  <si>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</si>
  <si>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</si>
  <si>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</si>
  <si>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</si>
  <si>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</si>
  <si>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</si>
  <si>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</si>
  <si>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</si>
  <si>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</si>
  <si>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</si>
  <si>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</si>
  <si>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</si>
  <si>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</si>
  <si>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</si>
  <si>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</si>
  <si>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</si>
  <si>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</si>
  <si>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</si>
  <si>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</si>
  <si>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</si>
  <si>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</si>
  <si>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</si>
  <si>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</si>
  <si>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</si>
  <si>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</si>
  <si>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</si>
  <si>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</si>
  <si>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</si>
  <si>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</si>
  <si>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</si>
  <si>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</si>
  <si>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</si>
  <si>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</si>
  <si>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</si>
  <si>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</si>
  <si>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</si>
  <si>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</si>
  <si>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</si>
  <si>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</si>
  <si>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</si>
  <si>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</si>
  <si>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</si>
  <si>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</si>
  <si>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</si>
  <si>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</si>
  <si>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</si>
  <si>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</si>
  <si>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</si>
  <si>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</si>
  <si>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</si>
  <si>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</si>
  <si>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</si>
  <si>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</si>
  <si>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</si>
  <si>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</si>
  <si>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</si>
  <si>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</si>
  <si>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</si>
  <si>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</si>
  <si>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</si>
  <si>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</si>
  <si>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</si>
  <si>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</si>
  <si>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</si>
  <si>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</si>
  <si>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</si>
  <si>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</si>
  <si>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</si>
  <si>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</si>
  <si>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</si>
  <si>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</si>
  <si>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</si>
  <si>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</si>
  <si>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</si>
  <si>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</si>
  <si>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</si>
  <si>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</si>
  <si>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</si>
  <si>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</si>
  <si>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</si>
  <si>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</si>
  <si>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</si>
  <si>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</si>
  <si>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</si>
  <si>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</si>
  <si>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</si>
  <si>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</si>
  <si>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</si>
  <si>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</si>
  <si>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</si>
  <si>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</si>
  <si>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</si>
  <si>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</si>
  <si>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</si>
  <si>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</si>
  <si>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</si>
  <si>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</si>
  <si>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</si>
  <si>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</si>
  <si>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</si>
  <si>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</si>
  <si>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</si>
  <si>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</si>
  <si>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</si>
  <si>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</si>
  <si>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</si>
  <si>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</si>
  <si>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</si>
  <si>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</si>
  <si>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</si>
  <si>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</si>
  <si>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</si>
  <si>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</si>
  <si>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</si>
  <si>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</si>
  <si>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</si>
  <si>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</si>
  <si>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</si>
  <si>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</si>
  <si>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</si>
  <si>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</si>
  <si>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</si>
  <si>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</si>
  <si>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</si>
  <si>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</si>
  <si>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</si>
  <si>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</si>
  <si>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</si>
  <si>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</si>
  <si>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</si>
  <si>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</si>
  <si>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</si>
  <si>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</si>
  <si>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</si>
  <si>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</si>
  <si>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</si>
  <si>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</si>
  <si>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</si>
  <si>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</si>
  <si>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</si>
  <si>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</si>
  <si>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</si>
  <si>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</si>
  <si>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</si>
  <si>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</si>
  <si>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</si>
  <si>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</si>
  <si>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</si>
  <si>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</si>
  <si>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</si>
  <si>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</si>
  <si>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</si>
  <si>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</si>
  <si>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</si>
  <si>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</si>
  <si>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</si>
  <si>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</si>
  <si>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</si>
  <si>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</si>
  <si>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</si>
  <si>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</si>
  <si>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</si>
  <si>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</si>
  <si>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</si>
  <si>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</si>
  <si>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</si>
  <si>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</si>
  <si>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</si>
  <si>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</si>
  <si>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</si>
  <si>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</si>
  <si>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</si>
  <si>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</si>
  <si>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</si>
  <si>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</si>
  <si>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</si>
  <si>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</si>
  <si>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</si>
  <si>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</si>
  <si>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</si>
  <si>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</si>
  <si>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</si>
  <si>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</si>
  <si>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</si>
  <si>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</si>
  <si>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</si>
  <si>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</si>
  <si>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</si>
  <si>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</si>
  <si>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</si>
  <si>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</si>
  <si>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</si>
  <si>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</si>
  <si>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</si>
  <si>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</si>
  <si>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</si>
  <si>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</si>
  <si>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</si>
  <si>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</si>
  <si>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</si>
  <si>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</si>
  <si>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</si>
  <si>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</si>
  <si>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</si>
  <si>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</si>
  <si>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</si>
  <si>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</si>
  <si>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</si>
  <si>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</si>
  <si>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</si>
  <si>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</si>
  <si>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</si>
  <si>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</si>
  <si>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</si>
  <si>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</si>
  <si>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</si>
  <si>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</si>
  <si>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</si>
  <si>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</si>
  <si>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</si>
  <si>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</si>
  <si>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</si>
  <si>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</si>
  <si>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</si>
  <si>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</si>
  <si>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</si>
  <si>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</si>
  <si>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</si>
  <si>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</si>
  <si>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</si>
  <si>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</si>
  <si>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</si>
  <si>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</si>
  <si>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</si>
  <si>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</si>
  <si>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</si>
  <si>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</si>
  <si>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</si>
  <si>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</si>
  <si>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</si>
  <si>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</si>
  <si>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</si>
  <si>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</si>
  <si>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</si>
  <si>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</si>
  <si>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</si>
  <si>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</si>
  <si>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</si>
  <si>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</si>
  <si>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</si>
  <si>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</si>
  <si>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</si>
  <si>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</si>
  <si>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</si>
  <si>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</si>
  <si>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</si>
  <si>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</si>
  <si>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</si>
  <si>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</si>
  <si>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</si>
  <si>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</si>
  <si>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</si>
  <si>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</si>
  <si>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</si>
  <si>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</si>
  <si>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</si>
  <si>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</si>
  <si>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</si>
  <si>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</si>
  <si>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</si>
  <si>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</si>
  <si>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</si>
  <si>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</si>
  <si>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</si>
  <si>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</si>
  <si>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</si>
  <si>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</si>
  <si>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</si>
  <si>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</si>
  <si>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</si>
  <si>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</si>
  <si>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</si>
  <si>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</si>
  <si>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</si>
  <si>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</si>
  <si>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</si>
  <si>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</si>
  <si>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</si>
  <si>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</si>
  <si>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</si>
  <si>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</si>
  <si>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</si>
  <si>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</si>
  <si>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</si>
  <si>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</si>
  <si>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</si>
  <si>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</si>
  <si>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</si>
  <si>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</si>
  <si>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</si>
  <si>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</si>
  <si>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</si>
  <si>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</si>
  <si>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</si>
  <si>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</si>
  <si>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</si>
  <si>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</si>
  <si>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</si>
  <si>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</si>
  <si>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</si>
  <si>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</si>
  <si>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</si>
  <si>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</si>
  <si>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</si>
  <si>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</si>
  <si>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</si>
  <si>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</si>
  <si>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</si>
  <si>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</si>
  <si>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</si>
  <si>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</si>
  <si>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</si>
  <si>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</si>
  <si>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</si>
  <si>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</si>
  <si>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</si>
  <si>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</si>
  <si>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</si>
  <si>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</si>
  <si>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</si>
  <si>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</si>
  <si>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</si>
  <si>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</si>
  <si>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</si>
  <si>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</si>
  <si>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</si>
  <si>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</si>
  <si>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</si>
  <si>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</si>
  <si>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</si>
  <si>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</si>
  <si>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</si>
  <si>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</si>
  <si>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</si>
  <si>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</si>
  <si>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</si>
  <si>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</si>
  <si>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</si>
  <si>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</si>
  <si>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</si>
  <si>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</si>
  <si>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</si>
  <si>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</si>
  <si>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</si>
  <si>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</si>
  <si>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</si>
  <si>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</si>
  <si>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</si>
  <si>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</si>
  <si>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</si>
  <si>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</si>
  <si>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</si>
  <si>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</si>
  <si>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</si>
  <si>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</si>
  <si>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</si>
  <si>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</si>
  <si>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</si>
  <si>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</si>
  <si>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</si>
  <si>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</si>
  <si>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</si>
  <si>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</si>
  <si>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</si>
  <si>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</si>
  <si>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</si>
  <si>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</si>
  <si>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</si>
  <si>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</si>
  <si>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</si>
  <si>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</si>
  <si>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</si>
  <si>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</si>
  <si>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</si>
  <si>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</si>
  <si>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</si>
  <si>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</si>
  <si>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</si>
  <si>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</si>
  <si>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</si>
  <si>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</si>
  <si>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</si>
  <si>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</si>
  <si>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</si>
  <si>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</si>
  <si>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</si>
  <si>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</si>
  <si>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</si>
  <si>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</si>
  <si>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</si>
  <si>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</si>
  <si>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</si>
  <si>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</si>
  <si>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</si>
  <si>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</si>
  <si>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</si>
  <si>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</si>
  <si>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</si>
  <si>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</si>
  <si>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</si>
  <si>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</si>
  <si>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</si>
  <si>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</si>
  <si>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</si>
  <si>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</si>
  <si>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</si>
  <si>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</si>
  <si>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</si>
  <si>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</si>
  <si>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</si>
  <si>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</si>
  <si>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</si>
  <si>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</si>
  <si>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</si>
  <si>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</si>
  <si>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</si>
  <si>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</si>
  <si>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</si>
  <si>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</si>
  <si>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</si>
  <si>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</si>
  <si>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</si>
  <si>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</si>
  <si>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</si>
  <si>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</si>
  <si>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</si>
  <si>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</si>
  <si>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</si>
  <si>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</si>
  <si>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</si>
  <si>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</si>
  <si>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</si>
  <si>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</si>
  <si>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</si>
  <si>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</si>
  <si>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</si>
  <si>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</si>
  <si>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</si>
  <si>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</si>
  <si>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</si>
  <si>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</si>
  <si>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</si>
  <si>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</si>
  <si>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</si>
  <si>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</si>
  <si>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</si>
  <si>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</si>
  <si>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</si>
  <si>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</si>
  <si>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</si>
  <si>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</si>
  <si>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</si>
  <si>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</si>
  <si>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</si>
  <si>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</si>
  <si>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</si>
  <si>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</si>
  <si>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</si>
  <si>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</si>
  <si>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</si>
  <si>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</si>
  <si>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</si>
  <si>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</si>
  <si>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</si>
  <si>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</si>
  <si>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</si>
  <si>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</si>
  <si>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</si>
  <si>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</si>
  <si>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</si>
  <si>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</si>
  <si>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</si>
  <si>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</si>
  <si>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</si>
  <si>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</si>
  <si>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</si>
  <si>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</si>
  <si>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</si>
  <si>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</si>
  <si>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</si>
  <si>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</si>
  <si>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</si>
  <si>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</si>
  <si>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</si>
  <si>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</si>
  <si>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</si>
  <si>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</si>
  <si>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</si>
  <si>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</si>
  <si>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</si>
  <si>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</si>
  <si>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</si>
  <si>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</si>
  <si>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</si>
  <si>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</si>
  <si>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</si>
  <si>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</si>
  <si>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</si>
  <si>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</si>
  <si>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</si>
  <si>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</si>
  <si>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</si>
  <si>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</si>
  <si>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</si>
  <si>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</si>
  <si>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</si>
  <si>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</si>
  <si>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</si>
  <si>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</si>
  <si>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</si>
  <si>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</si>
  <si>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</si>
  <si>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</si>
  <si>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</si>
  <si>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</si>
  <si>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</si>
  <si>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</si>
  <si>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</si>
  <si>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</si>
  <si>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</si>
  <si>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</si>
  <si>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</si>
  <si>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</si>
  <si>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</si>
  <si>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</si>
  <si>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</si>
  <si>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</si>
  <si>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</si>
  <si>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</si>
  <si>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</si>
  <si>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</si>
  <si>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</si>
  <si>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</si>
  <si>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</si>
  <si>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</si>
  <si>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</si>
  <si>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</si>
  <si>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</si>
  <si>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</si>
  <si>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</si>
  <si>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</si>
  <si>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</si>
  <si>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</si>
  <si>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</si>
  <si>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</si>
  <si>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</si>
  <si>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</si>
  <si>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</si>
  <si>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</si>
  <si>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</si>
  <si>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</si>
  <si>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</si>
  <si>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</si>
  <si>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</si>
  <si>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</si>
  <si>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</si>
  <si>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</si>
  <si>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</si>
  <si>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</si>
  <si>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</si>
  <si>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</si>
  <si>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</si>
  <si>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</si>
  <si>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</si>
  <si>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</si>
  <si>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</si>
  <si>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</si>
  <si>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</si>
  <si>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</si>
  <si>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</si>
  <si>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</si>
  <si>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</si>
  <si>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</si>
  <si>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</si>
  <si>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</si>
  <si>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</si>
  <si>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</si>
  <si>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</si>
  <si>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</si>
  <si>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</si>
  <si>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</si>
  <si>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</si>
  <si>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</si>
  <si>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</si>
  <si>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</si>
  <si>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</si>
  <si>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</si>
  <si>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</si>
  <si>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</si>
  <si>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</si>
  <si>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</si>
  <si>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</si>
  <si>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</si>
  <si>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</si>
  <si>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</si>
  <si>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</si>
  <si>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</si>
  <si>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</si>
  <si>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</si>
  <si>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</si>
  <si>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</si>
  <si>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</si>
  <si>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</si>
  <si>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</si>
  <si>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</si>
  <si>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</si>
  <si>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</si>
  <si>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</si>
  <si>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</si>
  <si>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</si>
  <si>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</si>
  <si>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</si>
  <si>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</si>
  <si>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</si>
  <si>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</si>
  <si>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</si>
  <si>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</si>
  <si>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</si>
  <si>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</si>
  <si>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</si>
  <si>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</si>
  <si>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</si>
  <si>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</si>
  <si>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</si>
  <si>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</si>
  <si>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</si>
  <si>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</si>
  <si>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</si>
  <si>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</si>
  <si>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</si>
  <si>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</si>
  <si>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</si>
  <si>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</si>
  <si>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</si>
  <si>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</si>
  <si>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</si>
  <si>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</si>
  <si>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</si>
  <si>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</si>
  <si>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</si>
  <si>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</si>
  <si>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</si>
  <si>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</si>
  <si>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</si>
  <si>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</si>
  <si>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</si>
  <si>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</si>
  <si>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</si>
  <si>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</si>
  <si>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</si>
  <si>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</si>
  <si>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</si>
  <si>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</si>
  <si>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</si>
  <si>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</si>
  <si>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</si>
  <si>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</si>
  <si>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</si>
  <si>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</si>
  <si>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</si>
  <si>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</si>
  <si>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</si>
  <si>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</si>
  <si>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</si>
  <si>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</si>
  <si>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</si>
  <si>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</si>
  <si>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</si>
  <si>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</si>
  <si>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</si>
  <si>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</si>
  <si>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</si>
  <si>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</si>
  <si>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</si>
  <si>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</si>
  <si>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</si>
  <si>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</si>
  <si>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</si>
  <si>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</si>
  <si>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</si>
  <si>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</si>
  <si>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</si>
  <si>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</si>
  <si>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</si>
  <si>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</si>
  <si>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</si>
  <si>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</si>
  <si>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</si>
  <si>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</si>
  <si>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</si>
  <si>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</si>
  <si>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</si>
  <si>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</si>
  <si>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</si>
  <si>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</si>
  <si>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</si>
  <si>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</si>
  <si>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</si>
  <si>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</si>
  <si>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</si>
  <si>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</si>
  <si>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</si>
  <si>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</si>
  <si>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</si>
  <si>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</si>
  <si>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</si>
  <si>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</si>
  <si>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</si>
  <si>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</si>
  <si>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</si>
  <si>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</si>
  <si>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</si>
  <si>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</si>
  <si>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</si>
  <si>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</si>
  <si>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</si>
  <si>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</si>
  <si>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</si>
  <si>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</si>
  <si>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</si>
  <si>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</si>
  <si>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</si>
  <si>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</si>
  <si>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</si>
  <si>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</si>
  <si>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</si>
  <si>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</si>
  <si>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</si>
  <si>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</si>
  <si>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</si>
  <si>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</si>
  <si>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</si>
  <si>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</si>
  <si>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</si>
  <si>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</si>
  <si>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</si>
  <si>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</si>
  <si>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</si>
  <si>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</si>
  <si>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</si>
  <si>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</si>
  <si>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</si>
  <si>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</si>
  <si>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</si>
  <si>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</si>
  <si>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</si>
  <si>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</si>
  <si>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</si>
  <si>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</si>
  <si>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</si>
  <si>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</si>
  <si>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</si>
  <si>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</si>
  <si>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</si>
  <si>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</si>
  <si>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</si>
  <si>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</si>
  <si>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</si>
  <si>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</si>
  <si>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</si>
  <si>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</si>
  <si>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</si>
  <si>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</si>
  <si>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</si>
  <si>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</si>
  <si>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</si>
  <si>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</si>
  <si>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</si>
  <si>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</si>
  <si>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</si>
  <si>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</si>
  <si>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</si>
  <si>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</si>
  <si>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</si>
  <si>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</si>
  <si>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</si>
  <si>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</si>
  <si>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</si>
  <si>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</si>
  <si>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</si>
  <si>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</si>
  <si>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</si>
  <si>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</si>
  <si>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</si>
  <si>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</si>
  <si>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</si>
  <si>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</si>
  <si>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</si>
  <si>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</si>
  <si>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</si>
  <si>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</si>
  <si>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</si>
  <si>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</si>
  <si>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</si>
  <si>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</si>
  <si>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</si>
  <si>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</si>
  <si>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</si>
  <si>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</si>
  <si>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</si>
  <si>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</si>
  <si>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</si>
  <si>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</si>
  <si>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</si>
  <si>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</si>
  <si>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</si>
  <si>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</si>
  <si>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</si>
  <si>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</si>
  <si>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</si>
  <si>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</si>
  <si>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</si>
  <si>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</si>
  <si>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</si>
  <si>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</si>
  <si>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</si>
  <si>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</si>
  <si>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</si>
  <si>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</si>
  <si>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</si>
  <si>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</si>
  <si>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</si>
  <si>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</si>
  <si>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</si>
  <si>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</si>
  <si>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</si>
  <si>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</si>
  <si>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</si>
  <si>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</si>
  <si>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</si>
  <si>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</si>
  <si>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</si>
  <si>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</si>
  <si>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</si>
  <si>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</si>
  <si>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</si>
  <si>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</si>
  <si>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</si>
  <si>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</si>
  <si>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</si>
  <si>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</si>
  <si>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</si>
  <si>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</si>
  <si>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</si>
  <si>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</si>
  <si>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</si>
  <si>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</si>
  <si>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</si>
  <si>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</si>
  <si>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</si>
  <si>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</si>
  <si>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</si>
  <si>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</si>
  <si>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</si>
  <si>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</si>
  <si>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</si>
  <si>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</si>
  <si>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</si>
  <si>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</si>
  <si>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</si>
  <si>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</si>
  <si>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</si>
  <si>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</si>
  <si>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</si>
  <si>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</si>
  <si>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</si>
  <si>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</si>
  <si>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</si>
  <si>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</si>
  <si>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</si>
  <si>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</si>
  <si>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</si>
  <si>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</si>
  <si>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</si>
  <si>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</si>
  <si>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</si>
  <si>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</si>
  <si>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</si>
  <si>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</si>
  <si>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</si>
  <si>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</si>
  <si>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</si>
  <si>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</si>
  <si>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</si>
  <si>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</si>
  <si>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</si>
  <si>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</si>
  <si>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</si>
  <si>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</si>
  <si>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</si>
  <si>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</si>
  <si>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</si>
  <si>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</si>
  <si>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</si>
  <si>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</si>
  <si>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</si>
  <si>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</si>
  <si>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</si>
  <si>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</si>
  <si>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</si>
  <si>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</si>
  <si>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</si>
  <si>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</si>
  <si>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</si>
  <si>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</si>
  <si>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</si>
  <si>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</si>
  <si>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</si>
  <si>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</si>
  <si>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</si>
  <si>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</si>
  <si>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</si>
  <si>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</si>
  <si>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</si>
  <si>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</si>
  <si>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</si>
  <si>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</si>
  <si>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</si>
  <si>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</si>
  <si>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</si>
  <si>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</si>
  <si>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</si>
  <si>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</si>
  <si>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</si>
  <si>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</si>
  <si>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</si>
  <si>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</si>
  <si>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</si>
  <si>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</si>
  <si>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</si>
  <si>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</si>
  <si>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</si>
  <si>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</si>
  <si>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</si>
  <si>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</si>
  <si>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</si>
  <si>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</si>
  <si>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</si>
  <si>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</si>
  <si>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</si>
  <si>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</si>
  <si>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</si>
  <si>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</si>
  <si>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</si>
  <si>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</si>
  <si>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</si>
  <si>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</si>
  <si>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</si>
  <si>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</si>
  <si>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</si>
  <si>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</si>
  <si>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</si>
  <si>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</si>
  <si>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</si>
  <si>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</si>
  <si>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</si>
  <si>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</si>
  <si>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</si>
  <si>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</si>
  <si>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</si>
  <si>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</si>
  <si>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</si>
  <si>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</si>
  <si>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</si>
  <si>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</si>
  <si>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</si>
  <si>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</si>
  <si>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</si>
  <si>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</si>
  <si>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</si>
  <si>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</si>
  <si>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</si>
  <si>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</si>
  <si>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</si>
  <si>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</si>
  <si>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</si>
  <si>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</si>
  <si>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</si>
  <si>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</si>
  <si>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</si>
  <si>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</si>
  <si>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</si>
  <si>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</si>
  <si>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</si>
  <si>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</si>
  <si>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</si>
  <si>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</si>
  <si>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</si>
  <si>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</si>
  <si>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</si>
  <si>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</si>
  <si>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</si>
  <si>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</si>
  <si>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</si>
  <si>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</si>
  <si>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</si>
  <si>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</si>
  <si>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</si>
  <si>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</si>
  <si>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</si>
  <si>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</si>
  <si>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</si>
  <si>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</si>
  <si>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</si>
  <si>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</si>
  <si>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</si>
  <si>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</si>
  <si>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</si>
  <si>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</si>
  <si>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</si>
  <si>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</si>
  <si>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</si>
  <si>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</si>
  <si>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</si>
  <si>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</si>
  <si>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</si>
  <si>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</si>
  <si>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</si>
  <si>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</si>
  <si>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</si>
  <si>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</si>
  <si>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</si>
  <si>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</si>
  <si>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</si>
  <si>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</si>
  <si>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</si>
  <si>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</si>
  <si>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</si>
  <si>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</si>
  <si>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</si>
  <si>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</si>
  <si>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</si>
  <si>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</si>
  <si>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</si>
  <si>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</si>
  <si>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</si>
  <si>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</si>
  <si>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</si>
  <si>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</si>
  <si>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</si>
  <si>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</si>
  <si>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</si>
  <si>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</si>
  <si>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</si>
  <si>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</si>
  <si>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</si>
  <si>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</si>
  <si>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</si>
  <si>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</si>
  <si>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</si>
  <si>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</si>
  <si>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</si>
  <si>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</si>
  <si>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</si>
  <si>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</si>
  <si>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</si>
  <si>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</si>
  <si>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</si>
  <si>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</si>
  <si>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</si>
  <si>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</si>
  <si>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</si>
  <si>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</si>
  <si>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</si>
  <si>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</si>
  <si>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</si>
  <si>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</si>
  <si>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</si>
  <si>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</si>
  <si>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</si>
  <si>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</si>
  <si>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</si>
  <si>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</si>
  <si>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</si>
  <si>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</si>
  <si>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</si>
  <si>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</si>
  <si>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</si>
  <si>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</si>
  <si>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</si>
  <si>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</si>
  <si>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</si>
  <si>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</si>
  <si>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</si>
  <si>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</si>
  <si>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</si>
  <si>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</si>
  <si>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</si>
  <si>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</si>
  <si>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</si>
  <si>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</si>
  <si>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</si>
  <si>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</si>
  <si>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</si>
  <si>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</si>
  <si>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</si>
  <si>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</si>
  <si>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</si>
  <si>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</si>
  <si>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</si>
  <si>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</si>
  <si>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</si>
  <si>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</si>
  <si>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</si>
  <si>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</si>
  <si>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</si>
  <si>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</si>
  <si>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</si>
  <si>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</si>
  <si>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</si>
  <si>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</si>
  <si>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</si>
  <si>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</si>
  <si>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</si>
  <si>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</si>
  <si>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</si>
  <si>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</si>
  <si>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</si>
  <si>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</si>
  <si>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</si>
  <si>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</si>
  <si>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</si>
  <si>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</si>
  <si>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</si>
  <si>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</si>
  <si>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</si>
  <si>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</si>
  <si>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</si>
  <si>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</si>
  <si>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</si>
  <si>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</si>
  <si>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</si>
  <si>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</si>
  <si>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</si>
  <si>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</si>
  <si>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</si>
  <si>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</si>
  <si>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</si>
  <si>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</si>
  <si>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</si>
  <si>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</si>
  <si>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</si>
  <si>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</si>
  <si>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</si>
  <si>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</si>
  <si>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</si>
  <si>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</si>
  <si>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</si>
  <si>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</si>
  <si>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</si>
  <si>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</si>
  <si>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</si>
  <si>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</si>
  <si>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</si>
  <si>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</si>
  <si>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</si>
  <si>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</si>
  <si>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</si>
  <si>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</si>
  <si>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</si>
  <si>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</si>
  <si>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</si>
  <si>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</si>
  <si>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</si>
  <si>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</si>
  <si>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</si>
  <si>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</si>
  <si>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</si>
  <si>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</si>
  <si>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</si>
  <si>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</si>
  <si>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</si>
  <si>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</si>
  <si>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</si>
  <si>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</si>
  <si>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</si>
  <si>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</si>
  <si>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</si>
  <si>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</si>
  <si>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</si>
  <si>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</si>
  <si>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</si>
  <si>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</si>
  <si>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</si>
  <si>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</si>
  <si>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</si>
  <si>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</si>
  <si>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</si>
  <si>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</si>
  <si>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</si>
  <si>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</si>
  <si>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</si>
  <si>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</si>
  <si>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</si>
  <si>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</si>
  <si>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</si>
  <si>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</si>
  <si>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</si>
  <si>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</si>
  <si>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</si>
  <si>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</si>
  <si>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</si>
  <si>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</si>
  <si>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</si>
  <si>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</si>
  <si>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</si>
  <si>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</si>
  <si>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</si>
  <si>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</si>
  <si>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</si>
  <si>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</si>
  <si>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</si>
  <si>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</si>
  <si>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</si>
  <si>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</si>
  <si>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</si>
  <si>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</si>
  <si>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</si>
  <si>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</si>
  <si>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</si>
  <si>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</si>
  <si>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</si>
  <si>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</si>
  <si>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</si>
  <si>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</si>
  <si>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</si>
  <si>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</si>
  <si>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</si>
  <si>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</si>
  <si>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</si>
  <si>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</si>
  <si>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</si>
  <si>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</si>
  <si>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</si>
  <si>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</si>
  <si>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</si>
  <si>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</si>
  <si>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</si>
  <si>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</si>
  <si>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</si>
  <si>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</si>
  <si>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</si>
  <si>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</si>
  <si>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</si>
  <si>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</si>
  <si>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</si>
  <si>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</si>
  <si>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</si>
  <si>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</si>
  <si>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</si>
  <si>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</si>
  <si>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</si>
  <si>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</si>
  <si>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</si>
  <si>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</si>
  <si>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</si>
  <si>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</si>
  <si>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</si>
  <si>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</si>
  <si>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</si>
  <si>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</si>
  <si>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</si>
  <si>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</si>
  <si>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</si>
  <si>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</si>
  <si>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</si>
  <si>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</si>
  <si>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</si>
  <si>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</si>
  <si>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</si>
  <si>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</si>
  <si>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</si>
  <si>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</si>
  <si>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</si>
  <si>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</si>
  <si>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</si>
  <si>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</si>
  <si>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</si>
  <si>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</si>
  <si>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</si>
  <si>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</si>
  <si>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</si>
  <si>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</si>
  <si>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</si>
  <si>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</si>
  <si>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</si>
  <si>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</si>
  <si>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</si>
  <si>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</si>
  <si>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</si>
  <si>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</si>
  <si>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</si>
  <si>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</si>
  <si>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</si>
  <si>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</si>
  <si>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</si>
  <si>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</si>
  <si>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</si>
  <si>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</si>
  <si>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</si>
  <si>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</si>
  <si>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</si>
  <si>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</si>
  <si>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</si>
  <si>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</si>
  <si>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</si>
  <si>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</si>
  <si>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</si>
  <si>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</si>
  <si>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</si>
  <si>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</si>
  <si>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</si>
  <si>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</si>
  <si>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</si>
  <si>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</si>
  <si>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</si>
  <si>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</si>
  <si>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</si>
  <si>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</si>
  <si>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</si>
  <si>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</si>
  <si>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</si>
  <si>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</si>
  <si>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</si>
  <si>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</si>
  <si>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</si>
  <si>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</si>
  <si>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</si>
  <si>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</si>
  <si>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</si>
  <si>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</si>
  <si>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</si>
  <si>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</si>
  <si>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</si>
  <si>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</si>
  <si>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</si>
  <si>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</si>
  <si>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</si>
  <si>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</si>
  <si>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</si>
  <si>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</si>
  <si>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</si>
  <si>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</si>
  <si>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</si>
  <si>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</si>
  <si>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</si>
  <si>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</si>
  <si>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</si>
  <si>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</si>
  <si>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</si>
  <si>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</si>
  <si>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</si>
  <si>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</si>
  <si>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</si>
  <si>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</si>
  <si>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</si>
  <si>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</si>
  <si>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</si>
  <si>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</si>
  <si>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</si>
  <si>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</si>
  <si>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</si>
  <si>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</si>
  <si>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</si>
  <si>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</si>
  <si>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</si>
  <si>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</si>
  <si>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</si>
  <si>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</si>
  <si>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</si>
  <si>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</si>
  <si>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</si>
  <si>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</si>
  <si>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</si>
  <si>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</si>
  <si>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</si>
  <si>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</si>
  <si>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</si>
  <si>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</si>
  <si>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</si>
  <si>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</si>
  <si>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</si>
  <si>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</si>
  <si>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</si>
  <si>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</si>
  <si>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</si>
  <si>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</si>
  <si>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</si>
  <si>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</si>
  <si>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</si>
  <si>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</si>
  <si>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</si>
  <si>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</si>
  <si>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</si>
  <si>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</si>
  <si>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</si>
  <si>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</si>
  <si>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</si>
  <si>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</si>
  <si>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</si>
  <si>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</si>
  <si>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</si>
  <si>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</si>
  <si>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</si>
  <si>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</si>
  <si>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</si>
  <si>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</si>
  <si>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</si>
  <si>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</si>
  <si>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</si>
  <si>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</si>
  <si>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</si>
  <si>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</si>
  <si>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</si>
  <si>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</si>
  <si>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</si>
  <si>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</si>
  <si>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</si>
  <si>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</si>
  <si>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</si>
  <si>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</si>
  <si>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</si>
  <si>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</si>
  <si>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</si>
  <si>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</si>
  <si>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</si>
  <si>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</si>
  <si>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</si>
  <si>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</si>
  <si>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</si>
  <si>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</si>
  <si>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</si>
  <si>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</si>
  <si>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</si>
  <si>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</si>
  <si>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</si>
  <si>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</si>
  <si>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</si>
  <si>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</si>
  <si>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</si>
  <si>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</si>
  <si>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</si>
  <si>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</si>
  <si>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</si>
  <si>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</si>
  <si>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</si>
  <si>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</si>
  <si>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</si>
  <si>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</si>
  <si>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</si>
  <si>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</si>
  <si>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</si>
  <si>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</si>
  <si>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</si>
  <si>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</si>
  <si>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</si>
  <si>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</si>
  <si>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</si>
  <si>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</si>
  <si>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</si>
  <si>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</si>
  <si>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</si>
  <si>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</si>
  <si>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</si>
  <si>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</si>
  <si>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</si>
  <si>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</si>
  <si>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</si>
  <si>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</si>
  <si>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</si>
  <si>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</si>
  <si>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</si>
  <si>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</si>
  <si>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</si>
  <si>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</si>
  <si>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</si>
  <si>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</si>
  <si>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</si>
  <si>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</si>
  <si>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</si>
  <si>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</si>
  <si>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</si>
  <si>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</si>
  <si>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</si>
  <si>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</si>
  <si>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</si>
  <si>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</si>
  <si>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</si>
  <si>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</si>
  <si>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</si>
  <si>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</si>
  <si>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</si>
  <si>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</si>
  <si>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</si>
  <si>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</si>
  <si>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</si>
  <si>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</si>
  <si>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</si>
  <si>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</si>
  <si>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</si>
  <si>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</si>
  <si>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</si>
  <si>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</si>
  <si>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</si>
  <si>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</si>
  <si>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</si>
  <si>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</si>
  <si>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</si>
  <si>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</si>
  <si>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</si>
  <si>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</si>
  <si>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</si>
  <si>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</si>
  <si>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</si>
  <si>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</si>
  <si>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</si>
  <si>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</si>
  <si>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</si>
  <si>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</si>
  <si>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</si>
  <si>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</si>
  <si>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</si>
  <si>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</si>
  <si>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</si>
  <si>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</si>
  <si>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</si>
  <si>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</si>
  <si>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</si>
  <si>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</si>
  <si>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</si>
  <si>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</si>
  <si>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</si>
  <si>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</si>
  <si>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</si>
  <si>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</si>
  <si>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</si>
  <si>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</si>
  <si>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</si>
  <si>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</si>
  <si>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</si>
  <si>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</si>
  <si>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</si>
  <si>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</si>
  <si>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</si>
  <si>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</si>
  <si>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</si>
  <si>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</si>
  <si>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</si>
  <si>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</si>
  <si>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</si>
  <si>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</si>
  <si>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</si>
  <si>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</si>
  <si>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</si>
  <si>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</si>
  <si>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</si>
  <si>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</si>
  <si>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</si>
  <si>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</si>
  <si>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</si>
  <si>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</si>
  <si>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</si>
  <si>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</si>
  <si>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</si>
  <si>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</si>
  <si>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</si>
  <si>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</si>
  <si>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</si>
  <si>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</si>
  <si>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</si>
  <si>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</si>
  <si>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</si>
  <si>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</si>
  <si>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</si>
  <si>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</si>
  <si>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</si>
  <si>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</si>
  <si>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</si>
  <si>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</si>
  <si>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</si>
  <si>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</si>
  <si>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</si>
  <si>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</si>
  <si>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</si>
  <si>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</si>
  <si>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</si>
  <si>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</si>
  <si>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</si>
  <si>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</si>
  <si>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</si>
  <si>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</si>
  <si>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</si>
  <si>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</si>
  <si>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</si>
  <si>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</si>
  <si>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</si>
  <si>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</si>
  <si>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</si>
  <si>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</si>
  <si>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</si>
  <si>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</si>
  <si>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</si>
  <si>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</si>
  <si>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</si>
  <si>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</si>
  <si>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</si>
  <si>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</si>
  <si>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</si>
  <si>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</si>
  <si>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</si>
  <si>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</si>
  <si>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</si>
  <si>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</si>
  <si>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</si>
  <si>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</si>
  <si>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</si>
  <si>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</si>
  <si>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</si>
  <si>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</si>
  <si>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</si>
  <si>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</si>
  <si>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</si>
  <si>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</si>
  <si>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</si>
  <si>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</si>
  <si>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</si>
  <si>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</si>
  <si>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</si>
  <si>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</si>
  <si>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</si>
  <si>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</si>
  <si>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</si>
  <si>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</si>
  <si>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</si>
  <si>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</si>
  <si>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</si>
  <si>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</si>
  <si>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</si>
  <si>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</si>
  <si>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</si>
  <si>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</si>
  <si>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</si>
  <si>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</si>
  <si>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</si>
  <si>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</si>
  <si>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</si>
  <si>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</si>
  <si>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</si>
  <si>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</si>
  <si>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</si>
  <si>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</si>
  <si>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</si>
  <si>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</si>
  <si>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</si>
  <si>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</si>
  <si>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</si>
  <si>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</si>
  <si>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</si>
  <si>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</si>
  <si>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</si>
  <si>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</si>
  <si>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</si>
  <si>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</si>
  <si>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</si>
  <si>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</si>
  <si>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</si>
  <si>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</si>
  <si>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</si>
  <si>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</si>
  <si>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</si>
  <si>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</si>
  <si>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</si>
  <si>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</si>
  <si>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</si>
  <si>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</si>
  <si>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</si>
  <si>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</si>
  <si>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</si>
  <si>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</si>
  <si>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</si>
  <si>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</si>
  <si>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</si>
  <si>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</si>
  <si>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</si>
  <si>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</si>
  <si>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</si>
  <si>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</si>
  <si>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</si>
  <si>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</si>
  <si>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</si>
  <si>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</si>
  <si>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</si>
  <si>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</si>
  <si>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</si>
  <si>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</si>
  <si>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</si>
  <si>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</si>
  <si>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</si>
  <si>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</si>
  <si>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</si>
  <si>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</si>
  <si>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</si>
  <si>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</si>
  <si>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</si>
  <si>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</si>
  <si>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</si>
  <si>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</si>
  <si>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</si>
  <si>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</si>
  <si>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</si>
  <si>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</si>
  <si>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</si>
  <si>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</si>
  <si>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</si>
  <si>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</si>
  <si>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</si>
  <si>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</si>
  <si>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</si>
  <si>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</si>
  <si>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</si>
  <si>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</si>
  <si>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</si>
  <si>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</si>
  <si>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</si>
  <si>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</si>
  <si>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</si>
  <si>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</si>
  <si>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</si>
  <si>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</si>
  <si>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</si>
  <si>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</si>
  <si>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</si>
  <si>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</si>
  <si>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</si>
  <si>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</si>
  <si>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</si>
  <si>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</si>
  <si>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</si>
  <si>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</si>
  <si>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</si>
  <si>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</si>
  <si>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</si>
  <si>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</si>
  <si>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</si>
  <si>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</si>
  <si>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</si>
  <si>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</si>
  <si>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</si>
  <si>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</si>
  <si>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</si>
  <si>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</si>
  <si>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</si>
  <si>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</si>
  <si>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</si>
  <si>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</si>
  <si>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</si>
  <si>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</si>
  <si>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</si>
  <si>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</si>
  <si>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</si>
  <si>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</si>
  <si>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</si>
  <si>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</si>
  <si>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</si>
  <si>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</si>
  <si>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</si>
  <si>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</si>
  <si>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</si>
  <si>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</si>
  <si>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</si>
  <si>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</si>
  <si>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</si>
  <si>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</si>
  <si>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</si>
  <si>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</si>
  <si>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</si>
  <si>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</si>
  <si>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</si>
  <si>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</si>
  <si>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</si>
  <si>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</si>
  <si>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</si>
  <si>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</si>
  <si>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</si>
  <si>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</si>
  <si>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</si>
  <si>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</si>
  <si>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</si>
  <si>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</si>
  <si>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</si>
  <si>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</si>
  <si>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</si>
  <si>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</si>
  <si>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</si>
  <si>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</si>
  <si>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</si>
  <si>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</si>
  <si>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</si>
  <si>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</si>
  <si>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</si>
  <si>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</si>
  <si>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</si>
  <si>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</si>
  <si>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</si>
  <si>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</si>
  <si>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</si>
  <si>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</si>
  <si>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</si>
  <si>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</si>
  <si>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</si>
  <si>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</si>
  <si>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</si>
  <si>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</si>
  <si>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</si>
  <si>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</si>
  <si>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</si>
  <si>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</si>
  <si>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</si>
  <si>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</si>
  <si>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</si>
  <si>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</si>
  <si>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</si>
  <si>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</si>
  <si>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</si>
  <si>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</si>
  <si>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</si>
  <si>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</si>
  <si>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</si>
  <si>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</si>
  <si>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</si>
  <si>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</si>
  <si>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</si>
  <si>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</si>
  <si>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</si>
  <si>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</si>
  <si>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</si>
  <si>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</si>
  <si>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</si>
  <si>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</si>
  <si>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</si>
  <si>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</si>
  <si>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</si>
  <si>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</si>
  <si>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</si>
  <si>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</si>
  <si>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</si>
  <si>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</si>
  <si>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</si>
  <si>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</si>
  <si>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</si>
  <si>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</si>
  <si>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</si>
  <si>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</si>
  <si>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</si>
  <si>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</si>
  <si>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</si>
  <si>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</si>
  <si>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</si>
  <si>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</si>
  <si>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</si>
  <si>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</si>
  <si>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</si>
  <si>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</si>
  <si>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</si>
  <si>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</si>
  <si>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</si>
  <si>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</si>
  <si>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</si>
  <si>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</si>
  <si>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</si>
  <si>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</si>
  <si>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</si>
  <si>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</si>
  <si>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</si>
  <si>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</si>
  <si>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</si>
  <si>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</si>
  <si>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</si>
  <si>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</si>
  <si>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</si>
  <si>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</si>
  <si>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</si>
  <si>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</si>
  <si>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</si>
  <si>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</si>
  <si>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</si>
  <si>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</si>
  <si>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</si>
  <si>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</si>
  <si>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</si>
  <si>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</si>
  <si>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</si>
  <si>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</si>
  <si>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</si>
  <si>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</si>
  <si>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</si>
  <si>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</si>
  <si>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</si>
  <si>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</si>
  <si>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</si>
  <si>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</si>
  <si>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</si>
  <si>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</si>
  <si>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</si>
  <si>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</si>
  <si>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</si>
  <si>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</si>
  <si>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</si>
  <si>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</si>
  <si>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</si>
  <si>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</si>
  <si>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</si>
  <si>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</si>
  <si>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</si>
  <si>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</si>
  <si>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</si>
  <si>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</si>
  <si>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</si>
  <si>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</si>
  <si>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</si>
  <si>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</si>
  <si>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</si>
  <si>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</si>
  <si>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</si>
  <si>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</si>
  <si>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</si>
  <si>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</si>
  <si>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</si>
  <si>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</si>
  <si>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</si>
  <si>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</si>
  <si>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</si>
  <si>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</si>
  <si>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</si>
  <si>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</si>
  <si>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</si>
  <si>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</si>
  <si>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</si>
  <si>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</si>
  <si>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</si>
  <si>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</si>
  <si>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</si>
  <si>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</si>
  <si>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</si>
  <si>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</si>
  <si>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</si>
  <si>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</si>
  <si>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</si>
  <si>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</si>
  <si>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</si>
  <si>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</si>
  <si>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</si>
  <si>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</si>
  <si>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</si>
  <si>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</si>
  <si>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</si>
  <si>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</si>
  <si>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</si>
  <si>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</si>
  <si>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</si>
  <si>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</si>
  <si>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</si>
  <si>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</si>
  <si>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</si>
  <si>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</si>
  <si>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</si>
  <si>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</si>
  <si>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</si>
  <si>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</si>
  <si>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</si>
  <si>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</si>
  <si>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</si>
  <si>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</si>
  <si>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</si>
  <si>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</si>
  <si>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</si>
  <si>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</si>
  <si>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</si>
  <si>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</si>
  <si>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</si>
  <si>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</si>
  <si>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</si>
  <si>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</si>
  <si>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</si>
  <si>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</si>
  <si>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</si>
  <si>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</si>
  <si>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</si>
  <si>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</si>
  <si>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</si>
  <si>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</si>
  <si>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</si>
  <si>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</si>
  <si>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</si>
  <si>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</si>
  <si>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</si>
  <si>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</si>
  <si>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</si>
  <si>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</si>
  <si>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</si>
  <si>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</si>
  <si>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</si>
  <si>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</si>
  <si>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</si>
  <si>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</si>
  <si>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</si>
  <si>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</si>
  <si>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</si>
  <si>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</si>
  <si>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</si>
  <si>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</si>
  <si>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</si>
  <si>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</si>
  <si>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</si>
  <si>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</si>
  <si>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</si>
  <si>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</si>
  <si>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</si>
  <si>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</si>
  <si>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</si>
  <si>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</si>
  <si>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</si>
  <si>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</si>
  <si>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</si>
  <si>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</si>
  <si>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</si>
  <si>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</si>
  <si>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</si>
  <si>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</si>
  <si>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</si>
  <si>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</si>
  <si>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</si>
  <si>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</si>
  <si>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</si>
  <si>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</si>
  <si>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</si>
  <si>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</si>
  <si>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</si>
  <si>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</si>
  <si>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</si>
  <si>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</si>
  <si>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</si>
  <si>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</si>
  <si>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</si>
  <si>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</si>
  <si>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</si>
  <si>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</si>
  <si>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</si>
  <si>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</si>
  <si>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</si>
  <si>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</si>
  <si>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</si>
  <si>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</si>
  <si>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</si>
  <si>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</si>
  <si>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</si>
  <si>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</si>
  <si>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</si>
  <si>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</si>
  <si>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</si>
  <si>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</si>
  <si>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</si>
  <si>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</si>
  <si>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</si>
  <si>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</si>
  <si>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</si>
  <si>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</si>
  <si>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</si>
  <si>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</si>
  <si>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</si>
  <si>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</si>
  <si>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</si>
  <si>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</si>
  <si>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</si>
  <si>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</si>
  <si>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</si>
  <si>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</si>
  <si>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</si>
  <si>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</si>
  <si>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</si>
  <si>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</si>
  <si>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</si>
  <si>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</si>
  <si>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</si>
  <si>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</si>
  <si>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</si>
  <si>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</si>
  <si>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</si>
  <si>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</si>
  <si>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</si>
  <si>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</si>
  <si>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</si>
  <si>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</si>
  <si>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</si>
  <si>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</si>
  <si>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</si>
  <si>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</si>
  <si>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</si>
  <si>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</si>
  <si>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</si>
  <si>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</si>
  <si>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</si>
  <si>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</si>
  <si>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</si>
  <si>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</si>
  <si>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</si>
  <si>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</si>
  <si>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</si>
  <si>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</si>
  <si>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</si>
  <si>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</si>
  <si>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</si>
  <si>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</si>
  <si>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</si>
  <si>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</si>
  <si>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</si>
  <si>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</si>
  <si>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</si>
  <si>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</si>
  <si>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</si>
  <si>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</si>
  <si>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</si>
  <si>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</si>
  <si>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</si>
  <si>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</si>
  <si>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</si>
  <si>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</si>
  <si>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</si>
  <si>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</si>
  <si>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</si>
  <si>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</si>
  <si>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</si>
  <si>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</si>
  <si>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</si>
  <si>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</si>
  <si>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</si>
  <si>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</si>
  <si>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</si>
  <si>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</si>
  <si>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</si>
  <si>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</si>
  <si>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</si>
  <si>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</si>
  <si>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</si>
  <si>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</si>
  <si>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</si>
  <si>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</si>
  <si>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</si>
  <si>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</si>
  <si>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</si>
  <si>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</si>
  <si>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</si>
  <si>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</si>
  <si>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</si>
  <si>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</si>
  <si>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</si>
  <si>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</si>
  <si>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</si>
  <si>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</si>
  <si>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</si>
  <si>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</si>
  <si>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</si>
  <si>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</si>
  <si>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</si>
  <si>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</si>
  <si>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</si>
  <si>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</si>
  <si>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</si>
  <si>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</si>
  <si>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</si>
  <si>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</si>
  <si>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</si>
  <si>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</si>
  <si>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</si>
  <si>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</si>
  <si>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</si>
  <si>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</si>
  <si>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</si>
  <si>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</si>
  <si>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</si>
  <si>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</si>
  <si>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</si>
  <si>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</si>
  <si>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</si>
  <si>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</si>
  <si>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</si>
  <si>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</si>
  <si>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</si>
  <si>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</si>
  <si>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</si>
  <si>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</si>
  <si>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</si>
  <si>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</si>
  <si>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</si>
  <si>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</si>
  <si>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</si>
  <si>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</si>
  <si>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</si>
  <si>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</si>
  <si>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</si>
  <si>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</si>
  <si>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</si>
  <si>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</si>
  <si>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</si>
  <si>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</si>
  <si>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</si>
  <si>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</si>
  <si>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</si>
  <si>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</si>
  <si>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</si>
  <si>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</si>
  <si>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</si>
  <si>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</si>
  <si>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</si>
  <si>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</si>
  <si>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</si>
  <si>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</si>
  <si>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</si>
  <si>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</si>
  <si>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</si>
  <si>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</si>
  <si>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</si>
  <si>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</si>
  <si>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</si>
  <si>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</si>
  <si>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</si>
  <si>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</si>
  <si>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</si>
  <si>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</si>
  <si>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</si>
  <si>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</si>
  <si>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</si>
  <si>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</si>
  <si>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</si>
  <si>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</si>
  <si>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</si>
  <si>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</si>
  <si>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</si>
  <si>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</si>
  <si>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</si>
  <si>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</si>
  <si>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</si>
  <si>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</si>
  <si>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</si>
  <si>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</si>
  <si>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</si>
  <si>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</si>
  <si>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</si>
  <si>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</si>
  <si>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</si>
  <si>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</si>
  <si>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</si>
  <si>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</si>
  <si>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</si>
  <si>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</si>
  <si>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</si>
  <si>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</si>
  <si>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</si>
  <si>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</si>
  <si>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</si>
  <si>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</si>
  <si>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</si>
  <si>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</si>
  <si>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</si>
  <si>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</si>
  <si>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</si>
  <si>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</si>
  <si>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</si>
  <si>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</si>
  <si>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</si>
  <si>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</si>
  <si>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</si>
  <si>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</si>
  <si>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</si>
  <si>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</si>
  <si>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</si>
  <si>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</si>
  <si>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</si>
  <si>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</si>
  <si>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</si>
  <si>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</si>
  <si>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</si>
  <si>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</si>
  <si>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</si>
  <si>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</si>
  <si>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</si>
  <si>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</si>
  <si>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</si>
  <si>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</si>
  <si>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</si>
  <si>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</si>
  <si>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</si>
  <si>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</si>
  <si>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</si>
  <si>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</si>
  <si>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</si>
  <si>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</si>
  <si>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</si>
  <si>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</si>
  <si>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</si>
  <si>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</si>
  <si>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</si>
  <si>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</si>
  <si>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</si>
  <si>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</si>
  <si>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</si>
  <si>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</si>
  <si>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</si>
  <si>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</si>
  <si>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</si>
  <si>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</si>
  <si>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</si>
  <si>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</si>
  <si>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</si>
  <si>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</si>
  <si>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</si>
  <si>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</si>
  <si>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</si>
  <si>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</si>
  <si>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</si>
  <si>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</si>
  <si>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</si>
  <si>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</si>
  <si>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</si>
  <si>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</si>
  <si>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</si>
  <si>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</si>
  <si>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</si>
  <si>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</si>
  <si>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</si>
  <si>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</si>
  <si>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</si>
  <si>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</si>
  <si>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</si>
  <si>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</si>
  <si>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</si>
  <si>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</si>
  <si>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</si>
  <si>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</si>
  <si>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</si>
  <si>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</si>
  <si>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</si>
  <si>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</si>
  <si>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</si>
  <si>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</si>
  <si>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</si>
  <si>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</si>
  <si>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</si>
  <si>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</si>
  <si>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</si>
  <si>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</si>
  <si>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</si>
  <si>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</si>
  <si>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</si>
  <si>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</si>
  <si>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</si>
  <si>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</si>
  <si>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</si>
  <si>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</si>
  <si>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</si>
  <si>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</si>
  <si>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</si>
  <si>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</si>
  <si>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</si>
  <si>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</si>
  <si>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</si>
  <si>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</si>
  <si>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</si>
  <si>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</si>
  <si>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</si>
  <si>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</si>
  <si>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</si>
  <si>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</si>
  <si>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</si>
  <si>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</si>
  <si>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</si>
  <si>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</si>
  <si>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</si>
  <si>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</si>
  <si>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</si>
  <si>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</si>
  <si>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</si>
  <si>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</si>
  <si>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</si>
  <si>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</si>
  <si>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</si>
  <si>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</si>
  <si>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</si>
  <si>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</si>
  <si>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</si>
  <si>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</si>
  <si>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</si>
  <si>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</si>
  <si>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</si>
  <si>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</si>
  <si>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</si>
  <si>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</si>
  <si>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</si>
  <si>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</si>
  <si>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</si>
  <si>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</si>
  <si>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</si>
  <si>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</si>
  <si>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</si>
  <si>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</si>
  <si>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</si>
  <si>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</si>
  <si>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</si>
  <si>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</si>
  <si>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</si>
  <si>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</si>
  <si>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</si>
  <si>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</si>
  <si>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</si>
  <si>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</si>
  <si>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</si>
  <si>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</si>
  <si>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</si>
  <si>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</si>
  <si>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</si>
  <si>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</si>
  <si>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</si>
  <si>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</si>
  <si>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</si>
  <si>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</si>
  <si>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</si>
  <si>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</si>
  <si>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</si>
  <si>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</si>
  <si>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</si>
  <si>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</si>
  <si>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</si>
  <si>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</si>
  <si>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</si>
  <si>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</si>
  <si>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</si>
  <si>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</si>
  <si>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</si>
  <si>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</si>
  <si>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</si>
  <si>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</si>
  <si>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</si>
  <si>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</si>
  <si>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</si>
  <si>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</si>
  <si>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</si>
  <si>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</si>
  <si>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</si>
  <si>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</si>
  <si>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</si>
  <si>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</si>
  <si>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</si>
  <si>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</si>
  <si>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</si>
  <si>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</si>
  <si>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</si>
  <si>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</si>
  <si>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</si>
  <si>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</si>
  <si>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</si>
  <si>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</si>
  <si>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</si>
  <si>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</si>
  <si>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</si>
  <si>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</si>
  <si>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</si>
  <si>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</si>
  <si>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</si>
  <si>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</si>
  <si>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</si>
  <si>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</si>
  <si>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</si>
  <si>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</si>
  <si>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</si>
  <si>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</si>
  <si>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</si>
  <si>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</si>
  <si>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</si>
  <si>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</si>
  <si>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</si>
  <si>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</si>
  <si>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</si>
  <si>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</si>
  <si>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</si>
  <si>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</si>
  <si>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</si>
  <si>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</si>
  <si>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</si>
  <si>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</si>
  <si>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</si>
  <si>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</si>
  <si>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</si>
  <si>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</si>
  <si>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</si>
  <si>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</si>
  <si>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</si>
  <si>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</si>
  <si>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</si>
  <si>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</si>
  <si>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</si>
  <si>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</si>
  <si>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</si>
  <si>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</si>
  <si>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</si>
  <si>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</si>
  <si>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</si>
  <si>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</si>
  <si>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</si>
  <si>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</si>
  <si>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</si>
  <si>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</si>
  <si>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</si>
  <si>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</si>
  <si>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</si>
  <si>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</si>
  <si>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</si>
  <si>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</si>
  <si>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</si>
  <si>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</si>
  <si>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</si>
  <si>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</si>
  <si>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</si>
  <si>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</si>
  <si>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</si>
  <si>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</si>
  <si>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</si>
  <si>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</si>
  <si>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</si>
  <si>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</si>
  <si>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</si>
  <si>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</si>
  <si>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</si>
  <si>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</si>
  <si>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</si>
  <si>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</si>
  <si>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</si>
  <si>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</si>
  <si>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</si>
  <si>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</si>
  <si>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</si>
  <si>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</si>
  <si>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</si>
  <si>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</si>
  <si>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</si>
  <si>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</si>
  <si>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</si>
  <si>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</si>
  <si>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</si>
  <si>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</si>
  <si>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</si>
  <si>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</si>
  <si>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</si>
  <si>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</si>
  <si>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</si>
  <si>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</si>
  <si>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</si>
  <si>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</si>
  <si>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</si>
  <si>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</si>
  <si>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</si>
  <si>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</si>
  <si>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</si>
  <si>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</si>
  <si>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</si>
  <si>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</si>
  <si>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</si>
  <si>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</si>
  <si>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</si>
  <si>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</si>
  <si>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</si>
  <si>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</si>
  <si>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</si>
  <si>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</si>
  <si>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</si>
  <si>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</si>
  <si>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</si>
  <si>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</si>
  <si>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</si>
  <si>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</si>
  <si>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</si>
  <si>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</si>
  <si>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</si>
  <si>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</si>
  <si>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</si>
  <si>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</si>
  <si>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</si>
  <si>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</si>
  <si>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</si>
  <si>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</si>
  <si>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</si>
  <si>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</si>
  <si>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</si>
  <si>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</si>
  <si>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</si>
  <si>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</si>
  <si>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</si>
  <si>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</si>
  <si>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</si>
  <si>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</si>
  <si>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</si>
  <si>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</si>
  <si>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</si>
  <si>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</si>
  <si>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</si>
  <si>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</si>
  <si>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</si>
  <si>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</si>
  <si>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</si>
  <si>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</si>
  <si>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</si>
  <si>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</si>
  <si>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</si>
  <si>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</si>
  <si>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</si>
  <si>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</si>
  <si>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</si>
  <si>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</si>
  <si>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</si>
  <si>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</si>
  <si>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</si>
  <si>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</si>
  <si>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</si>
  <si>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</si>
  <si>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</si>
  <si>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</si>
  <si>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</si>
  <si>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</si>
  <si>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</si>
  <si>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</si>
  <si>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</si>
  <si>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</si>
  <si>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</si>
  <si>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</si>
  <si>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</si>
  <si>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</si>
  <si>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</si>
  <si>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</si>
  <si>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</si>
  <si>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</si>
  <si>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</si>
  <si>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</si>
  <si>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</si>
  <si>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</si>
  <si>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</si>
  <si>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</si>
  <si>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</si>
  <si>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</si>
  <si>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</si>
  <si>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</si>
  <si>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</si>
  <si>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</si>
  <si>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</si>
  <si>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</si>
  <si>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</si>
  <si>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</si>
  <si>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</si>
  <si>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</si>
  <si>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</si>
  <si>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</si>
  <si>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</si>
  <si>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</si>
  <si>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</si>
  <si>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</si>
  <si>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</si>
  <si>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</si>
  <si>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</si>
  <si>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</si>
  <si>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</si>
  <si>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</si>
  <si>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</si>
  <si>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</si>
  <si>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</si>
  <si>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</si>
  <si>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</si>
  <si>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</si>
  <si>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</si>
  <si>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</si>
  <si>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</si>
  <si>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</si>
  <si>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</si>
  <si>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</si>
  <si>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</si>
  <si>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</si>
  <si>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</si>
  <si>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</si>
  <si>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</si>
  <si>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</si>
  <si>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</si>
  <si>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</si>
  <si>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</si>
  <si>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</si>
  <si>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</si>
  <si>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</si>
  <si>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</si>
  <si>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</si>
  <si>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</si>
  <si>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</si>
  <si>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</si>
  <si>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</si>
  <si>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</si>
  <si>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</si>
  <si>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</si>
  <si>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</si>
  <si>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</si>
  <si>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</si>
  <si>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</si>
  <si>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</si>
  <si>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</si>
  <si>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</si>
  <si>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</si>
  <si>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</si>
  <si>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</si>
  <si>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</si>
  <si>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</si>
  <si>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</si>
  <si>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</si>
  <si>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</si>
  <si>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</si>
  <si>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</si>
  <si>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</si>
  <si>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</si>
  <si>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</si>
  <si>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</si>
  <si>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</si>
  <si>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</si>
  <si>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</si>
  <si>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</si>
  <si>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</si>
  <si>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</si>
  <si>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</si>
  <si>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</si>
  <si>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</si>
  <si>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</si>
  <si>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</si>
  <si>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</si>
  <si>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</si>
  <si>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</si>
  <si>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</si>
  <si>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</si>
  <si>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</si>
  <si>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</si>
  <si>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</si>
  <si>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</si>
  <si>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</si>
  <si>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</si>
  <si>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</si>
  <si>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</si>
  <si>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</si>
  <si>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</si>
  <si>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</si>
  <si>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</si>
  <si>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</si>
  <si>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</si>
  <si>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</si>
  <si>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</si>
  <si>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</si>
  <si>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</si>
  <si>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</si>
  <si>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</si>
  <si>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</si>
  <si>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</si>
  <si>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</si>
  <si>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</si>
  <si>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</si>
  <si>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</si>
  <si>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</si>
  <si>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</si>
  <si>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</si>
  <si>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</si>
  <si>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</si>
  <si>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</si>
  <si>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</si>
  <si>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</si>
  <si>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</si>
  <si>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</si>
  <si>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</si>
  <si>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</si>
  <si>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</si>
  <si>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</si>
  <si>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</si>
  <si>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</si>
  <si>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</si>
  <si>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</si>
  <si>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</si>
  <si>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</si>
  <si>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</si>
  <si>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</si>
  <si>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</si>
  <si>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</si>
  <si>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</si>
  <si>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</si>
  <si>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</si>
  <si>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</si>
  <si>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</si>
  <si>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</si>
  <si>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</si>
  <si>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</si>
  <si>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</si>
  <si>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</si>
  <si>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</si>
  <si>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</si>
  <si>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</si>
  <si>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</si>
  <si>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</si>
  <si>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</si>
  <si>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</si>
  <si>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</si>
  <si>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</si>
  <si>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</si>
  <si>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</si>
  <si>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</si>
  <si>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</si>
  <si>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</si>
  <si>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</si>
  <si>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</si>
  <si>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</si>
  <si>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</si>
  <si>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</si>
  <si>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</si>
  <si>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</si>
  <si>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</si>
  <si>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</si>
  <si>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</si>
  <si>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</si>
  <si>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</si>
  <si>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</si>
  <si>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</si>
  <si>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</si>
  <si>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</si>
  <si>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</si>
  <si>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</si>
  <si>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</si>
  <si>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</si>
  <si>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</si>
  <si>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</si>
  <si>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</si>
  <si>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</si>
  <si>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</si>
  <si>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</si>
  <si>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</si>
  <si>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</si>
  <si>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</si>
  <si>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</si>
  <si>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</si>
  <si>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</si>
  <si>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</si>
  <si>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</si>
  <si>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</si>
  <si>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</si>
  <si>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</si>
  <si>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</si>
  <si>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</si>
  <si>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</si>
  <si>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</si>
  <si>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</si>
  <si>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</si>
  <si>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</si>
  <si>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</si>
  <si>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</si>
  <si>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</si>
  <si>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</si>
  <si>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</si>
  <si>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</si>
  <si>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</si>
  <si>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</si>
  <si>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</si>
  <si>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</si>
  <si>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</si>
  <si>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</si>
  <si>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</si>
  <si>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</si>
  <si>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</si>
  <si>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</si>
  <si>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</si>
  <si>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</si>
  <si>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</si>
  <si>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</si>
  <si>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</si>
  <si>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</si>
  <si>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</si>
  <si>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</si>
  <si>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</si>
  <si>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</si>
  <si>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</si>
  <si>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</si>
  <si>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</si>
  <si>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</si>
  <si>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</si>
  <si>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</si>
  <si>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</si>
  <si>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</si>
  <si>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</si>
  <si>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</si>
  <si>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</si>
  <si>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</si>
  <si>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</si>
  <si>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</si>
  <si>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</si>
  <si>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</si>
  <si>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</si>
  <si>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</si>
  <si>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</si>
  <si>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</si>
  <si>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</si>
  <si>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</si>
  <si>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</si>
  <si>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</si>
  <si>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</si>
  <si>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</si>
  <si>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</si>
  <si>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</si>
  <si>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</si>
  <si>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</si>
  <si>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</si>
  <si>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</si>
  <si>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</si>
  <si>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</si>
  <si>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</si>
  <si>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</si>
  <si>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</si>
  <si>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</si>
  <si>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</si>
  <si>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</si>
  <si>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</si>
  <si>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</si>
  <si>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</si>
  <si>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</si>
  <si>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</si>
  <si>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</si>
  <si>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</si>
  <si>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</si>
  <si>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</si>
  <si>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</si>
  <si>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</si>
  <si>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</si>
  <si>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</si>
  <si>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</si>
  <si>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</si>
  <si>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</si>
  <si>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</si>
  <si>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</si>
  <si>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</si>
  <si>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</si>
  <si>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</si>
  <si>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</si>
  <si>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</si>
  <si>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</si>
  <si>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</si>
  <si>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</si>
  <si>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</si>
  <si>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</si>
  <si>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</si>
  <si>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</si>
  <si>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</si>
  <si>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</si>
  <si>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</si>
  <si>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</si>
  <si>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</si>
  <si>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</si>
  <si>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</si>
  <si>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</si>
  <si>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</si>
  <si>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</si>
  <si>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</si>
  <si>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</si>
  <si>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</si>
  <si>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</si>
  <si>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</si>
  <si>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</si>
  <si>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</si>
  <si>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</si>
  <si>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</si>
  <si>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</si>
  <si>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</si>
  <si>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</si>
  <si>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</si>
  <si>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</si>
  <si>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</si>
  <si>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</si>
  <si>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</si>
  <si>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</si>
  <si>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</si>
  <si>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</si>
  <si>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</si>
  <si>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</si>
  <si>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</si>
  <si>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</si>
  <si>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</si>
  <si>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</si>
  <si>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</si>
  <si>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</si>
  <si>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</si>
  <si>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</si>
  <si>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</si>
  <si>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</si>
  <si>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</si>
  <si>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</si>
  <si>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</si>
  <si>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</si>
  <si>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</si>
  <si>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</si>
  <si>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</si>
  <si>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</si>
  <si>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</si>
  <si>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</si>
  <si>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</si>
  <si>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</si>
  <si>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</si>
  <si>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</si>
  <si>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</si>
  <si>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</si>
  <si>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</si>
  <si>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</si>
  <si>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</si>
  <si>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</si>
  <si>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</si>
  <si>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</si>
  <si>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</si>
  <si>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</si>
  <si>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</si>
  <si>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</si>
  <si>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</si>
  <si>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</si>
  <si>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</si>
  <si>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</si>
  <si>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</si>
  <si>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</si>
  <si>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</si>
  <si>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</si>
  <si>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</si>
  <si>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</si>
  <si>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</si>
  <si>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</si>
  <si>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</si>
  <si>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</si>
  <si>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</si>
  <si>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</si>
  <si>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</si>
  <si>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</si>
  <si>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</si>
  <si>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</si>
  <si>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</si>
  <si>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</si>
  <si>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</si>
  <si>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</si>
  <si>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</si>
  <si>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</si>
  <si>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</si>
  <si>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</si>
  <si>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</si>
  <si>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</si>
  <si>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</si>
  <si>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</si>
  <si>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</si>
  <si>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</si>
  <si>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</si>
  <si>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</si>
  <si>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</si>
  <si>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</si>
  <si>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</si>
  <si>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</si>
  <si>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</si>
  <si>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</si>
  <si>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</si>
  <si>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</si>
  <si>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</si>
  <si>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</si>
  <si>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</si>
  <si>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</si>
  <si>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</si>
  <si>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</si>
  <si>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</si>
  <si>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</si>
  <si>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</si>
  <si>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</si>
  <si>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</si>
  <si>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</si>
  <si>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</si>
  <si>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</si>
  <si>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</si>
  <si>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</si>
  <si>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</si>
  <si>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</si>
  <si>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</si>
  <si>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</si>
  <si>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</si>
  <si>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</si>
  <si>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</si>
  <si>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</si>
  <si>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</si>
  <si>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</si>
  <si>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</si>
  <si>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</si>
  <si>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</si>
  <si>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</si>
  <si>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</si>
  <si>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</si>
  <si>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</si>
  <si>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</si>
  <si>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</si>
  <si>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</si>
  <si>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</si>
  <si>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</si>
  <si>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</si>
  <si>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</si>
  <si>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</si>
  <si>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</si>
  <si>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</si>
  <si>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</si>
  <si>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</si>
  <si>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</si>
  <si>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</si>
  <si>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</si>
  <si>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</si>
  <si>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</si>
  <si>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</si>
  <si>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</si>
  <si>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</si>
  <si>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</si>
  <si>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</si>
  <si>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</si>
  <si>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</si>
  <si>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</si>
  <si>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</si>
  <si>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</si>
  <si>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</si>
  <si>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</si>
  <si>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</si>
  <si>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</si>
  <si>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Quantity</t>
  </si>
  <si>
    <t>Sum of Sales</t>
  </si>
  <si>
    <t>Sum of Profit</t>
  </si>
  <si>
    <t>Row Labels</t>
  </si>
  <si>
    <t>Grand Total</t>
  </si>
  <si>
    <t>Key Performance Indicators</t>
  </si>
  <si>
    <t>TOTALS</t>
  </si>
  <si>
    <t>SALES</t>
  </si>
  <si>
    <t>PROFIT</t>
  </si>
  <si>
    <t>QUANTITY</t>
  </si>
  <si>
    <t>Total</t>
  </si>
  <si>
    <t>PY</t>
  </si>
  <si>
    <t>CY</t>
  </si>
  <si>
    <t>YoY</t>
  </si>
  <si>
    <t>SALES TREND</t>
  </si>
  <si>
    <t>Top Selling Cities</t>
  </si>
  <si>
    <t>For Creating Progress Bar</t>
  </si>
  <si>
    <t>Orders by Duration</t>
  </si>
  <si>
    <t>Count of Order ID</t>
  </si>
  <si>
    <t>Orders by Shipping Mode</t>
  </si>
  <si>
    <t>Sales by Category</t>
  </si>
  <si>
    <t>3- days</t>
  </si>
  <si>
    <t>7- days</t>
  </si>
  <si>
    <t>5- days</t>
  </si>
  <si>
    <t>2- days</t>
  </si>
  <si>
    <t>4- days</t>
  </si>
  <si>
    <t>1- days</t>
  </si>
  <si>
    <t>6- days</t>
  </si>
  <si>
    <t>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</si>
</sst>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7" formatCode="[&gt;=1000000]\$0.0,,&quot;M&quot;;[&gt;=1000]\$0.0,&quot;K&quot;;0"/>
    <numFmt numFmtId="168" formatCode="[&gt;=1000000]0.0,,&quot;M&quot;;[&gt;=1000]0.0,&quot;K&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7" fontId="0" fillId="0" borderId="0" xfId="0" applyNumberFormat="1"/>
    <xf numFmtId="168" fontId="0" fillId="0" borderId="0" xfId="0" applyNumberFormat="1"/>
    <xf numFmtId="0" fontId="0" fillId="2" borderId="0" xfId="0" applyFill="1" applyAlignment="1">
      <alignment horizontal="center"/>
    </xf>
    <xf numFmtId="9" fontId="0" fillId="0" borderId="0" xfId="0" applyNumberFormat="1"/>
  </cellXfs>
  <cellStyles count="2">
    <cellStyle name="Normal" xfId="0" builtinId="0"/>
    <cellStyle name="Percent" xfId="1" builtinId="5"/>
  </cellStyles>
  <dxfs count="32">
    <dxf>
      <font>
        <u val="none"/>
        <color theme="3"/>
      </font>
      <fill>
        <gradientFill degree="90">
          <stop position="0">
            <color theme="2"/>
          </stop>
          <stop position="1">
            <color theme="4"/>
          </stop>
        </gradientFill>
      </fill>
      <border>
        <left style="thin">
          <color rgb="FFEAEAEA"/>
        </left>
        <right style="thin">
          <color rgb="FFEAEAEA"/>
        </right>
        <top style="thin">
          <color rgb="FFEAEAEA"/>
        </top>
        <bottom style="thin">
          <color rgb="FFEAEAEA"/>
        </bottom>
        <vertical style="thin">
          <color rgb="FFEAEAEA"/>
        </vertical>
      </border>
    </dxf>
    <dxf>
      <font>
        <color theme="2" tint="-9.9948118533890809E-2"/>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81" formatCode="\$0.0,&quot;K&quot;;\(\$0.0,&quot;K&quot;\)\ "/>
    </dxf>
    <dxf>
      <numFmt numFmtId="181" formatCode="\$0.0,&quot;K&quot;;\(\$0.0,&quot;K&quot;\)\ "/>
    </dxf>
    <dxf>
      <numFmt numFmtId="180" formatCode="\$0.0,,&quot;M&quot;;\(\$0.0,,&quot;M&quot;\)\ "/>
    </dxf>
    <dxf>
      <numFmt numFmtId="180" formatCode="\$0.0,,&quot;M&quot;;\(\$0.0,,&quot;M&quot;\)\ "/>
    </dxf>
    <dxf>
      <numFmt numFmtId="177" formatCode="\$0.0,&quot;K&quot;;\$0.0,&quot;K&quot;"/>
    </dxf>
    <dxf>
      <numFmt numFmtId="177" formatCode="\$0.0,&quot;K&quot;;\$0.0,&quot;K&quot;"/>
    </dxf>
    <dxf>
      <numFmt numFmtId="176" formatCode="\ \$0.0,,&quot;M&quot;;\$0.0,,&quot;M&quot;"/>
    </dxf>
    <dxf>
      <numFmt numFmtId="175" formatCode="\$0.0,,&quot;M&quot;;\$0.0,,&quot;M&quot;"/>
    </dxf>
    <dxf>
      <numFmt numFmtId="167" formatCode="[&gt;=1000000]\$0.0,,&quot;M&quot;;[&gt;=1000]\$0.0,&quot;K&quot;;0"/>
    </dxf>
    <dxf>
      <numFmt numFmtId="13" formatCode="0%"/>
    </dxf>
    <dxf>
      <numFmt numFmtId="13" formatCode="0%"/>
    </dxf>
    <dxf>
      <numFmt numFmtId="167" formatCode="[&gt;=1000000]\$0.0,,&quot;M&quot;;[&gt;=1000]\$0.0,&quot;K&quot;;0"/>
    </dxf>
    <dxf>
      <numFmt numFmtId="167" formatCode="[&gt;=1000000]\$0.0,,&quot;M&quot;;[&gt;=1000]\$0.0,&quot;K&quot;;0"/>
    </dxf>
    <dxf>
      <numFmt numFmtId="167" formatCode="[&gt;=1000000]\$0.0,,&quot;M&quot;;[&gt;=1000]\$0.0,&quot;K&quot;;0"/>
    </dxf>
  </dxfs>
  <tableStyles count="3" defaultTableStyle="TableStyleMedium2" defaultPivotStyle="PivotStyleLight16">
    <tableStyle name="Mine 3" pivot="0" table="0" count="2" xr9:uid="{40804846-A523-404C-8833-A514894EC89C}">
      <tableStyleElement type="wholeTable" dxfId="0"/>
    </tableStyle>
    <tableStyle name="Slicer Style 1" pivot="0" table="0" count="1" xr9:uid="{73BA52A4-14FE-4CB3-B7A8-86DF5D078FBE}"/>
    <tableStyle name="Slicer Style 2" pivot="0" table="0" count="1" xr9:uid="{BFC6E5D4-CA92-4561-8AD5-364EE61CB2D6}">
      <tableStyleElement type="wholeTable" dxfId="1"/>
    </tableStyle>
  </tableStyles>
  <colors>
    <mruColors>
      <color rgb="FFEAEAEA"/>
      <color rgb="FF002570"/>
      <color rgb="FFF9F9F9"/>
      <color rgb="FF002F8E"/>
      <color rgb="FF040404"/>
      <color rgb="FFE6E6E6"/>
    </mruColors>
  </colors>
  <extLst>
    <ext xmlns:x14="http://schemas.microsoft.com/office/spreadsheetml/2009/9/main" uri="{46F421CA-312F-682f-3DD2-61675219B42D}">
      <x14:dxfs count="1">
        <dxf>
          <font>
            <b/>
            <i val="0"/>
            <color theme="3"/>
            <name val="Calibri"/>
            <family val="2"/>
            <scheme val="none"/>
          </font>
          <fill>
            <patternFill patternType="solid">
              <fgColor theme="2"/>
              <bgColor theme="2"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Mine 3">
          <x14:slicerStyleElements>
            <x14:slicerStyleElement type="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2F8E"/>
            </a:solidFill>
            <a:prstDash val="lg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Analysis!$C$16</c:f>
              <c:strCache>
                <c:ptCount val="1"/>
                <c:pt idx="0">
                  <c:v>Total</c:v>
                </c:pt>
              </c:strCache>
            </c:strRef>
          </c:tx>
          <c:spPr>
            <a:ln w="19050" cap="rnd">
              <a:solidFill>
                <a:srgbClr val="002F8E"/>
              </a:solidFill>
              <a:prstDash val="lgDash"/>
              <a:round/>
            </a:ln>
            <a:effectLst/>
          </c:spPr>
          <c:marker>
            <c:symbol val="none"/>
          </c:marker>
          <c:cat>
            <c:strRef>
              <c:f>Analysis!$B$17:$B$29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Analysis!$C$17:$C$29</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479D-464E-9B81-81BC353E710B}"/>
            </c:ext>
          </c:extLst>
        </c:ser>
        <c:dLbls>
          <c:showLegendKey val="0"/>
          <c:showVal val="0"/>
          <c:showCatName val="0"/>
          <c:showSerName val="0"/>
          <c:showPercent val="0"/>
          <c:showBubbleSize val="0"/>
        </c:dLbls>
        <c:smooth val="0"/>
        <c:axId val="1875550384"/>
        <c:axId val="1828649424"/>
      </c:lineChart>
      <c:catAx>
        <c:axId val="18755503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1828649424"/>
        <c:crosses val="autoZero"/>
        <c:auto val="1"/>
        <c:lblAlgn val="ctr"/>
        <c:lblOffset val="100"/>
        <c:noMultiLvlLbl val="0"/>
      </c:catAx>
      <c:valAx>
        <c:axId val="1828649424"/>
        <c:scaling>
          <c:orientation val="minMax"/>
        </c:scaling>
        <c:delete val="1"/>
        <c:axPos val="l"/>
        <c:numFmt formatCode="[&gt;=1000000]\$0.0,,&quot;M&quot;;[&gt;=1000]\$0.0,&quot;K&quot;;0" sourceLinked="1"/>
        <c:majorTickMark val="none"/>
        <c:minorTickMark val="none"/>
        <c:tickLblPos val="nextTo"/>
        <c:crossAx val="187555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[Project.xlsx]Analysis!PivotTable14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Analysis!$H$25</c:f>
              <c:strCache>
                <c:ptCount val="1"/>
                <c:pt idx="0">
                  <c:v>Total</c:v>
                </c:pt>
              </c:strCache>
            </c:strRef>
          </c:tx>
          <c:spPr>
            <a:ln w="28575" cap="rnd">
              <a:noFill/>
              <a:round/>
            </a:ln>
            <a:effectLst/>
          </c:spPr>
          <c:marker>
            <c:symbol val="circle"/>
            <c:size val="5"/>
            <c:spPr>
              <a:solidFill>
                <a:schemeClr val="accent1"/>
              </a:solidFill>
              <a:ln w="9525">
                <a:solidFill>
                  <a:schemeClr val="accent1"/>
                </a:solidFill>
              </a:ln>
              <a:effectLst/>
            </c:spPr>
          </c:marker>
          <c:cat>
            <c:strRef>
              <c:f>Analysis!$G$26:$G$34</c:f>
              <c:strCache>
                <c:ptCount val="8"/>
                <c:pt idx="0">
                  <c:v>0- days</c:v>
                </c:pt>
                <c:pt idx="1">
                  <c:v>1- days</c:v>
                </c:pt>
                <c:pt idx="2">
                  <c:v>2- days</c:v>
                </c:pt>
                <c:pt idx="3">
                  <c:v>3- days</c:v>
                </c:pt>
                <c:pt idx="4">
                  <c:v>4- days</c:v>
                </c:pt>
                <c:pt idx="5">
                  <c:v>5- days</c:v>
                </c:pt>
                <c:pt idx="6">
                  <c:v>6- days</c:v>
                </c:pt>
                <c:pt idx="7">
                  <c:v>7- days</c:v>
                </c:pt>
              </c:strCache>
            </c:strRef>
          </c:cat>
          <c:val>
            <c:numRef>
              <c:f>Analysis!$H$26:$H$34</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1"/>
          <c:extLst>
            <c:ext xmlns:c16="http://schemas.microsoft.com/office/drawing/2014/chart" uri="{C3380CC4-5D6E-409C-BE32-E72D297353CC}">
              <c16:uniqueId val="{00000000-391D-4203-9E58-D062E50346EA}"/>
            </c:ext>
          </c:extLst>
        </c:ser>
        <c:dLbls>
          <c:showLegendKey val="0"/>
          <c:showVal val="0"/>
          <c:showCatName val="0"/>
          <c:showSerName val="0"/>
          <c:showPercent val="0"/>
          <c:showBubbleSize val="0"/>
        </c:dLbls>
        <c:dropLines>
          <c:spPr>
            <a:ln w="19050" cap="flat" cmpd="sng" algn="ctr">
              <a:solidFill>
                <a:srgbClr val="002570"/>
              </a:solidFill>
              <a:round/>
              <a:headEnd type="oval"/>
            </a:ln>
            <a:effectLst/>
          </c:spPr>
        </c:dropLines>
        <c:marker val="1"/>
        <c:smooth val="0"/>
        <c:axId val="1875596320"/>
        <c:axId val="16585391"/>
      </c:lineChart>
      <c:catAx>
        <c:axId val="1875596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NG"/>
          </a:p>
        </c:txPr>
        <c:crossAx val="16585391"/>
        <c:crosses val="autoZero"/>
        <c:auto val="1"/>
        <c:lblAlgn val="ctr"/>
        <c:lblOffset val="100"/>
        <c:noMultiLvlLbl val="0"/>
      </c:catAx>
      <c:valAx>
        <c:axId val="165853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18755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Analysis!$J$14:$J$18</c:f>
              <c:strCache>
                <c:ptCount val="5"/>
                <c:pt idx="0">
                  <c:v>New York City</c:v>
                </c:pt>
                <c:pt idx="1">
                  <c:v>Los Angeles</c:v>
                </c:pt>
                <c:pt idx="2">
                  <c:v>Seattle</c:v>
                </c:pt>
                <c:pt idx="3">
                  <c:v>Philadelphia</c:v>
                </c:pt>
                <c:pt idx="4">
                  <c:v>San Francisco</c:v>
                </c:pt>
              </c:strCache>
            </c:strRef>
          </c:cat>
          <c:val>
            <c:numRef>
              <c:f>Analysis!$K$14:$K$18</c:f>
              <c:numCache>
                <c:formatCode>[&gt;=1000000]\$0.0,,"M";[&gt;=1000]\$0.0,"K";0</c:formatCode>
                <c:ptCount val="5"/>
                <c:pt idx="0">
                  <c:v>75691.049000000014</c:v>
                </c:pt>
                <c:pt idx="1">
                  <c:v>54000.040999999976</c:v>
                </c:pt>
                <c:pt idx="2">
                  <c:v>40995.877999999997</c:v>
                </c:pt>
                <c:pt idx="3">
                  <c:v>36495.541000000012</c:v>
                </c:pt>
                <c:pt idx="4">
                  <c:v>36357.307999999997</c:v>
                </c:pt>
              </c:numCache>
            </c:numRef>
          </c:val>
          <c:extLst>
            <c:ext xmlns:c16="http://schemas.microsoft.com/office/drawing/2014/chart" uri="{C3380CC4-5D6E-409C-BE32-E72D297353CC}">
              <c16:uniqueId val="{00000000-BD60-4BBC-B5F9-287E0D1B8EFF}"/>
            </c:ext>
          </c:extLst>
        </c:ser>
        <c:ser>
          <c:idx val="1"/>
          <c:order val="1"/>
          <c:spPr>
            <a:solidFill>
              <a:srgbClr val="F9F9F9">
                <a:alpha val="34000"/>
              </a:srgbClr>
            </a:solidFill>
            <a:ln>
              <a:noFill/>
            </a:ln>
            <a:effectLst/>
          </c:spPr>
          <c:invertIfNegative val="0"/>
          <c:dLbls>
            <c:dLbl>
              <c:idx val="0"/>
              <c:tx>
                <c:rich>
                  <a:bodyPr/>
                  <a:lstStyle/>
                  <a:p>
                    <a:fld id="{EFBD6AE6-60A2-4236-9E7A-8325A423C1EB}"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D60-4BBC-B5F9-287E0D1B8EFF}"/>
                </c:ext>
              </c:extLst>
            </c:dLbl>
            <c:dLbl>
              <c:idx val="1"/>
              <c:tx>
                <c:rich>
                  <a:bodyPr/>
                  <a:lstStyle/>
                  <a:p>
                    <a:fld id="{2EC0F81F-5CC0-4644-9CB3-592D382749C2}"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D60-4BBC-B5F9-287E0D1B8EFF}"/>
                </c:ext>
              </c:extLst>
            </c:dLbl>
            <c:dLbl>
              <c:idx val="2"/>
              <c:tx>
                <c:rich>
                  <a:bodyPr/>
                  <a:lstStyle/>
                  <a:p>
                    <a:fld id="{33E8DA5C-BABC-4AA2-AACE-5969F403A1F8}"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D60-4BBC-B5F9-287E0D1B8EFF}"/>
                </c:ext>
              </c:extLst>
            </c:dLbl>
            <c:dLbl>
              <c:idx val="3"/>
              <c:tx>
                <c:rich>
                  <a:bodyPr/>
                  <a:lstStyle/>
                  <a:p>
                    <a:fld id="{D7796091-FA15-4D14-99AE-9721C9C5FE93}"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60-4BBC-B5F9-287E0D1B8EFF}"/>
                </c:ext>
              </c:extLst>
            </c:dLbl>
            <c:dLbl>
              <c:idx val="4"/>
              <c:tx>
                <c:rich>
                  <a:bodyPr/>
                  <a:lstStyle/>
                  <a:p>
                    <a:fld id="{15580146-E27F-4856-962C-E7BA7FE51335}"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D60-4BBC-B5F9-287E0D1B8EF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570"/>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Analysis!$J$14:$J$18</c:f>
              <c:strCache>
                <c:ptCount val="5"/>
                <c:pt idx="0">
                  <c:v>New York City</c:v>
                </c:pt>
                <c:pt idx="1">
                  <c:v>Los Angeles</c:v>
                </c:pt>
                <c:pt idx="2">
                  <c:v>Seattle</c:v>
                </c:pt>
                <c:pt idx="3">
                  <c:v>Philadelphia</c:v>
                </c:pt>
                <c:pt idx="4">
                  <c:v>San Francisco</c:v>
                </c:pt>
              </c:strCache>
            </c:strRef>
          </c:cat>
          <c:val>
            <c:numRef>
              <c:f>Analysis!$L$14:$L$18</c:f>
              <c:numCache>
                <c:formatCode>[&gt;=1000000]\$0.0,,"M";[&gt;=1000]\$0.0,"K";0</c:formatCode>
                <c:ptCount val="5"/>
                <c:pt idx="0">
                  <c:v>15138.209799999997</c:v>
                </c:pt>
                <c:pt idx="1">
                  <c:v>36829.217800000035</c:v>
                </c:pt>
                <c:pt idx="2">
                  <c:v>49833.380800000014</c:v>
                </c:pt>
                <c:pt idx="3">
                  <c:v>54333.717799999999</c:v>
                </c:pt>
                <c:pt idx="4">
                  <c:v>54471.950800000013</c:v>
                </c:pt>
              </c:numCache>
            </c:numRef>
          </c:val>
          <c:extLst>
            <c:ext xmlns:c15="http://schemas.microsoft.com/office/drawing/2012/chart" uri="{02D57815-91ED-43cb-92C2-25804820EDAC}">
              <c15:datalabelsRange>
                <c15:f>Analysis!$K$14:$K$18</c15:f>
                <c15:dlblRangeCache>
                  <c:ptCount val="5"/>
                  <c:pt idx="0">
                    <c:v>$75.7K</c:v>
                  </c:pt>
                  <c:pt idx="1">
                    <c:v>$54.0K</c:v>
                  </c:pt>
                  <c:pt idx="2">
                    <c:v>$41.0K</c:v>
                  </c:pt>
                  <c:pt idx="3">
                    <c:v>$36.5K</c:v>
                  </c:pt>
                  <c:pt idx="4">
                    <c:v>$36.4K</c:v>
                  </c:pt>
                </c15:dlblRangeCache>
              </c15:datalabelsRange>
            </c:ext>
            <c:ext xmlns:c16="http://schemas.microsoft.com/office/drawing/2014/chart" uri="{C3380CC4-5D6E-409C-BE32-E72D297353CC}">
              <c16:uniqueId val="{00000001-BD60-4BBC-B5F9-287E0D1B8EFF}"/>
            </c:ext>
          </c:extLst>
        </c:ser>
        <c:dLbls>
          <c:showLegendKey val="0"/>
          <c:showVal val="0"/>
          <c:showCatName val="0"/>
          <c:showSerName val="0"/>
          <c:showPercent val="0"/>
          <c:showBubbleSize val="0"/>
        </c:dLbls>
        <c:gapWidth val="150"/>
        <c:overlap val="100"/>
        <c:axId val="108857967"/>
        <c:axId val="16596911"/>
      </c:barChart>
      <c:catAx>
        <c:axId val="1088579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16596911"/>
        <c:crosses val="autoZero"/>
        <c:auto val="1"/>
        <c:lblAlgn val="ctr"/>
        <c:lblOffset val="100"/>
        <c:noMultiLvlLbl val="0"/>
      </c:catAx>
      <c:valAx>
        <c:axId val="16596911"/>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1088579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[Project.xlsx]Analysis!PivotTable15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col"/>
        <c:grouping val="clustered"/>
        <c:varyColors val="0"/>
        <c:ser>
          <c:idx val="0"/>
          <c:order val="0"/>
          <c:tx>
            <c:strRef>
              <c:f>Analysis!$H$39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Analysis!$G$40:$G$44</c:f>
              <c:strCache>
                <c:ptCount val="4"/>
                <c:pt idx="0">
                  <c:v>First Class</c:v>
                </c:pt>
                <c:pt idx="1">
                  <c:v>Same Day</c:v>
                </c:pt>
                <c:pt idx="2">
                  <c:v>Second Class</c:v>
                </c:pt>
                <c:pt idx="3">
                  <c:v>Standard Class</c:v>
                </c:pt>
              </c:strCache>
            </c:strRef>
          </c:cat>
          <c:val>
            <c:numRef>
              <c:f>Analysis!$H$40:$H$44</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0-863F-44D0-A54F-99668DC094DA}"/>
            </c:ext>
          </c:extLst>
        </c:ser>
        <c:dLbls>
          <c:dLblPos val="outEnd"/>
          <c:showLegendKey val="0"/>
          <c:showVal val="1"/>
          <c:showCatName val="0"/>
          <c:showSerName val="0"/>
          <c:showPercent val="0"/>
          <c:showBubbleSize val="0"/>
        </c:dLbls>
        <c:gapWidth val="164"/>
        <c:overlap val="-22"/>
        <c:axId val="9612591"/>
        <c:axId val="1292573008"/>
      </c:barChart>
      <c:catAx>
        <c:axId val="9612591"/>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292573008"/>
        <c:crosses val="autoZero"/>
        <c:auto val="1"/>
        <c:lblAlgn val="ctr"/>
        <c:lblOffset val="100"/>
        <c:noMultiLvlLbl val="0"/>
      </c:catAx>
      <c:valAx>
        <c:axId val="1292573008"/>
        <c:scaling>
          <c:orientation val="minMax"/>
        </c:scaling>
        <c:delete val="1"/>
        <c:axPos val="l"/>
        <c:numFmt formatCode="0%" sourceLinked="1"/>
        <c:majorTickMark val="none"/>
        <c:minorTickMark val="none"/>
        <c:tickLblPos val="nextTo"/>
        <c:crossAx val="961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971760279673923E-2"/>
          <c:y val="8.1786932728637851E-2"/>
          <c:w val="0.84872054588868073"/>
          <c:h val="0.89415808705705691"/>
        </c:manualLayout>
      </c:layout>
      <c:barChart>
        <c:barDir val="bar"/>
        <c:grouping val="stacked"/>
        <c:varyColors val="0"/>
        <c:ser>
          <c:idx val="0"/>
          <c:order val="0"/>
          <c:spPr>
            <a:solidFill>
              <a:srgbClr val="002570"/>
            </a:solidFill>
            <a:ln>
              <a:noFill/>
            </a:ln>
            <a:effectLst/>
          </c:spPr>
          <c:invertIfNegative val="0"/>
          <c:dLbls>
            <c:dLbl>
              <c:idx val="0"/>
              <c:tx>
                <c:rich>
                  <a:bodyPr/>
                  <a:lstStyle/>
                  <a:p>
                    <a:fld id="{FAB336FB-67FE-4941-88BC-251CB1E403BE}"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99B-4647-90E7-92E4C31F624E}"/>
                </c:ext>
              </c:extLst>
            </c:dLbl>
            <c:dLbl>
              <c:idx val="1"/>
              <c:tx>
                <c:rich>
                  <a:bodyPr/>
                  <a:lstStyle/>
                  <a:p>
                    <a:fld id="{CE8A19BC-8D99-4F2A-8ADE-1C7AAC1E770E}"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99B-4647-90E7-92E4C31F624E}"/>
                </c:ext>
              </c:extLst>
            </c:dLbl>
            <c:dLbl>
              <c:idx val="2"/>
              <c:tx>
                <c:rich>
                  <a:bodyPr/>
                  <a:lstStyle/>
                  <a:p>
                    <a:fld id="{680C582E-474F-41CB-AFA3-37B208FC7630}"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9B-4647-90E7-92E4C31F624E}"/>
                </c:ext>
              </c:extLst>
            </c:dLbl>
            <c:dLbl>
              <c:idx val="3"/>
              <c:tx>
                <c:rich>
                  <a:bodyPr/>
                  <a:lstStyle/>
                  <a:p>
                    <a:fld id="{5B4B84BB-4E22-484B-964F-179224113A1E}" type="CELLRANGE">
                      <a:rPr lang="en-US"/>
                      <a:pPr/>
                      <a:t>[CELLRANGE]</a:t>
                    </a:fld>
                    <a:endParaRPr lang="en-NG"/>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99B-4647-90E7-92E4C31F624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2570"/>
                    </a:solidFill>
                    <a:latin typeface="+mn-lt"/>
                    <a:ea typeface="+mn-ea"/>
                    <a:cs typeface="+mn-cs"/>
                  </a:defRPr>
                </a:pPr>
                <a:endParaRPr lang="en-NG"/>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Analysis!$I$50:$I$53</c:f>
              <c:strCache>
                <c:ptCount val="4"/>
                <c:pt idx="0">
                  <c:v>Bookcases</c:v>
                </c:pt>
                <c:pt idx="1">
                  <c:v>Chairs</c:v>
                </c:pt>
                <c:pt idx="2">
                  <c:v>Furnishings</c:v>
                </c:pt>
                <c:pt idx="3">
                  <c:v>Tables</c:v>
                </c:pt>
              </c:strCache>
            </c:strRef>
          </c:cat>
          <c:val>
            <c:numRef>
              <c:f>Analysis!$J$50:$J$53</c:f>
              <c:numCache>
                <c:formatCode>[&gt;=1000000]\$0.0,,"M";[&gt;=1000]\$0.0,"K";0</c:formatCode>
                <c:ptCount val="4"/>
                <c:pt idx="0">
                  <c:v>114879.99629999997</c:v>
                </c:pt>
                <c:pt idx="1">
                  <c:v>328449.10300000076</c:v>
                </c:pt>
                <c:pt idx="2">
                  <c:v>91705.164000000048</c:v>
                </c:pt>
                <c:pt idx="3">
                  <c:v>206965.53200000009</c:v>
                </c:pt>
              </c:numCache>
            </c:numRef>
          </c:val>
          <c:extLst>
            <c:ext xmlns:c15="http://schemas.microsoft.com/office/drawing/2012/chart" uri="{02D57815-91ED-43cb-92C2-25804820EDAC}">
              <c15:datalabelsRange>
                <c15:f>Analysis!$J$50:$J$53</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0-199B-4647-90E7-92E4C31F624E}"/>
            </c:ext>
          </c:extLst>
        </c:ser>
        <c:ser>
          <c:idx val="1"/>
          <c:order val="1"/>
          <c:spPr>
            <a:solidFill>
              <a:srgbClr val="EAEAEA">
                <a:alpha val="24000"/>
              </a:srgbClr>
            </a:solidFill>
            <a:ln>
              <a:noFill/>
            </a:ln>
            <a:effectLst/>
          </c:spPr>
          <c:invertIfNegative val="0"/>
          <c:dLbls>
            <c:dLbl>
              <c:idx val="0"/>
              <c:tx>
                <c:rich>
                  <a:bodyPr/>
                  <a:lstStyle/>
                  <a:p>
                    <a:fld id="{C0F40186-B4FD-431B-A262-9C182A4EF660}"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99B-4647-90E7-92E4C31F624E}"/>
                </c:ext>
              </c:extLst>
            </c:dLbl>
            <c:dLbl>
              <c:idx val="1"/>
              <c:tx>
                <c:rich>
                  <a:bodyPr/>
                  <a:lstStyle/>
                  <a:p>
                    <a:fld id="{981091FF-263B-4BD8-8DC5-0617D3E20CD3}"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99B-4647-90E7-92E4C31F624E}"/>
                </c:ext>
              </c:extLst>
            </c:dLbl>
            <c:dLbl>
              <c:idx val="2"/>
              <c:tx>
                <c:rich>
                  <a:bodyPr/>
                  <a:lstStyle/>
                  <a:p>
                    <a:fld id="{17B9F206-6C56-46CE-936D-B75780AA8001}"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99B-4647-90E7-92E4C31F624E}"/>
                </c:ext>
              </c:extLst>
            </c:dLbl>
            <c:dLbl>
              <c:idx val="3"/>
              <c:tx>
                <c:rich>
                  <a:bodyPr/>
                  <a:lstStyle/>
                  <a:p>
                    <a:fld id="{18B26401-3C34-415D-B64D-C890F96BBB45}"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99B-4647-90E7-92E4C31F624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570"/>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Analysis!$I$50:$I$53</c:f>
              <c:strCache>
                <c:ptCount val="4"/>
                <c:pt idx="0">
                  <c:v>Bookcases</c:v>
                </c:pt>
                <c:pt idx="1">
                  <c:v>Chairs</c:v>
                </c:pt>
                <c:pt idx="2">
                  <c:v>Furnishings</c:v>
                </c:pt>
                <c:pt idx="3">
                  <c:v>Tables</c:v>
                </c:pt>
              </c:strCache>
            </c:strRef>
          </c:cat>
          <c:val>
            <c:numRef>
              <c:f>Analysis!$K$50:$K$53</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Analysis!$J$50:$J$53</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199B-4647-90E7-92E4C31F624E}"/>
            </c:ext>
          </c:extLst>
        </c:ser>
        <c:dLbls>
          <c:showLegendKey val="0"/>
          <c:showVal val="0"/>
          <c:showCatName val="0"/>
          <c:showSerName val="0"/>
          <c:showPercent val="0"/>
          <c:showBubbleSize val="0"/>
        </c:dLbls>
        <c:gapWidth val="150"/>
        <c:overlap val="100"/>
        <c:axId val="108859823"/>
        <c:axId val="1732687856"/>
      </c:barChart>
      <c:catAx>
        <c:axId val="108859823"/>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732687856"/>
        <c:crosses val="autoZero"/>
        <c:auto val="1"/>
        <c:lblAlgn val="ctr"/>
        <c:lblOffset val="100"/>
        <c:noMultiLvlLbl val="0"/>
      </c:catAx>
      <c:valAx>
        <c:axId val="1732687856"/>
        <c:scaling>
          <c:orientation val="maxMin"/>
        </c:scaling>
        <c:delete val="1"/>
        <c:axPos val="b"/>
        <c:numFmt formatCode="[&gt;=1000000]\$0.0,,&quot;M&quot;;[&gt;=1000]\$0.0,&quot;K&quot;;0" sourceLinked="1"/>
        <c:majorTickMark val="none"/>
        <c:minorTickMark val="none"/>
        <c:tickLblPos val="nextTo"/>
        <c:crossAx val="1088598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Shipping Distribution by State</cx:v>
        </cx:txData>
      </cx:tx>
      <cx:txPr>
        <a:bodyPr spcFirstLastPara="1" vertOverflow="ellipsis" horzOverflow="overflow" wrap="square" lIns="0" tIns="0" rIns="0" bIns="0" anchor="ctr" anchorCtr="1"/>
        <a:lstStyle/>
        <a:p>
          <a:pPr algn="ctr" rtl="0">
            <a:defRPr lang="en-US" sz="1400" b="0" i="0" u="none" strike="noStrike">
              <a:solidFill>
                <a:srgbClr val="002570"/>
              </a:solidFill>
              <a:latin typeface="Aptos Narrow"/>
              <a:ea typeface="+mn-ea"/>
              <a:cs typeface="+mn-cs"/>
            </a:defRPr>
          </a:pPr>
          <a:r>
            <a:rPr lang="en-US" sz="1400" b="0" i="0" u="none" strike="noStrike">
              <a:solidFill>
                <a:srgbClr val="002570"/>
              </a:solidFill>
              <a:latin typeface="Aptos Narrow"/>
              <a:ea typeface="+mn-ea"/>
              <a:cs typeface="+mn-cs"/>
            </a:rPr>
            <a:t>Shipping Distribution by State</a:t>
          </a:r>
        </a:p>
      </cx:txPr>
    </cx:title>
    <cx:plotArea>
      <cx:plotAreaRegion>
        <cx:series layoutId="regionMap" uniqueId="{00000000-3768-44A8-B079-708FCC07DA47}">
          <cx:tx>
            <cx:txData>
              <cx:f>_xlchart.v5.2</cx:f>
              <cx:v>Sales</cx:v>
            </cx:txData>
          </cx:tx>
          <cx:spPr>
            <a:solidFill>
              <a:srgbClr val="F9F9F9"/>
            </a:solidFill>
          </cx:spPr>
          <cx:dataId val="0"/>
          <cx:layoutPr>
            <cx:geography cultureLanguage="en-US" cultureRegion="NG" attribution="Powered by Bing">
              <cx:geoCache provider="{E9337A44-BEBE-4D9F-B70C-5C5E7DAFC167}">
                <cx:binary>1H1pU9xItvZfcfjzK1q5Kyemb0SrFsAYbIPt7vYXRRlo7Urt26+/j6jCBrlsmBjuG1HMRFeYqiyd
zCfPOc9ZMvn3df+v6+R2U77q0ySr/nXd//46qOv8X7/9Vl0Ht+mmOkrD69JU5p/66Nqkv5l//gmv
b3+7KTddmPm/UZvw366DTVnf9q//59/4Nv/WvDXXmzo02Yfmthwub6smqatfvLf3rVebmzTMlmFV
l+F1TX5/fb4ph2ST3bx+dZvVYT18HPLb318/+tTrV7/Nv+uH575KIFrd3GAsc460oIoJ/fpVYjJ/
92tLySNlE6qZ5vruh90/82KTYtxzJLmTY3NzU95WFaZy9/pw5CO58cby9atr02T1tF4+lu7315+y
sL69eXVVb+rb6vWrsDKL7QcWZhL+09XdbH97vOL/8+/ZLzD/2W8egDJfrKfe2oNJmN3eL85/DwgX
R4xLyQUguftRj4GR+ogSSbitdsDw+2ffA/OEOD9D5W7YHJLVQULyR7L5ukk39wvz34PC6JECJpTS
GRqOPHK4zRi16RYtqNFWNbdoPEOS/Xh8GzhD5I+3B4nIucnqTfaCiHB1hGUXRCtu3/3APj20X8TW
R1AiQiWbK8jTouyH5NscZpCcfzxISBYmy26v6/C6qe/37H+vKJwcCSWIADRbWMhjWBQUiTnUIVTc
P3SrKM+UZj8yjwbP0FkcJjp/lOFoXlJhGD+CN6dY+p3fmFkyQsjR5Ha0FPIOOiD3yJI9LdB+cL7N
ZAbMH18OUm3+KONNVm3ARl6MgvEjR2vHZmTn8Z3HOqPpEWeaCCGcrU7NVOc5Ev0Mmvu5zLG5PEhs
lrfJptuUL8jGmD6ybUdJes/G5jRZHHHpSM4IIJx+Ztg8R6L92HwfOcNmuTpIbBabJPzHlFn4giSA
qSMqQJY10Xu9DSEgAURRRTjZwnOvtTun8yyZ9uPzcD4zhBZ/HCRC93HmK/PPq4VJmvTri2KFQNPm
yiETH3vI1BSYHJFUS7ZTIbz/0PH8p2Lth2v/t8yAWy4OErhP9Sa4X7P/nsLB5DHKFGzejsLRx3jd
EQXlIBaS8v6pW3V6So79yGxHzZD4dJis7TS7CV80zAEYMG6aO/e+fxbmIP4Eo1MazG4vN3iGQPtR
+TZwBszpxUGqCOyZKTc35n7DvoCawJ5pRwib71Z+FukQWxwJ2DsmAdlDe/YcUfZj8n3kDJTFu4ME
5QzL0lzHw/36vAAo6gjJTOpIsUvHzKi0I6AuSilG2F51eY5E+7H5PnKGzdnfB4nNGvoS3rwgV6PO
kdBCIHW5ZWJ6xqQdRDmOYpw6O2hmavMMgfYj823gDJj1YWbSjm9N6b8oMaNIlCElwzXZS6IddsQ5
Z8iz7cLPGTDPEGg/MN8GzoA5Pkz6/Pm2TJFafDljxvmRrQTF/2ZOH0k0KanU0mFbXZoFnc+QZD8i
3wbOEPl8mGzsPLwOQn+TvSgkjuJKI4zZrvyP/kUxW4OP7d6fMeTnSLQfmu8jZ9icnx6kfzm92QQv
yMagKwgfbUXvA/0ZMITwIyk0U449U5YnBdmPx27YDIzT5WGCkSRhZsLqBRXFPiLAAux3l22ee3t9
RLgjmXB2OU+8/5Aknz5Dop8A823kHJvD9PenpntBFsYpfAqXQvH9ZTPNjqaoXxJ79/7MgD0lzU8w
uZvDHI/DdPNnL539d8B7uaJaqb30SzuwbDZBeeB7P8BDTXlanv2Y3I+boXJ2dZAW7K1pwuqFUy/2
kXZAieW3iOVxHkwTlG0I8mCOveUC/LEJe5ZI+7F5MHQGz9vDVJrzTVVtroOmuq3rl/Qy9AjZfaZs
vYNg5vUVSpq2QJ+Ag2LnQ6V5tjz78ZkNn2F0fqAYhegHqEz9kt5GopdJE1Qvd6EjmakQPyIa8T7K
0jN8niPLT7D5PnSOy2GmLs/Dqpr+n+fh/SK9QKIMfRgUhc1v9OtHfoY+AIrk5i67OeMBzxTqZxA9
mNEcpMP0P9N6mKZ8SYTg96VC2p/v0jKzMszUFYBEpiJ0F2rO4prnSPRzeLZzmWNzmGnmi9uv5aaK
X9KuocsJReWpSLblbHNs9BGYg6LoGti+P9Oe50i0H5vvI2fYXBxmV8DFbbt5ySzzVLwUkqN7dj8j
IEQiDyBACJytS4JHekgMnpbnZ7hs5zFH5fNBsumL2+7VySbNqyB8yWYazo6kI0Cn79WCPaYDoGti
qjuDzX1Tq8fgPFOsn2H0aPgcqpODherNbVndDvcb+b8nBxzJGwYQBNvvehRyaWAOOPawK+XMIp9p
+zwt089Buh87R+jNwSJ0ftuH1y+Y7kQzJ6fwP4TvHNBMk4gtj4iN8oDt/GDguldPS/NzbO7HzrE5
P1hs/jZl/IK6Q49wZoby6UjA3c8MGSWOQKttWMFdYvQHatC9ekqin6OzHTnH5u/DxMaUdfBqsSkN
ktMvSN4Y+jIYKgHfKMKsEVohNe2AIUi50605Qs+W6yc4zcbP0VocJFrvgvAF7Rs8EEfDM0537Kdx
aBbAOwztArukKbTsIVN4Spr9yGxHzfB4d5i84F2coMD2omegoDcO4ygebA2bDc/ysI9To/cGLse2
Fcqfdz8zTJ4h0U9w+TZyjs3ZQerKn2F1bbIqfNnCtEQzgGBypzA/5nMUo+i/0fu7a54l0n50Hgyd
wfPn6UHC86689c1LYsNACRycEmDym2I8VBxC7SOc7UDDIJ+lqZ+WZD8k9+NmeLy7PEg83t9mWTUk
7eZFzw7AxTgaRwd2mWl7bs7Qlu4wx5nKclvUUFt46GKeK9V+hB6PnuH0/o+DxOkywKHsV6fVyx5Q
x4lCSR2Yrt3pAP1jjUcQJHOmo2t3PzMq8Fyp9uP0ePQMp8vDtG9Xpvm/IdawczbuC6BklzaYhT7O
pHHoIsQBgi1SM2L9fLn2YzUfP0Pr6jCJ9XZWy038spU5JBAYYlDk27ZYzIIgIHhEmY3inZwld54r
z68wup/NHKHD7J76CP+EGy5ub+8dxH+fgUOM6nC0sNu7LLU9KzDg2AfjjE5n27ZkfJbleZZI+xF6
MHQGz8fDrJ9+vO1f9LQuwYlP5nCYsW9L/5DNaVQgkPwBb/h+BOEhb3hSnJ/BcjeLOSR/HSRT+PO2
ql99DtHH/qKUDnfZ4I4Ogebc3dLPjBockETSFFnR7w7qITTPFms/RLPhM6j+PMxS0P8BSsgTEOpo
VLe3rmdO6IAiWLlAN+/2/Rmhe45E+wH6PnKGzefDJNx/blCgy/z6RYNVhcwbYVCinxCDu2AVB0bu
+xJmnud5Mu3H5+HYGUJ/HihCg8EFXv7LEQP070IpJDoLdv25M2KArgPkEggK4PYubL1/9vaI7p9P
C/QTbO4HzoE5jOLC9S/vFds6gS1te/TJ//QyNY0UKHQHp6W23GAWAYEboJMXJ0LvL1WbcevZdWc/
F2s/RrPhj2by/+kutZ/fs/btErrlpt6s7m6ve3DV2q/fvZsu7tSbDd3lY/bitl2705vfX1OOVf52
J970Fbtxu0Prj6+Ym4273VT1768tKY+0Ygx980APDY02QtcOJOb312DgkzsDU0dXA+6icODNsqnC
8/trtDMwpPQA9+6+o2oKvDEEJ4cZRXFDEzQRaVxP8e3SwPcmGZB7/LYau3+/ypr0vQmzusKFfdhT
+fZj0+ymJyKBqEFsqJLIM1IIkF9vLmF28Gny/xISlRnpYnHrEK9u9IrmPLeShZ234fhZiCaPN9wq
RbXOiqEa+LKmvQj6hWU8+6uflTyzFob2sXqjAzE0y1hbWXHS6TSpzhOR5tbgmrgX+VcR11Fvllir
JGILXylOblVvhuYyCXqVbBxH5N41S1khL3wZFjlzUxJWEIXnokzfBcSuu2zpJ6KMc9d0Ik3fEjUU
ENlPUzKc0ZRl0T9W1RqMeQDpnkUC8Xu0RmhmoFyjMWjK+GG5sCMerpEiadgEMnBuvc5kUXFSpzzh
Jwlvq1KdjJVfh91iDHPcYJLYXki99a8fT2CVHz9/6tRjqAqjJI+zFXp6/wFGY8ScStoyvIlIzOJw
URsmWOBqTa0iWpd955f1sgxqnweuxa0xz953nA0VXRA+yo69qWWQVbFrTMFKcoFkWYH3fi0ktvBD
GRXapBmO5ICXoTQ9bcvHMvZBaNGgZNaNtMrWpkt/VL4q1onDa2a7WVlL+SUWtlcjK/ZN3Z7GZnou
1zgAgesmKJqB58/Nm8EoYzHnxh+w56Tb2nlS/RVwj2a+20VhE77LPFzXWbtBYHAphfvrx+sfpq0Q
y+EArOYCzfxqWpYH0PiiDS27D9iNpRJVsIXobCk2UCSrPjVjqJKL0CKGnLO4GJqruLLtMXDByxIs
yn8qCbrSJOprOFAw5dHsx5IEKvCSaLDLGy47qNx6IHIk8VqUXVPxVeh4XH4pGyxB4VYSfVRfjD20
pV61obHz7glU0D36eDcICpKHssTUBowTqLPdUMvQjoY48649PWaiPDZFnnrDyvLSSg/Hg1P22CK/
nj+ZWTI1cX5kNSZFxWE+nHp5vAC+HiOh89r6irY0lVonfR1MCpH2JsDFoE0X8ZEvwrQaaO72mjIs
hAjtoLlKcxkNi8wiZXal0yAts2UhTEkv0zbMqq+/FnOypw/srQI7tnF6CncL4qI7aMvMljSd55R2
MfZf+7IusQnsJraBj913TFhuX7LWusppXExKU3dmeglzv3kCnx8WC52MOMjFbMRKnHGYtseL5RS0
qodKmq9ZIizY8AjWa+zcdrDrQZwxT8DuV36D28zSSGSwqGWelkScOFZktbFbBLC2k+UfAozKwjFp
z3gf5yZ9wqyQuYIh24tQj6JjjAJhKWf+qWddlutsZF8rj0orXUV1lSfN+2KswzxbdMVQQDhLpS3e
M0ORmmHpxONgXXV57p1Wukwif5GOoz2cpUGR1Z6baVt69aIRtpVcylT7Y7qgTPcwidSKBpK9sUed
4Fvj0OuK4gk1JYhwHm0ApN1QOdLSRpiEM6ViZjGwM7Oizdr8ixJGRGKR2+iVK1zPa7QuF2RUFky7
N2ytZ9JwvNfcmZOceA7e6ruayWLddOxpHeJzK477LkFGhCaEoub4w7aI+7hKvcDkX/ISWlSsWBU7
/JySgA1nrGoGLIf22mT8nAb9MCi3CcquCBYw+J289IvRs07KlEfj59JqKnnhhHIiCD1v00Qfx42Y
4DEV09hCQ6tEe5mXUTx+HhMZd7FrJ8nktEKsPgAymQ7wSzbgasHPTtr3wI6JaMBLNdp+7SxzUbFq
LVUzYRf3fgiCUdw9Xju+NXSuY/oIX2FAHiB5aGUTN6hzkcabvpJZka91W5L2ijMz1m/LMvZKN0nS
kqYLy/fS/sTncK5/Z07m8c+t3RJsMuX44BltkRlQlF/bhrnVxOor9D+A43Ml0T452xrMGzKf6Dz5
MpK0Kn23p7bKK7czkUlOWVN0MBS/fuLcGtHpJCcl8NvoBdQ/PLEq7SroUtb9zcZm2oxdwyfzRysV
w3nLthDyixexEZuwo01d+ecKhgX79NdiTNd3PlIKhvtxqYKvQFso5WDJj83RyNqmsLRMP6c8S2vm
1qYR1q0pggLWKIirjKxKT5nwfVs5PixOHgjjr3ynpq1xcWVLl7RuTf3iLPEcedWzMnEGt+qIbC9r
x7LDRSHG3pxhE9mBG9ncC3OXe5JMyh7Y2IemDcAuTr0orifNb9Ei/m66zzcfXBaXrG+Pfz3juV1z
cKrMnu7Aond3/CAmeDzjWHpB1hWV+tQ2mQ0SK8qSgsS247RvOUgWPwlI12Pb9rFmePHrO2ZryXza
0qyJOupdeb2ctjQtwjEtT8KcsslEFmNlk3WRtHkVHo9iiKF1XpdOnJoMTgrtVKSAGv16SnRm2Rww
IAduE1YNCCK/PTPVBcvS0UQZ/eTUAYNu1bk/CVBbrJlU906PUZAYIJsX9JOKw1ZOJqXMCzgaKyCg
8aQX069MEeNMRqIjxU/CLpnWoRg6Iy+8osenwoBNUxz8VFbr2FIlW+dO2bJqMcBfYLpPTG0WAWBq
GjfPUZyWQWqRg+89RqvuY6KSxgyfmN9OlqouC2ytMRlDc13bTkwzd6hNMX5WNJv8Y2oZAkB6mSb+
sBpTSWp/rZnVdJ/AUkssR6ciht3H2hHWJAstjS3GuySfrFsDs3kS0ryDWavBSPDAsPZs/AsxFsFS
pD7HUtS1Cqx6IZImgkoEmkb413Z9JlM4HWn5FdOe6agDugB2pahwEHbaP1Bd0o1cDrKwPrapMrAO
W3pLA6dv4wUiy8DPnjILM3c0PZKj25/acEso0c8DLzsyYK15rz5WDcEOqQecDw2P4fuxPjzKuREr
r7NMX7kyYQMWPGm9DJQFRg+r1JV9Ur9XsnK8aO3V3IExgEK2lyUqMvAAqQXFr/sMjmoHm190GZay
T5wMugItmuDw434CwopCghc9RLq9tE1qIImIY/imWNZTnPrr1eaaPbaJmPzkBGAkcPsEWNA8sgEd
rCzf7oePQTDIxHPrJmb5wutsL7qQdOTlsCqCUuaOqynVUeCWZREWb+ykYb1wc7Ad66z0U4ufe2mg
2KLoTO9f22Fin3Rew+UyVplJbniUjOVlamSKv1cwkqR7x1ti9+PSiTIt8kUB/lg1664TTntRFoHX
G1emdkreMrskepllpSaLqK+b0nNN7xRj5AZZW/J+4fdxC2Vox7IbEre3RMSjtaak4VcyqQfuL+ye
NF1znOsuIB74m+fXp3WgwMwWaky6cURYi62Yn/bx4DVuUeWRXLda+WwpUqsfP3bS0PBzwxPfWzJe
U7IYEJ+awZV+XemlDmkXL3yR+Cc4CVwvC2N345mnM9s+Jh0J6Nq3KiewV3lsUv5pEK0fW5+0sfv+
Y1/3rD63qjqzLuExVHMjSinLT6Nq/cy4uTEkqD7ofkziYy9EdmM9Gu6kxtWxYTRYqHKsCucrSSMn
uwlobtp+ia0yFLe6qbvOXsRJV5HopPayQjhLxAEikcdeasXyQhNlxfFxK3NaJcFt4GSsxir3hDkl
Px+ZabGlR1JWefABTX21tFdZxvNcnTbaC4PkbSb6uPBXUevXXfu2E54fhmuPp10jLr2MsuJURjzw
nTX2imSxm7ejDbeeVE7Yade3uCzqZeCVYzScdn5lBeFxF6bwNotYdxwGts3DRvxlrEaK6hSbo7O8
RcdAW8hFk4N1abcemNPLdwlVCi/19pdWGCZ4D925HI8bTcWLr2NTaNq+iWSZ+/SE9Jal1GKIRNyo
4z6LSJq4greTX7SFFWI6PhNwKpveG9DPuIhEoIX/bujyLlfvI8+KumStYmbR/DRuBu2072TERKjd
QuspJ6HKWgTxZ+V7njWecZ5UWClrKGCyz2G1i0CcWcwrVfKWhEVIkvdR1EWOt+oiGAJ/ZUIcfykX
MFmTSENrJTZd2X4whMXSzuOodJZZbVsi+4v6NMPz0ijR+lPjO0WxKBF6Y2Wp04TwIAsig+lLID8o
i1sUeuL0PKgw+0UekIzJdRR004qxpI7xYqqgtq6yVE0mn7e176iF7mqDDTBm4BvHtS5TfC7fTjWo
xYjlKyLcaqfgSyoPT0sCgiAzI+EED8l5QMWfJOmndc64jpBLshqrBBRWFjsBvy0KBDTFugxDMK1F
55BBFYvQCURjAUHeFM3nOsqaMMN6WcFojoNm5KQ/dyI1iRwC6Xy8kthZeALDW8VXz+qnDSZLa0Je
DBZ+l+h0Wpq2JfgoXKxTdJChRScs5ribT1kyVnxFwi3A70SfG3kVC+5ptuCdRgLIzVVAsBa73eON
lcZXqsiaJufVw91iNNg15WLHcbUYxfQvVon4nNlhaV3tltrafvx+kbefQ6aAxueK5ikEIJkVtF/j
UOZheRxmbMCkCzriz8S4PmV+aF8hAPeNdsUWKDO2NbYaIu+m9E8zogdPuCQO2kG+02ljsEotTRN8
hObIsZULpDm8VruxPUyk109xbyF0VPl28VVvV9Dk0CDYte2cAhoiRlvkJpMdORkaZ4rO7S202+0h
vTjB+kgeYsRKqGSafC+HAPvUJ+X0mIAHEr8cTGGr4NNohbyp32CmbFre7UYam6GBlJjk9C0kLCuM
Q2WDYXdVdTCJvl1Qa+xG/MMkzHC1smyRxdHpiCJ8nx/7NpJI9qoLGwOd1pE/ZT6qDviGraLFVyL9
DNunEmCsmHzZguy+q5DLnr6QttMLb30HL0lmT+qQjmKSP2ukH3SfmsRP/HCd+Q6+NygY8dlJXA2K
1Gdsu1fCqNK1Ot4tuY7aEuL0IYvxJfAABg+P8jCGn29JMUr7E5hb5LTLvLDqLFzYle/h4SIKcG/1
sk5y5DYTJAyQsgFMQXOqjD+pcwP/it/FQyMjZx2DLPbDG6arpDcnNTd2mi4SzZO0db3KR9qQaNLg
80FdVHgBaRTJRVo0+O+QdsjbCbsjSBUVyOUnF21ce0gKdGWEp5PAN+1nmXk9ogBvGKe932mY8mjd
s4LCwjhlkDTOKknhYtNVb2Werk6Fhqvq/7ZlH8He+IkxcXyySydHdRKU0boJEsS71wOvcHTpJI8C
LMcxu9OZwjgJFqzyutgbP7PAMV39qWBd0MmTejv1XvsVlojl/RhjRrHfVWIlR5vAytUln5aP9Pm0
a5Cvmrb4Nn/qVHGHFSANneZbhyHFS4kNjs8XIbKPlhsmI/LKaCqMM+0iZTHI9JzlpMQn5ECmGLYV
TYV9tU2yjEQkpbdusqL06KnvFSO+Y9ym3jyE5cgaFoLHSFF6JEbom6aInbJFnSAxIc7SWE76VPMu
RBLej50appJJb4DPqwZYmmiNyHZavCZkU6qANk6MXHyUZD6G428zYZZ/d6BnnvWm86qyDC80i6Yk
pWng7s5V7DFZf+BIYw3eqvciawjWsstFUi2RukCznauQBJJfuM8IQnI4Qw3wR4uPmJXM0sltpMKb
tltJS4LNt13JqDbIRLPQDln7phtF6qkP8dh01lUJMo2swpgXWn6BvcX+srp8xApE3J7m4OWZBeOP
8HLKUiUh+CqYtU5Nl3+ReggK8pX3iUwupCzywVtzaqra+qcLSdR7K3g0lgi3SpD/thZOQlT5GRnJ
Lq4/2n4R+f7CEwML+stOgdsUN7oN24L+XXkOUhPHZdy0qV5YdKzizyNvKDduA+/QI9gnxIBTKiV0
Qxrs8jTSdNHil5ZqXdWhMtUvdzPZYlnkERLEC5zuHqZp3ZmbJGkn+6cHf7ImYP+T8oZVOn0iu8ve
exGdfieIbeETgz9MH/QYshPpCpH7VNsIEy+HKvtgi97FWA8kX0VQ1EkrdTq9s9uy4JSwRBo9lXhr
m4KfzKnlL8p+KJlyCS1t530TKL8zbmdnSNjzYfQ0Pe2KbNJy3xqndGCFOhFeOGhZfVqMNvY3t1F/
uEDecpI8DlFp/LJ7kCg1XFqBrWJdbSO2LIxGFbtRljf8Q7w1WPE20VjgmAF2g5UUUxKyKmXJ+TL1
08J4blDIxrpqQpFjznWHKl77JqT+ROMC3uMZqk0msZo7hbNMDD/ieqKZlDynU5lxmXX9tCeVN9I4
dEVQZWm6CqIE2rjeLgjywJPRi3EaAt/LK2JFZwFliXKeSHzNAnrkcmAfsIMpjJskP6SVgxo1BOSr
6VVgjITUyvd7aENnYGYLi08alLRIvARuGxaT7E9Ed49ju+nx+GspOAu1vdN2nn4vm95YXaWQqtqa
xgg5YEiBOACa9OtHzRLo0CYb7QR4FlJW+K+cwvoHFarOiQvHA5W83yN23BuzKHKP83e4qnLa3VoG
E6hNGAFhw0sOyHbG8deyPE4hoKkE+8fBn/dxJMrh2Of0sSxeyyjSt5F/hb/LBDMWCjLx8arCzb6r
0YA6P7XOPz4QvXxIHEhHUyQX9SyvGAelTZLU9i6LPoOj8GN4/FM1xDBzO83+9QTJlLb7Xt6ZZjgd
KhS4V8WhuAVvnsjsk4j7WZ3Iy53F6IJxStoPkg1CrHteOe06yr2x/NB0bIiWaZNN9pyVMA1WNXL4
oyckerzTIRFCqemmMaa0QGPPvCw2aNvq1MCKy2SrVB14HXS8b2IPdj102hAQBLwZoJmawTmAWljB
JEiUs6IZF22ByH4tUmaE7fYwLcMCpr7Ax6EfHrkIB4Z4ctFt61n51sz+ehJzGAEc/kyajT9qh5Qs
wR9Uebxv4HeLmvZWexFU8WSZxjsilFciaz4MltNwXN74/FSXQAEE50Hw5ybu2nCmk7yPn6d6sBFc
3NZc7Nxe7wdF5NoGltW4ZYVbY/+z5yHlPx1CgWLgfB2/a5p/qKOs85CJbsPoYuuWQJInNFScQC+y
qpgcxq8fOJX3HmxTbAiUn6YLgNCPwpHRnOUzu2Hsw3IU8YnKrDIWC5Wmin2RJRTmKRX88VGAzkEF
Dy3pCDLnpi71aDo0vvRPtlSkFciOYB/RIsXLr2e1a8V4MDHkCvGou79ngCunHRybe4ycbaMuo8Kg
Oi5HagfViop+6kZocFVVY/6pxgw19IWpfORWtZt6I6JFtxZ+TdIzeGu04PgLE+fI/LylHLkH+33q
Cd83JwO4gTAXXh/GpB8WHkXJ6e+qKFKEQWVEeVas0qQZab2wjS2rdOmUAqm2t6wnhsn3elvPiyWC
EfbOy1JS9OexH7QaLTNNK0OCnEiEVo0TBBoqTJeJFeWAYkdQlIVhgRtvaQUYugNnIe/M2DbUiDsb
prsLUgrTjdBwogFdSy0QWkMdxAkZbfABUCzZqAtWJROZs7bcJkdxFNpu5w4ZQzeu6pSMblaVOguX
MldJ1Lj3KY8CbjNwd0TmjkGhstZhfcfCmZy4KlpklhBbxJKucsfgkWmMqKJ9Y6NaEfqLpE9xudcx
8vlJlHxioL2aXcih1jw/jaRtTcmAqi2RZx22cZjuhooVyyBuUqRdkYFRqDK4UVA7xltYjfE7O3UL
nMQT9L0udK66lV9AuYuPYtDtaD6i3jBVtMABbSovTF2hiPAxzJFt9pdoQkI7wTooC0KiRUpAOv8Z
EHpWzhsh+45+IaIfaucCaTMv/5BpHcV0FWWVZSMSxtWPfb1AKxdq6avMDMB22fV0LAfXtpCZaBeg
ZkQ4i4EPXvc21lVdjS7K0V2IaFo7JeqiYWBXx9xO6u6rtNN4CJYeB+HO3FRlaflXhsyL1bjOtuS2
s0UF6uG+fOuksNvROgsSSRuw6DuehcT3xBOHrJ6cznZrJHdsMFNJjJCt1OiIyd22tGVKYMl8oyAG
jWPqdrHV6o8w4sa5yjNtJes0FL5wA9/vrsQQimg5hJ13HPKWnYQ2G0/Tsm9PkMkwl6qUdNFrEVyo
sE5s5Izb8qOHTX3CfWEqF9oXfI3KPPnLt0Oz7DXxEIsmrD5GsIuUEs3EmZPbX0wMdcy6XL6VXZgv
FQ8CoGtb5TpSPV9FJmzejVFS2yuw8nrlDDZLsGNleh3kzRUlPD8rueWfpW1Vr0SFFDR6X/yT1jR6
GejO+aDyoEBdPw9vwqrwlkmQ++7As2wpPF28cUaargcvQxU4ywXHVztDtuBRptYdvvLUQTz2texN
c4y+B++m0HFyHPckGd1BR2IdRLa5yjly826CFE3lWsz4n7p+dDaJlQmE8k36sXNouLJpbb/htg5C
11gWe8uRpluXdYWDQpHyPiB5GKJfqWb6hqDUg3iG5OSypVEQrvMhs1akSuvLquVIOMAULKuhb96w
qhxiV6Sds/CU9gLnr7ClejhFB0JzXVEekZVp8hphTpgGg9vicuVbpxYqXVqeVb5JNdoRlpzU0Ye+
ZTHipNSciaomxcJzArOxoyp/2+Oa/7NKkmmHemKqofpt96YHnT23VdyeIvttvQljFtClA+t3Q7qO
Ze44OiRA2Jxbf3d50d0WltUvaEjGTVVFhqKjIEf74DhW2LlBkicuOqbKZpmPXdy/kY1f+K5N8vBi
IAqGGCHVou1Ywt6gyzzJ35R9Ua5p3tAzkaS9i0zvZ9EN13bjeRecQH3aqqmXSC3aoev3aauWYjBs
xVWdXeQBL/8e8h6czEZ526/cJkYPRLxQoS9y12oY36AybVxGk+zYIFHgUjutP/T/y96X9taNa9n+
IjU0SwQeHvAkndFj4thx8oWwM0giRZGiSIrSr+91kqp7K8ntVN9+XxsooGIkxxqOuLn3mhSN/M3c
rYbX3Jj2cerW6Vl7JeJq8tbXNNKKVQznB8a1BOaGhee7rU59udyTeO6Getwce2FCbRVIHvGEfO2p
UspFbwhIhJOKdVlbHdJz2o/py1zm/poB73egHVKLg1JTURtMmEhte52XgeyrIeLkRQdoapoS/Rmr
MjZP9/mS8z0KfZ7XpN+Ko4lkdw+dDrQdS6cfYzmqg7M+OjDl8hed0McFc/LjNomtPEwqXSs2ifbL
ihty6Exh7Q5t4PpgNMlopdMJjC1vTRV2zp1ywtVhQh8aVW0xk0cyGvKaeJW8Y5rKV7e57YvFA964
QsY3KYQFhxA7RTP5yTygvwyqbBnddaBn/nEL5XhIhohCmQU4+bZbwxR7mUdFCllfAg/KeH4sQMzU
ah7ZgWdWP0LbleD8XXyOwjHZszyZPwCXm+7J2OljtA7kQQi9XbUzm3a+QMnFGCz62zENzVnbdLkf
Z6rf6bJMPyXcoTjE0+pu01Vg8QDTuosSY6+8LpZTv/hEArcpxwPNRdpgPIbCErAHOW2BpteUdvrN
FpfdYwno5MO0leYdNvz2iMVW3GxRYKBhyvv9QGh2DYY7SmojyNCU2zomeN71uN/aQN5zQPD3rZdq
qqEMCfd6YdMHZWzaYrjetmtNUnsFoRIHOiDkuzbZiEDNFn6XFLw8RuD8aqe29K50bQJkXgefAxpD
g3a9ZunWk3oVHr1uU1hA2uU1zxJXmF2I1KPBVANR9HoJVHsPlGW4DdJ1fBqMfsFnWgC9ffQ0C3Qw
zBbs1hMG+WWmov5MpIo/2oDapR66JbyB1Mc+9rFz06GLhyStSRcVVymVutyTUIzkLLpSNeBx061y
4LubkmyiqNhmiKtEQsdbGYDvv1qDqcC9zsPF6OuJOBA9kdfRchrTSdwlPg3eFCPpVZ173cldR5R+
y9reiR0o37W7Ej2XfRPoMYMIkdIoOBRunre3azlq2x0urUfYkMnjdVAcd00uLT9zzOR6qKMCnUud
CUvdDdASNteJjdp3S7HJtZbhkF9DrkejZonQIl4ZDOLmKesx/WnUEa1MlqNxakfIio7O5MU5i304
sndbstLYVaufQmLPMYpdeCpTMAKHaVhH3XRuzuwDCVrOoMBpB6IrHdB24HWQEv/QJ1DNVHGXDm/k
GgXbYcGgyeqwmOLweiHMj3WsgePfFAPKaQOB3NZIIFtnFpu+hkGUn02w+pndDWuQky3B7R9DLxrg
NIJfVFoqzsSdMSkrTbPmLB9iAOyzxHooQW/WNlpjsUsjO3TXvAM7W4kRMG+9GT+NVSJWED+FZfw4
9mkmdy2IwhveAyZtmO/9MWnxFoAmL8OuACTGdHTirVagI21WrFW8gP3OTWxug4z4ohaMpnNVpDwB
FAfM7ilSgf7sCFqTRKs1PkhJo2TXui62cY0WrgtkDW4eUrSlKrr87RqkskBjZsu1H2pUUoN/IMOg
R/4aitBU5rtODarK2inyZMdFERXdTsVeZtlNFLjcPoLMFfTIpjJ9aZ37uG1d+9h26mNLVMYqjAni
YYG2Y0dLqg8hNo8QRSLXoL+K7WpY4+FWJ73du06TWk1qU1UBmaaqhMjEgx6HvNE6Xytb9inqqzPi
k2npti/kABqv9fQGDGMZ1pGfl6nZsNmk92TukocCAiLd9A5YD54HPDAV9HDL50gq/kZN41zu5qJo
r2c5ygc7zabdWd86egJq3BZVIDw5CcmmJh6nYc8nmj2MPIx2xHTyitMsuIm5T69iBdJStjPIa4Kx
qIljiuANW9jD5uN4qPBGmkE0IXHTvFNRLm+hH1zMSemFVmReQl9PvGV1ms9OVSQSFBpSCCLtac5x
cbsVIPfDRvFqKQreezow8GuNxqJcqm3l+ha7PDb/PudD0zP0FzgF+ha7Tr+3BclrO6ruifVt9BHI
m99DtEMOMiRiX6iC3Qcs1LUTefccjuJxYFCCtRjc9kVM2Qe5xEZWWSLlhySk+mzjhPqKas/Kugc4
eqYqxkW3IRDu3rsaw25yxzCWnN0S9Z94lxQfOW2jZx4ly7UDc9tkapKnBJDxE8D3mF9qmldVwsLp
Jqc0Qd+K4nh5CNNPKb8Mw+soLru2j+dX6cqg3w15DyIUYLLMT2M29rKede8NuKZNAiwsFhbVyYA6
UuVBz7KbQc3xa9d1hlfxgHOo2FB0Zc3xe2vAX3gmulVlJ5HbuGhMByGnRq/F27NQ0rxXmNq6mqsk
CT9i4110RYJyccfA8LwxigXHfsrix4tuYB9tjtuqXwN1l2WevVpXKmwPmDz30lKooSTNkmtQd/pK
rRCVVLpFS3PtZ6teeWx8X8+AGV3Vu8F/MmbFWsGixJxmFVDMzw6slavAyLndyFxyBkjdQjLV+w3N
PGSjX5AZ7uheFJ25SlfMb1WAdsQ0A52CbBdMAprfcHPZk5mH4UOhnK/5nMzNEAZTeGuXInoAu1YS
qILQw1W5WbrhsKCpOqP6jcvOT13H0MoRtJ5QcQTyNumWKKgtvSjxVhFmaqeVg8MAihQ8RHXaiY6l
3O1bl4NKEbxmHE2a3l3GWFfTdepj9NTJSLfncbYjv4tltMwNpgrKUdJILjdV68i2w3oIwpiN6V1u
E1pWPJr65GWAbDQYaxeUntE9CDPuwxveyVySGtO2T1Vlt07Mti6w4WZr04G/KofKQs2drs3oVir4
1VrSOAnr2WIAU/eDAzqUVB4yb2L32qqpf25bnsq2WbBUQKPAjZOMunJ+krnZt+jVxpPtbCC+ztPs
XbbroH8S4y6bwLU90DAG93JQEEqZsdFrGoTsnlnF8T2kAeRSlkHJDA7AQeaOy/8iAlKEuI8zG9eG
qM5nzxlYpu7hO1gbqAvhYAZygUbjiHp1BXPjhbqHXuDCg2AdbsXnNqWhzw/QVW9Yb1M0k/6DVUsX
dNVYAugKMNlStuTYIlCOzZPtACiU1wYNpb8NGQnXtLbtbCd+2MBu4dvClscke01KOzrRZIOx63iV
WFzeVvUSKou5huglEfQhMZnq810OoWqfnENrp1VCh9Qb9DiYHdppr1TJUI8DIxsOFdJNDDEXWndF
UDFX0qOJKtNDbwqxrgoorAOS2teQVNlhSXft6NN+2KkFihsC7GCU5fWG1q/c0WDIKVgwR4myVZRO
JN0V65akB/B+4kmVdngMoK4xVSxhPqtSi7Wzg9pEfA5Hji4L6vdO853MZ9I1TkOn4qstnkA+brld
v6nsz6Rv3T3AUncEDtxfy5AmNY9ze8OidRU7lQiItRwBEayC4YERvxSnCS1cUSWjWtPKjwsfD9qE
UDH6Ui0jzDmOf1ZbSDlKaypolWMftY1JtvXt3AeLR4MQDDt0oJgQKVNZdtB5akRDRelfg436VVVR
u0zR25L3PGsWxPl/0nillq5m5jAajFvgMI1oFnU7tBN6Ptou4+5zG/gL4oKOOh7rjXftHj4tR4O9
sFEJcU48kbGmYSrlLl3D+RjNsvgwuCGN5rqgcStrAIp9hgm1WOdbUeahbeIws+YZ0gfIJqBhhcqu
hqZjcmiQohi6IoBbty0mb1GlE/rwGw/CzVdLwotdwfPhHLSzhJTdZjBXQFunBKQb8WrnphwzAkoq
MN0BvgV8MYVvgyqBtu44qWFitQVg9rpBsIBng5I3NgglrnNT+zxS/n7Fl92khJZkx6Ct+BJAvATw
kKn2OkAZnj9iuFy6NwUT+tJ1JXF/RAeTn3VaZP0rSmSyHhKXsrdySegNZJLt51ZHuPPlsnnI1agF
MrJtva9UHy6Ppc/s/aKHDpcAGxvY4UJIVNNCwKzAM/I2AnxYNITJ5RQBtOibBdqY90uSwkeY8Tk9
jiljkCfq7GGirdybeAyfcz1HFSmgQ+z0sEGhP29rBcvRegtPZdw3sZ0dTF3DCIE86R1xpzbXUKfN
4wY5aEsXj9Mlw0UagWm4VmOxxnswROBZwwTGwqZ1iUPpDeB36CujCsgLk3ae0BSM63yTWGWv2zhy
ZRNmrSr2EEKod4svDFTHZsRVQg1QfEx1V7aVQAN+NwWXjndG9MdYoade+yrnlECOwqe+a7ChMyiv
AJfcbwIIQLXlSuU77iCwa5JQ9Ltt8vhMm0FOB9mIUI1L1Ndl7sZdTGdfLyZbPxSoFu7Km1GrZphc
+XbOtLE4XJZNGAh6oEAiljfJQOOrsht4AZkQXUWlI0qugqCLX9eh52cfqPkeWj1WQwMWv8AVY0fw
DAVZ6z6bma6LJe3Xxi4rm6tBl4bubNeXA+qvToYrFsVrtjf5kj0FtFP+FsgVTwAGSLFWgxLRh55A
8VAJCDFuJRQm4a5YshVDAYnhaphomImdiFj3jmdeLzX2TXR16M+bLtFTeblv+d2SLIChk1jS23IQ
yfMElUVbOTt8SGYhn7WRskK8AbBHKCohlGodHvlBf2iDJWzRW/mgDtB53GgLe88M3OXj2NrgpBkW
daN7XtwZa+TZZBO8Hrrg18AFimNAw/IJiHFf4DFo81cVb8nOp+H81uk1PnG8ACWumSuXS7cWCkhn
RkA8xTyXxznpxrzZSIDGSfTEH8YsdsNbuGX7RgPcajQe9bSekszu0L5EV+MqO2gDl+i5o6t/JtRE
lZptCOtkxneiHOhXyIrDJs1S81ii3T9EKY1eJRTozyE+klWBx42D5P8ZnpvyxoPkPyhnsOpK+wKB
srlXNlxpVRoZRlgH2z1pA46OJkrFAfuBHjFmzElTFhCn4NPXyxTr9wxgR1N6DCoTPMVb5btIPgXl
kD6wLklFnQLVPyk1RqDCoLTkSfJptUD/9Y4r4EH6FRsUF64BBw4X0zMmWinUW53OMs3uDOsmVPkZ
yXnQJukJ/meIBPzKxASuAYSjvEtXSGnWwxLDqxE3iQy96U6h7QTbThByr+aR9n7JPmVjKvmRyVKY
tKapDk3QlC5LF43ixaFmAacFfQQjUZ+HDYR30Ya2sQzXvtY816E/2dUDxazy2Gf7NB2X8mM+jgZF
ZVJ88APqWNaFWYM+DzqFJljztoWgJYXGCnJktPFQVa3wQmPRQMaeZpCCdkp+CadgLeYGhCaEertZ
LSvvwFj2LYdaSLX0IiLHMziBBmlZu4XTG5eUBiNMn/hc6ydZLtSxBkRsibkPlqHes1vG5GxlMy/I
iYx2oUrsPL1avrlorfBbVL/Wi0zRklWb6lAZjhQ2SUZqINaXK0nzNiTDoWu9K6b3Nmi3OKt6WnL8
HbTwRe6vAjNjYL5i60yHvPYhKQu3/xt67keDCMg/GKjxMnL0mGCl8+xnf9MYYuZgXpFPIYOL5A/W
O855BvpJJ6KF2nMp3SjqUKQ6LqpCDzAiVQN4lLk2yeiLR/aN6Pr9ef3ILuO0kLiQw66K/FOQh+CK
fuQM+2yFNanti89cqou3SXwXfghOBjyIgQRd9jdE5Y+c/OWIsHHjbly8w6B8LxEDf+V7ARqWJoRf
4ov4fkT3XVWTZKMGNT8XXWohgnOhD2D56BnIyu9fxR/5CfffGdHvOQCfpIKzpu3MTz/+33dS4L//
c/nMP/7Nt6iEf/6E14ZqOcuv5rf/Cm/ivYQhzD//ox9+M47+x9ldMhR++OGXOIf/IrDh7ZfZDua/
+Msf0hx+SBn5M8LkkncQwab9l4fjlziH/wcvofxnXPg/P/JHkkMUIoMjBVGP7y655KTAtPE9ySGI
8I5QOMHz7+IPEubxP6IckuI/QOuHsEfhDaKXv8E5gEq+pDkkSHkAAYsONYEwBjKNfyfMAbaOH3l9
rMoM50XgwwpxPr/IT8SErcjzfIESW4FkzdEDGTGMFd6rIcMrqVwJayObCrPZA4fUWITvQRWipPBR
ifldLFKzaVAWCSTtgwZjt7C6cDBKlg99jlYrh2+WjX1ka7V4YCcp7LkC8wpZjyxYlgAdMIRMwp0w
wIjZoc1Ba2HUzTisbIS0uy/RrZVqvM5QCM4yEC48sT5fb9aU0ncsmRS40fw5mKU7LNIVF4cIXBwZ
U9dMoGIK5m1UZRmP33V5v41130HFWBGxYF+DAYzsoB+elmbQWwubypD7txvmz5dQxZg5kJDhbmD5
xlwed2axwNdsv4GXa8PhMHo3HLyDc7DJiOxPuWin4pYQ41g9ryFsR0GAniNXqzkYzZ2tgotJuBMp
Pyqqlz3bdLGhax/xi9HRUo9CQt1dnNHxg1nW6O2CFAZ3kIbBWTHPrq1aYJa+ntt1q2YudMOyyT1D
ELs+0U0Wea3bSfmTl1CqYV7KcKGYdW38DKP/BE9HNBzmONdAX7nb5a2aomqO9PUCY8qFOwUVDl9V
p6qeL9kpp3PxRNjqr2OzkPnQM+jG992swWU7POoNXHpr+GbK+S42wSgOiRloncvMA5JnpoAskrGg
zhwYtAo5BFo2ocWmB0BQHKEP7BrAibbcx8uy7BbDZI167tr9CqoTN7pVKqujeVi+FrQPXzYov/Y8
w2rcc9rrHcSO64tA5km8h38hO1jp1UM06u4KjpnhWUIbUdHQRUutgtbA5tW1YRPr4g4KXd3YuKM7
AP6wJWD3i/DQRD5yu7Ydpv3qgCt2hSZ3PpvATlFta4tN/NwR6otKJoLDjJSA7cs6O3wOWSBPkKjF
JyNAjSLShX7EagDxBiMKeaXCRX21zsbxQ2um+B0dentatCj2QNwKZHKMdH5Ak/4pXLKgcWu5NTD8
owXHCuhPssDQDM7OO1K3eRldi3xIz7zLyg8QZ8UHN3c5rbJ5i6ImczE4llgESTPT6R3oaH07leH2
OhhBG8jv1yfbK3GkG+QkdRCEhFUqQLvqVDDfrdKPt1MG50plJGN9Fbue1hng2CbqqHzM28lUS0DG
E/iS9r2ZLtwpGv3hLU9VXM8bmDyAzwcjoZfRBU1tBWF0+CbrJluv0MeQvRzTGBbrjEb06hvMYTOj
7rSgBGLOcPgyRnw9TQTZC/6innJ+JdVIzScW9mkDp8BSZwC5jxdzDFDQ+MUv63vIs7N65C3xDXFx
oXmDfhnfIxy/U6dsfr/MYD9wWKiz7aq/b8v/uyv+y0jRv2QVJYj/+d22eHklz5+vbvnlY//YGpPL
LgfLIoGrBe0tRHp/bo2XXfMSLp9+19teMg/+SDn6tjVCC0ogl0RbhD75x60RCbLwEgMHhHjj39ob
s590aMgzw+HxwugUAWc5gfb3x55rYilsCrDuX+vY9utLinFkRp0uDMI3wJfAP5AsIFfXY5/IWQQn
GXcIHqohox6PcunDQx7M62edtBarLUQ182x12xV0pcWXSQ9F08PPqbfpOJo2hyalgr1vTSHqBAdo
L5NrHKv581CMsGHAz4OhawcQhXXkLuwDU7yBSMWBvFK5AZX1ANwV/uh8cSb8MCTL0K/VlgZQ+qDM
gb44gwFfal8WARa2wGwN+hdTo++u8++7dReDmMTmDb0qtvLo+74OyTc2+fnbhl+yNBnC9/33XmD8
3hnMIGPDqz7qud1hMvnUBbOGqEut9xkEEEW9raAcdmW+BttHNYZFj/f6QHf5vwvw7xYgJJjoJP8h
Uf2lL/3plbF/WYPfP/ln0Bj5DxJjAkS2TIbXO4UEi+CPNVhcXs2dI2QsRq93aVwxnP2xBpEKWEJh
jVmkgOgVvSMGoD/aU8SnYyDC0vlnctmf/fcPQwbS1f74+a9hYz8OWhl+dYQ4/CLJIvwZZ4ea89ex
hyRrHnAVqGPZD1872ZJDABlf1Zfg9/5yd/6bR0KUQJqEYE/xqqufjjSM6ZhuPsKR4g3GsBCBJqME
9ko7+zc+7X91TTgGah6s8SkAyB+vqTUBxNyKq6NZOHR4NrybnWAAtrenf/uS4BqIMUZcCGEc68cD
uWKIiNSbOq4z/8oH/pUG/VeG//9PDpOVaVRAG/zLd4SkMOiw4KyETmUhOwLPKuKqckRi+P5/cOvw
rAIQgCKoKJFI9OMVtQpjvgRqfXRUgBtEElJFZVxeayQi/P6iLr/pL6rgy4NXIocKoU6XjBO8MP3H
IxVOlIEhizp2C4Qy6Bzeogd7ioL1STkgvL8/2AUu+OVgABQukUV4ZcfPAT8BgDGsTamOBBRjU8xC
H1k5wRsf9C9h2Yq6h70EQRyo778/8L94FNF4J9iAgWjkcMr9eJWAv208dKM6gskDya+npMpIwJ8C
hj/9/lCXG/bLNWZFjK0CejKs6h8PtVlm1x643jGwkz4Kq0AZxSF9+P1R/uUF/eUoFzzpL9YVgISw
fdsBRyE+u4q1f3JiGc/ftsb/vyP9dOsWLjrpRhwJ9si1gRHyZbvkqvw3llf460XBkgNlOiEFfIm/
xGhIKmBolWjclYtlo0IXXFQ2xt9vqVh3hIaygRMS8S2wDh1DqE0bNiRkl0zpeL7k8eRA+gq/K32L
ZkCOy6ei60VdMJqc0EZFUELwrytCv07tFrkbVcyQkagN/UhMIBqQ6hKb0lGxC/kS1xY7xrHwk3iz
ahK/50UsTxjN6UeMeWuzCJ8daYHmQq4jOSwMzzOHmb/FQAwWuOKjLxs3tenJGPAUlg/jzsTF+GAC
lp5Dsi2fQOiQQ2RynHse4SgslVdLOWOm7grISndrOoSvjHdB3c84nwA5ey8CERMNd0btJWnVXRtv
sjHo6/LaJZQyGEIH4iH6NuSQU632U0g9Qm9sCWWXCmrYfQQiV1C4BCtMDZ1nDEUsikuHQPFdnmML
ANsZ7Q3QWlM7BL+cUyS9HZje5BVSJmVTiqk/lEQEdQFv/3vI9LMr30bsY1vK4SlfOMCAOVEfplzE
7ymuHSKeJVIflEjthnNyUDd3hSKmThI4+yqfp0FfwVU2PM1LCalzMIs3QdCbjxS35qpjkwLbz76G
Eb5Ty/L4vSj7r1D40AeTb/IEzBNnj1dIX61DLPleDyHgDrzQZOjugZ74t9BSpSdUdMS/OAG7cgtS
Am1A31VDbMdz38J4Ag647W/bRJE7Bmf11zwg0W0kGW6iHTJkPgVLWVbfHvthbtMzWNryGiDLCD8h
bgK1Hau3tFtrMan2HaTSuKS26PlHyFqwxSJdpKFZx2BdQFDRVstN5wNM8XGobiLrFGlyCE5AdagA
IaORm8t6hJ9mq/Jw1NfQr27vS4ik3/mRi69x0ckzrnHdjQaVMwzBfELATJ5knEfvklHi+cl0mAHK
TzOo1EjXObm3XpBrqHCTSzImvgJDQT/CaaIABUFAF9RAEcjTPAG6UGm4BbVLscWBhi8PJlEAdLJh
gYAIeR+tOwCjZS9kiYM9GbGO8kKCfuoJMKIZRvS3iybuedMbP2TKmmG/BDru4exKsm23MXjuLuJ6
AEE5REivG0HnH29YWynouKgZlmx+BMmtPrQsza6KdUANRWBPBndzkJwxR4F9g8s4qCHOSc9Z1/KP
E7Ikzp624057MAhcs68Ql5JrGuXJGScS7aNWrGApZsBfHVROty0nfgdBCYGMCt+QTbD12eQCWZWI
qEBoBn0Ag2x5Awqv+wJXQXYceQ4tYt7l2zUkfc9qXt0hEVJACoR4h922lOMZ1ODXmUKtPAUGWhKA
UES3X5D+UgDV8g/jFB+NdK8WeRhQ08AHYqnKr7AVFm86i0UZjTgtuPLcjYOIeNdyrPMUyEMVq4K/
LyO1XYXE78VWDHULxZSpAe5BWsuh+KoASuGhRlX091CKQ9gCjv0uQVO5n5AtueN2QDKJU0ibmhly
lzSqm1iMO0SXfVeluO5YsBfEypZ35cKyl8HP5ZvEmegWTpLoHYN94uwtniiOgvoRWSpIwh1W2bgR
lw9cBstIlBO5M6NdPs2BhoCqnVFzupSXb6IcQiTQPi/gcEvI+FA/EO9RvAFTDkGW1gjhKmDkhcrM
lm+o5Po6Wiwq2bdOyxI9HYZQQE27AmcTsCs1+YJDaymR7DWXSMuKouVTl40nNQLSbcGr4gnGdKf7
4S5RRu67JSnxJQh1N18cu72M5dUA5Twq+dTZHoG6ac0L3J0exHQDGVi0+1Z1l67/YHgZfQkXVCt3
eUaycItuOTX9Lct8u3cr9FDFgk6iCgKT3bI228/I+asdcjKha9pQEY0Ei7vl8rH3uENbQcfGhwVc
vMG81BbfMKuGUOtji93gHbTVtC7Bt53pZsWb2aL2BC2qB6IZdiN3AvecSLtPgImCinX9bULj8BXR
CObKIRGh5tLelZDQHYE1uQMyGMgBUY7BjdH9XQKb+3PAGGAw35kbyrb3fZgs70u+lk25yv6Qbsiy
3CCI340dlMOQkdL7gX8oJi2aPum+ypa2dWr6R6znJ+TZtse4lMGugxW6NmGiwFLOkDvKtT2guL8G
mbRVXGDTgywyPQVI4HmaRlRePaLihKKM3vWwMMgaabzQUXwrsnk6qz3ENtEesxcArRwCV+zbEHmB
srNHEWepPowdqZC+qIDizYQhZGwYUMwYhrwJjwgjoo4gyzohSS4kVamKHnIDDSR5dRNw/EElvYCq
YTJwsCPLUlRwKDzOIhZQ1CXiLAsTqlqWdjonw2wbGwkIVBtEiAF9vlpBwYoNm8+gUf9EscBFGy/9
0oScdcEhhay6Oy8wcDlfxYK68pw6K8eK5hYyEPDSRNu8QvxH8RV5Nl1ZlY6LLyrL2yrq2+IE9EJF
9bISPaO7ycLdRVPGcA8KDo7WaGPuga2ArmYpBGo1gv/YzqhOp80G6bUDqx/NH0seckRF+uFhYQnY
TIhOW3QIK017ZMGs7jwOjDfwe72mpUVwBWNVsCZQ5GRBB3IV6wuFw73JMhbcRIg0ZQ10Kx57dbwe
sE7jpJJshhx3KM0xnqyBNJC+ALDlkDTEgMpDWTbAnaNnAYPqrcUeHUF4CxU5wFHE45Ah2W6xXNtP
7VBEFmq+OaiGwiO1aAiCU+/xTsx90QrUtzRH+U5bdCeYltKlWiBnAPmMCz5yuyAkpEQ61eH3be9P
ydKYwvGqdMz+oGMzmHSRM/Zjhz1vW5vaORyOEzbQJo8Xd2NaGwLh1+gTkC8H100SgL+ON/QVnGh5
hQWfXRmwtX0Vkb8b1H4kRv84nwu1VgChwLD786DWxi3WAM5Hi+gJ4oUrzVFTl6J/GQf7FpEm0f73
d+CXyRBGWBByOBJARuAcP3G/c+oy0S5qOLoJTdhILcUGhe14HKF7ht9B/l3w7i/t/+WASKW4cH5J
Ar3Bj3d81GhwUgiYUVAmEDqoErLpZ+TBNkyLF+jRITufO/SDGaxC37adRW5RDuPEEu27aAhqJPhk
L3Kb3MHP2Nd/fz+Sf3V+WRTDaV38J3vn1Ry3lW7tX4Qp5HD5oXOzyRYp5hsURYoIG2EjY+PXnwf0
jI9E+Vjl+m7nxjW2R+4EbLxhrWd5OpOk5Qv7oeeSU1ppaPLEPikK+9gPbfFeWTX31NiNjAdD5JbT
Bh4KN1KSGd3VwPJkYRjJszQotFM+BKVMecSh6q8VNr2wBdQL4kb1zoVtpsGpZK94EggPN91QpxKu
XeTs44hT2ZpoXHFmLcpKYIAv0JNnZMD8ZedrhnetFkYLbNwpv9fTNHv+eCqWJVvR1TgL83cm6c9m
/uXuMBwqSp15NqTez8KAGFhzxtNL7Ds3o95mKxl2E9JipGuPdeppe42yMfQzMHJgNmAmNB0h9H9O
+f5ijvVLn00auOsjS4NUYXGZfro8O4V9SzKP3Qf02ztHi6sLaY+/OwZ+mVjwKgwq0JJgeIU/++k3
79N+iFwcaHvXpnh20UmtSubQq9qE1YMcq7JChY3mKhEUvX//Ac3lev9pkoD/nKuN+Q/QYSzpn14b
4TBe0XxM9nY74o3JUbqetCgKnoue0rgF9K/OAfaPezaE95B56ndNOuOmU4MTA8IvEe9x3jaIdgAb
4f3oJOWkLZo99XdwykhLeKvZUHUHLWppXD/e/X/n1b+dVzO0++GH/ot5daN+DPL8SNJgtswf+veo
miR7JqYcMXQzOrz6H9ZFRKjbQKgtBhzMnVkZ/TmptoJ/Ie70l8EPeyaYoNafk2oWScsQ24CZyWob
5In1T5QUnx8LPBYxHemc0eyNQNl/eg5B5OU0TsS892LDmcNosMtTPMXqrjAwf8SoNH8zu/t8o/OC
HuIQ3YFyboH+/Hyj5wFcv9lV+2nKGgzAw7By8UD/5nn/SR7Ct0rQCBIn5v8uu7iPm/GHw71zWp0R
UjLtVceEg/quvhZVM6xSz5YbOCF5aLTNuLbrTLtpQTLd/XAN/MVphp7l093OOebqS04DKjDezecR
Zd8rPx2U1+0rkFE4dMCjbPGo6PsBcslpIkHiOGVT0+LO8zCoy8iKWsZXqYZhRLecr5WPcABzia8u
W7oWGcYGNm0fpzBCA8H/F5sfpZKVazw4JuxoJYVvq8CM+Uq9150SNxbdOcYpf94DOcGa4bn1sXCd
+pGeFu7XUDDXkLHByh7HJ/2qyyZtr0MdvmXTIK+aURi3JsLLL53VR8fRbeWLXxQprXA1qPeEdd+W
SeJwn/el2rU48GjRaaiaKPWpdpGfnxJmfM+wyuQTxTt/cJx4Krb1xJ7OdaObYPAKMIit1KsDXxXP
znih6mDDRvCzMzFtYaj3WnPjzal5qyp6GoJUkrNTz+WpgseEpi+mOaEbaK4rXB4sH72xWyHi8JF7
JzP80CndR3oxri3EF0eB+v26LbroOPfetHNrIz/U3czbsbrhPtOL4b7OZvcrv465mVs6ztKkA+vd
qX5V1cj94BlcQ2Op7pIuqp56nTAURJSlvnfHgHtobKKj1ZXByTW0dF/jln4fGRnf6Q1/hMiK9sGt
8J5GE71THXfGLci89iEj7+UEqyg4FQUiTwTktZ2FsBiYPLr9DCUqzyUCS3p0XMMmBl1T3EiXjglj
prvKzKp5tSP+NhY8eVZxZuIewgawbH37+hXfi7pjLaB2btrnB3z08kp5clxPfZYn65YNbImAps0P
Erlq2LFeRVSjTTvNiMQN0wKxdf2kvgK/5ADwi4fvYBqX0IZObItc1zk0jOqZXni4j4JqvsQYwH/K
StSOKAw/NCY+cYC39ioCkrtytdo54wQfVjbCB/iMGQDVIClWgxBcigPKoe+GSLGtpqZ9jpFHbqIh
wNiB02KNRsRm7kYWyjs6KPni5RQjE8UL3cykpeW6SiJ8cnpUv1JpzJflmKg7c6Six1EiEEvVYquJ
skP9wngttenxkjift4bGd9vG/I4ZU/jNxyWao5P6jhZbbGehUKjUM7+E7VZqZxtc/wij5FMee9Ex
b8XTqLX9MaEmPMf+u94HOo4vjdkUtMDCPCSt86ybOOdNLAX3scm1GZoaw9WPrgou6zPU3eF7Z3vy
SmYOF+VkDohJ+KFczBHbqLapOgvLPgfd6Jx7ysPbMm3lU4/a7VnrbK5WTwBWMKPq2WJLfpEBU/w6
+crHk5v5yGPLsXphFd8iJAMLFwZNINYfH86n1D60VavdYDkpu/UENO1y9FX7IFtN3KiqM/xwiPl+
jM6IjnCfCrb1esrsy/QA9QKK2Tkwdl4luE1+pkL0tPewQh5ZrlOX6Aq0j4vb56pzzdg3mU0EhnCf
Bib63WuKF/0pNcpC4Hez5hIaeDdr5QZh7dhfYjKNnOMYW719Ywmlwtqe1J3hKxpht0/KEGxJs66x
l2+5DoE2dazGsORNHUdTX171VWCGOHqDo62JLx38uGsMzDea00M6kcXWTzznem4czk5vsq4aJ/4a
OdFVgTFkrXvcREzkk0NhirvWsY1Nn0f9prfVt9QvkLYP/ZtIzOKglTHCcDs5wIqMw9Lo5akqhnGT
O4jWW0DPb7gw6k2cthga6mibj41xBBAZrA3VeFBOnXgdS6pOYlvUpRbIQeHBiY5ANI8M/Op1mtfI
02UQ1Qfb1HMG2BPyeh1AADZvYgGKPH+P5dz5oeWU3q5vbbUK7PJGlV66QVcVXGRJLC+xHY9bN+GG
rbPCuEgV/U1PfsRhhhXKzA2Fog7TfQ/0XK1kZ/mbakSWKy2f27I0sl1CSMMK1I5+MQIZ3vex8RVv
WLB1ba89Me208o3Jd/+KFHx0V04dYCMrZn7DMGZUvjdl6uHbwZ9QRc2pZ6y0YmjeH+IxMHB6Bi5Q
D0hdaxW1r1YFLDt2Yp55PMB9XMQ85hJz6qDSuPUNTZ0RGp1osSH2yRQmQsuQW07PvjPQwFliuihR
6UFeEeIJZ0jlYZR31Q7/DAlWnit9pJY+5OrBtqgQrfqa6szf2j1ig4PkfNXXikMkCWuBjShEU1ld
2nkrL8Y5mjeVqZsHc5Lt2koS7qoWAR5z8HLBhqnOcI7Sbaa7ebSyVZMVWGjbcj/ma2vQqqPRuPML
eAPnYKpivsUJUMUrrHz7CTrvAdO9+gJWZF4PEbMqUUh75Zp5weUuhjDHpb+BS2pfe63NqooJew8u
diwWpBFzYdz/WgCjZYT8iEfEyh49l+EFToBxa0dqCHschts6yYFLxsV1bmg8yzE2HVIU+axNhmEd
a3Fwn/uxsctTrnjXqpKDP8C3DMbIvqxAdgBOGrWbAp/bFaxYdSTiaEB37wSJvandpviOGfAqiWbv
FEyd6a7sEddYCIbJWRd2Ii4lmr+DTMCUIGl1m4t8jqwnWBnY6DwHP3lojnl7kahY+KvMyPTvsiiK
fG17pTut9UwfDnNd4ygvtGYHqsF5GvM+TdczU3PoMnH7WljwlS4NBh4z87fSiJ2nYNBBwScAbkNg
Gy2TMWYTWy9xhm9VZuCch2ZLXSDr62nq8rVLbE218VkwXWhTnrOsV17mcfkVyYHYoubEvruygVm2
6OUBKab7qfSjdpWllXNW4J/2M8vpb6Zk/YXjTYnlt9Hx7VEiZZnFcyg35n3mtOWJ9Y3D4Sy7Nx+0
hVzF47L20kXLA0dyCr+XOTJdqbToRgpvuQcEZYIX6TJaxw6LwI+dKIpB5zynqXajVVLycZnsbnt8
g/46hgcL8EkVydp2J/kNa94sNwm+/ytj5ukMq7c+/lF84dxlMWCo9g1aZ8YCAW4ldXIRgeQnA8fc
UIbCccQy37KTrGv8WoMt1gwFyGzx3PKEFnneYyFi4l7hG+qajGlKIU34Q4nT8nAHpqrdlHHQ36em
FZ/BPIt16bjyKp4/3kVQP1oaDu8wquvlUJ4L9d5l1CRp4FGeBHVtfOEYLN8s6VbDWovx6LeUiUc3
5iAKi4a3o1qpdgk4nPsk1fntjFrzS3wWjdrFhasu9CHj8/fDuMZTr3YVxdaTbFmaQEym/MWf/OR1
U34wWz7CQm24JZFHvftKprtpjip82gDWjXRkWKocrMBsmq38IMygvv77JuJTgJJD22BA7PRM+iUm
45xAP0+oGoYSVQwoeR9rZn2MQCcv5bBXruqsbq4BIlHe4/BdD/wwz61acOxjyZfdd87vGhrk+T9P
L5b3srwTy3MM3k7waXrRVxYiiKzu9jbMuWTlYuY8exArmEOM0RHyFxzngG+2i/XpixdXhLO0jrWf
u+o5jsgV0HASHltrUBdQr+rHvgfKOaTmdDdScW9/88XRHP80alnerI8WynJ9AIdwMX/+4nzPFx4c
uXavpdAGhrZ0vyrJjQaHOTlrPVcdjyIuMGPgihcdOyyd59SRLX/1kknqZo+Nzx+KPzwlfy0J+2X+
E9C2IWZCSIJ1wf6l8Y3xXZsokNt9QfSjtQLtF61bNhKnedSGXQOWZc3RPG+UZfHgiXCaPWboW3bE
3XGb2oO4yUZ72V+4855BYvUm09y79pHDw66o5wW3s7ASOtTYf/91On9xIUIw9RleLOmd6GA+9ewO
u1qZq5GYl5pnmvJSmW3qIlDbSqGLkGk5rgO4EO+DqYY9zJN4qxnmi5/Jh7GMrU0KTGajOWMM9KCo
LofGtJ8GjHWX6WyJC10vrGfTFsl0SYxOOVw0SeIfiCwSa9bD8zaduKHhHGT7OEids86SaNPg1b2Z
crbgFJDztpxI7bITqvmm7oG/LCeMaffazRA37lcNwsp74ce6E5qlbeMvbjljgdZS947kTfWIiQ5I
xanZaZbpS0ADAMvGI1wi5y84iT9q9amc6+syr5czJWAZYgsK+qBAW2vrqYtvV8iNOUXySliGf8r6
mhoUjtUKSMtwH89ajGYecelzY/XCPUK28IZTHY0xX1KaxjyS2m7aOLFI9FUvrSjX9paV9QBgHGwK
rb3mA5XmPTkxmB9qS4qD5855fBCUNOtoXv7BwueO1noLRm8VpaSzDfBdfPMCvXD75uXwqXgaU9M3
eoJHBW4Tnzgug2ozcQijoJgo5dGL6CyOKPJpp/U93TdHrG+3D3pGq2lihly1jlbhHQvkfAl8iHVN
YstvKuuRa6RdukMCwf0kRq7IuaOhwCza33dp/uw19I+LVvHJH3MLr6hKIU4t310gRj89zjNfPg8d
7QbOpHUweHBcCwu9SiQSDj3f6fJD5/jVC9DH6sVWwDY6MzfB9KAo2Fqd33yhE/VPqsbpwSJpXLt5
2T4AC28fJqDbBwyW1XO3jB/YNi6Glm7AkzvncBpUPvawPuLi0LQZXUvpLePh1LsurKa/1yGzb8zS
rF4cuCQ73abDkgbd87opZ54AXWW0D2bGQKmuc3nVeSkGicjmNCHyxF/jeqQzimy781aVM3OPtHpf
sj4z+JedPtevVQkvHfp/HrZ0h6Q12vO+THgm1pI8L0oiHjlTsDxCF3fo1lEeA6DCrB9H5fks1xmz
EJASnGJDNsdUeeXJjfniGh6gu1I3HVaf5XDv2/TRGHSQ/CwTIIyP8qoQzIfgiDIhIBHo3ecuncnQ
nOWTcIsvw+RJbK4d7Tbm8LNRQiUqxsRdGTb/0VJbCuflXU92wBDLT9ngE4Gw/AYouQ/GcqtOy/mu
CzGCueMx5dRTv52aAptLBipz0w8pk5GleU0nnQY+mez6GqEMv0yFRfPt41ksyxg1AbMedSEsn0uV
ope5juXyVS1DiSr31MUc467CGIqscrkMzYkRDJd3re+nXlOXdszEw2pVff0x8SktLh8oozlsKCYn
dUEXnJMUwlwekRkEYf/UR66z+hgPaLHG12DXdLYMHPnql0HenPpqKyQDoTFJ3htwZpfEMlBrTIR1
wXCZmIX5MdMrXU7iBsDcxDKWxQJ9CiVZj7TtS90PDOdKmIgheM/8MM18oiUZgCHOzC1YBUg1zAho
NaMdHbp4r1UbcksYZzC4GzfEkHG+TIVzNoXrfKXg0cFDuEP70GUNE8HZFvUjrAwGZU431q8xwLhN
q3fqjgxQ5jYEJRxgYS59o82xRkcfHT8mNRrAydCn1GjA9+GHw/jPsKfGK7OxDF7+Y37z8ZCcBLPb
skrQAujad0Jfl3IZiitAtIJiqW51sf3j0kwZXUqb0VBZGdENupjyJCtoQTXL0pPftfVjZTBDM9qY
mVq/1MpjYSXnwabTWsV6x+Gume1blQfVM4sQdCd6HZxGj3O2GhO+wsSpm1doePwgQqD4wGnGKMel
PO8y7unleq6b5Rhuo6q9yFsQ/5ACPWpe0fDHeYgSt2ZR8CXL1Ju6ZHkK0KA9Gz6XhD337VtfR9UL
AU7xGYocYyOic1ausGkAOIlCAKUCTQEf8aO89QMmpLEoxU0xDkyRMF6vXXjatx/PBqNjBNz7cXL2
OPKZOzFERe8BqjzWoG8EY+ADfqMMqRUewLFRwyoobOZnFZWwTTu8StzMuJWQ/8K054ck+DA/qFwv
T6gG8B2aFLHF8hsklIdPbTsiIET4R3E+GpxmAC3v1UiZLAXzOb3KzVutKDlsOcceq9aXT4ihoyPz
C3f1MRIk2cU++KaMjnEJuC6bKD9bThOJ97oV2xjv3rauJooT/LxhwY2N2MxiCloRMrZS+lA956bG
gJoIw3srjWgVOgpny0XGZTJc3vCw5+L5OGYnj2+DyRFr8cqOH+jqlQzhry39RDsxhWqs6UvD0OZO
elTthK8wshjagS8T2/suGbiPYHbz1HIHSY9nca1pwNEnUrSeTdi8KSA9pz6yD2eIuByVFnvJTUPo
9Hn2TZzYbuow9dIWwQaBdWQCcDvGc8N0uuw8demx47u1aq//7hFCsut462FJgWeR6UkTIvNKfkMP
TclRt3N+IGCMJkamyRnR6PMwOHxrS/7pAWUbt8og+A7AydINDWP9SFWS2WE/KWAmuV4F1C29k16N
ms4hi8BpuAf/RgWpUK4OPT+4Igj2EmBNdPPxtx83pioyHjGa0TevDoygG8lD5VBCq/symZraQnFK
d9VYcUOnVJUxBABouaRnnW3pzbjrnXS+lO5MRzZ6ajshxe/tuQIb19LAfgyKvVY+2yad6bhUAWqq
acnASPQ7Bgl84vEAUXnc9779NDdxsp6XTUzHQGUD8o4XQ9fkHyFRVX8s9v+7qvzNqpLlPX3Qnzv3
XzaV/y9/+fZSvPxkEv/4I//eU/q4uhFsY+w2gLS7P9rafP9fNgcTYn6E/gZ/pQH4j62N7SaPWGxt
uoUUnxyF/11U6v9CbsLCHak2GDpIH/9kUfnL3tDBH7e8C5borEM/SxQyykG7tWxtH2ga25E0U5w0
gd3e/vCdfPljH/93zh3eLC4NbHq8mu7/okOYWQtidhu0PREF9IaAXtYAsfwzRzjbmL9/rV92rw5p
tIZF3CZGBhcd0Kc21TbIZULpvVdGhTnOXdRndN9He6aHlm6BAPTvX9AyPoteUFShszAcHZMhfbz+
SQY1idapDa+J9qlqIsCqddWdqqZHaodFvWIUxXPnXl8sulu9BxwEFIys9Z0LNbDc1Q6qbWdATMzh
xKNCZmmzDyoWL2ChG/1byRqAZ1YbYD5GDD/OVAqMXMwVR2R5pDlh5ijyYJdrTXf3IZUnlFhu0bOm
V5FCgWnHRHCvLZ4vO4r44kC3TPRjh4bcJPnnO0jv+T4RdnPvyfhSRyiyoYAraZdIepxNS1zatun6
qySz+muz7Yv32Zqr82yN2Z2pp1lY6lG+deqkBAfEXBYN37jXqwhp3FybO3/QyTwgfHVjJJMM885q
Lzyjq64a6SNLBADzouexts/dBUjZaOO+VpBPQnsKIpeHoFm9tixIT+5cTMCN56QP9XqEmtT49lZv
zeYpFVowivWUNF4L9kqN8dg+0RQ6qj0xMcy2XulB5xojrvOVjv9RhrpVlN+QHMunrI/9hywQ5k0A
4yRZjXobvGU+QZH0o4231GiqEqx70mnbDD5sICyRyTeR5JSbsJXzs54DL1zBg69OXj/2FwpG3b2v
ZjSmbEfXYC259rIZOLQNZPFMtNNNMlEkRRhAbxJykzatoTdP7AeGbTXp3dYfXA3dOYmab01RJLuk
TF5Vk8k1MnznIg78HojZ7CTFpuXLScoov8R+PT8Qbq9dW4Spn3RmkG3YToaAzzno2poxbkQDWpH0
wyP4EKGOgpVS8hxWqTjRhPZvMXCGb8JQWb6ZGRyWG61LgyNfQUuOo/tad6xJgTpelfnS0XtY3S3U
Y5RpF5HWTaEQ8V3QQhCqI5nvNOnDrIEKCjppLIlbsykKaZ5DT3YXmdbYmBq6mCAQ3c9eyByJ+D97
z1bUW+ukctVmYqt+E425eXKT9oszjSN9kO/Zx2Dg7pkcc7i0BPu5zBi+T4WnoZ/SOp7V5fytmyha
+GWdbzQI4gxKiqCRuetuaqdDl9T5Nwy6U56W86PWN9YVuyjqNjW3V5o3z5sxcMevACl6tubBsFWF
fV2OxYNnYS3bM/odBzvsGD6o19JNwd5HQ78orXtiCvKQxaCZhXObDWsRF8JhQ9crsVJ5jSKe9lxN
hzzQY1XQANXLilcDpXMv2pEgOowGPRImvoiqXvdqaLNbm7i4uGNYTFU4jLee6pJNYLRevHaAVoLw
jQgUCZ1adymz/bLcjeinvcdJswnmJKXGhNXpo7pj1aUpf9tmbVrbxAB2pLQxSYhvBkFrtbVkOsRX
bs2sLESrX45fYlifKOWkW7fJRRBpA3hwAtqcJ1NCgCbJpIy0ZDM2U2DeZwA0nG0Nvd9786aEHyrp
0KIchZJx33wVBXgB0FMB61zNkeJrMLA3bvSSY7gqPGc/6F1+70VKW3KxzEiFI6aiozMNlR6O84AH
AqltsHOoeo+EQNQnY8JVxP4NlSmprojTizmgn8MPmjHCWf6xF7nRV6X68dU1S8Z8pVEi6oI0dahy
MhPC3gYYidbfZjWvY2+ZsHF0RQ8OpKgjOB9gS6uL2rbhE3uDhzPCbSu23IuEfzHllK3uI/FVlGcf
SrOPcU0N9OIr4gZU6k6p9eDXhrG4nixbfrdxFJ54IynICiLIIJoGxbzu3ThPNg2h1Ac478E5d1L3
Jcc5lJDVORBx3XqYfEbhwYhnGlCuSO7m3zlah7/Fxwpk6VSduchconbnovoaF3QkIQpiCCeMbtye
+zb/Y2j53yrwN1XgEiLNnuD/LgPvvzdFVXY/loH//jP/0asZFHsWVcLS8sAPWPzT/2utZruI5gxN
lYti9Afyj00diISUMCiP0sJmTfBnHYjr2jMDWD0ACTBDO7b3/1EHmkuOGI5C3iEvYnP8fyqajKEn
i9x39r4P9LNgVhxm8W9tn5/XHdh16fRdBmKLYI9K8OdXifqhNsm0iPZAgGijBpS3oT+hrig7BFEF
qV+HfK5Fs65mzE0//B5/UYIuv5f8SSnKizs8UFCNBbAiPgcJ0XfnkyX8YB8T8MyesmGjNkwGr+vo
bAEM5pAxgXskhpYpzJRZpd8ngjqx/DWuxe0PTlD1tHfd4Ocrq9bqYy+QTbXkXGvI8VmEdKphNBLH
82XfetENcJbxj/vv/153/NWHQGQbwHrSkVl/1vnpDQrbopsDcn4YuE52NW8LrbAPqTcqUjPR/5BU
gzREK5hsGDrzzzFgn+lUJEiueKBPX9zSnL4wifBDfcB2EyzjlMEXjMkCxik8Z4zbIu27raKrZaW7
DC/+/of4XCwvF4HvUaP7xCB47mcRIZt2ZHzeGADKYHbYMNsKwSapnVf9zg3wuRP4eCU6KEZdgDsY
AP58uTmDwfbZ4JU+hu4fmsXO9etj0zFhZfJa/EMR5vJ6C+qActjmIrOWH+8HeaRptJD+tJzXi5HO
caLAr+pREf/j74/gQXzay/YSLeYnB0DQcFzko+bvGwbYO59vTVpBuhetf/v3L/ShDv90xzik0HEw
LefCL4dCFhsmDkbX35sguA/zohlMAq4ZWMPjWjHDpzRJmAlVVYekaZkRo1YSa5yW0U3Sl/NF4Tj1
dQO1AZjpwISXcAeKx8Gw5n1MrsaxyhlIpVybd0PMbGplzTrTwTijxyEaZtHSSYo82ud0D6mqfRjd
Od3//Yf8wzHx06dkBUe/yBaR7C7aalrtH3+1CKsn7Ntm2uMAMsIiBjNLtHd70OpGbCs0AyF6jfcp
b7S1IzDscfFm+7zIgPAbsmNW3QCWF+kIBRZqe+2W+oNBPuWVEyj72cN58+DU7oaUCfOrERQ1LHPS
OlaNG+W3pi6Ij5oZ0HdDMt0lMbVqGaPSE/HWIHv9meNM7N3Occ5xb1IrsQq44OmS7AsZmRsrdtM9
5BkCJJyUJEzTNnatVfm3TeRkh0zDDlcadYK2PY5eEx48K4xC8cGW83CWuTHWIQBs+4QjMd+h4Hc2
WMpRxtiyX7m9W+WrzoirvWgqAQi9XKGXYhxHuOnZCaR6U4A2kQIl3eLBtHZOZGdtmLmJCR9Zumuq
aRvck6Xfyr6lgI4T8S6NBIqG0AOFlKqhc0HnoWORKpPp0fNLBJKF2ewXY/IBF+N0mumOzm6O4KLz
04WwU6Tjue/K+luZYWLRSQnQpgAveCS+a0LzL7Uy1zBBpeSxe2QSFS7v2jXqDTviwzRo5IBE2BdN
yNId245GCzWv3OkyOy3f57rKM7myAsJh8A20aDSsJydxyUmfEv0QC5pQ0rXUnZaLzuTf6vOVQUoJ
ZT+BEUg9cwz/xYjEtgr8A5kz1ksTue2XjO+pPEAxC1bg9axbYZO6BbsXgQ+G2tqyXiosxVtEb9ra
khOyMES+zR0U4Z4suWnkp5mobKcq3o+q3yaJdW1GrH4524ZDh2A5VNqESq1JzDcLZdS6cQ2JHz+/
TDFUrzSm5Gsc3djzItGw6erw/ev6kU6FXja27RDydvy1zOJLhtLP8Ej1fdJ1+k1kzFAZGvcBxP2L
WRByNbLFW2mLCbpzIvqGpjFO3tSPx9JhAVMNM8g6Hblwn9Xk6wx0dV6gJRxRBLkYRUluQ1ZBCvWZ
Yoh2Ynqt+dGTJhPFm5mibWIKe5UIMhRClhADF9cwemseQ2Kbxng910SfpWuyAM1d07bahTNX1QnH
k45myFEvGZ3OdZ+2qJRL5fhmqJuZPM9gxxdZulFfKGXYh6Sc8r1hpSxhK24XV1OVjgGc2HWYReaI
CSjxkhruYBJBMc2ggw92/JhFRv9Gtqx6RKg0Hkm6GQ5iCDqG2dI+NboGGa4TANKAzB160g3OmhLs
W3JiRkjjybzWOJTIbeZ6beD63xR6XISTNk939qCXW0s3YdQivd3YORKoTGEjI+0r3RluXZ7SqUJz
TG5U6FT8bVb2QkKLmupjIBluu1UPZdSl4f9YC0UZMtqhI4r2CkwUbkwQEat5YPPULHshaRb+Oo15
cnwIlVAKotwfWBnyiZvjh/aErYhYmwnuuRlx58McjPbZ5Ea9UqlekzcYAXlBG1ehKF6Ws0Guz3uV
Zc1rAmd861aph0ioK0+lwxZI0xeJfiWTM8tKqpNlL1YtOiY3Dtj0RlAmyfw1EIVPuitu8thGoLGo
uYRO4EyqURfSNqpdTjDGAaUG265Fh0AQH3re1GnfZo09D7GpnD0NHxK4wHzp5hVidIxfe6UsSfgC
uk9v2TGrkWnsCmgFAiuSqzZBw+oOkVtyJkdoXDu9ZTIZQ7puO3aMB1kiygJ3vwg5g7x9iJnIEqtF
IwmsB3D9MHR8JM3FU9BZKFtXncicjRUkzvlD+zyXMCdlZ6KAIvlmFXgo/qlVWDlGbhBSRzZgLbhe
DWTd79TAw32KjGNjVQiTMgXld1khmjtDp4NG7oNvskHqpXiBZA3Bn/ICRzhvWyXOM5peFIFsNbsb
BKX8LxH3aBLMet14ifGIYO2iFchNvaGu8BUsXCPqRevCmXT2BxwKRtNbVwOckC0hd9OhYPOxGvIs
2VZWlGyqsr81IoSrY9eRvQwScuOl+pcmKoMhFAnEAwItVLLj6/fEa2P7dXJq2qIeuJqdLuymsldh
x+5m3Vgm+VYBHBPy3ybVIu71TTu5mkZzwi/88Xj/b8P6m4bVICTth0Lo17VFI17K9qX9sWH948/8
Z28R/IvZuctaHK+UuVBn/+xXA/tfCOgC1zUR6yyFNc3if/YW7kIJC0wPlR2l6Y/9qgXejxUIZfiy
B/ighP0TFJj/qRMyDP5rSKc4QwySuJ3P7Vyd1qYtzd4+OLlP1p1Dum/DLbSbo2Q65nGNP19D67Cq
xlG9ESLpnRxh11BeoSDcVFWvhz3khZccRMulQDV4NZORfuvCusSyKHnaxK3tXSX50N6obEhvi9Yh
rZH966GIXeO5kpG/yVF04lR1N52Cp83ILttPmt+k7FHGCc0A2+xXXQrgNDxaochMwvzatBD0wb6X
F5Fn5bueRbMFkf+ycswUv3cEKTzDGG8MLbFkKSrdVaHRf5pa7B2LmqF8yJl5rqSf72TuByduIMTZ
ILjN60nrAxI0BTpdjupLhSWBahv77ZbxQr4zKjN+NII0uDLQ7RsTSRwRSj0iIkAGueQXlDUJPEzX
pfVuKUX0QaGYwBsDvlygAB0ptIbNMJL20rKdCWMV8NKdk+vybQSbSz1gibBOG1i4fSXucNu4dTjl
doZjZcr2Qdt169EeyXfylEFtafYPFfpcQPrJeN1BcHkN1KgeCS+xrtEpqz1RZM2Va2XTNTOTdEVD
lW5JluovCGypvxVWPwHWiL2tHPJh5xmCjxFPU2iLEj92ORKmKOz+TQusMG0cuotAXpgl9W+kIdFP
cxxA6JbXrRNdFkLiOPC1A5kHYg1ynmn6AFCjrgfnnQcVORtZl150rj3uXD2IDoiWiy/G7M0AZ7VM
HBO459rGmrMeg63K7mOVBuAgeNQD2JGkPzFVlmyhbwPIApezjpaacoUVOE+TFAaQ3aJt0/OvYCXl
Dhq/GbCSrvS9M+WIt0VuWdf4CdLLOLbnrfI80ryYsXs35f+wd2ZbkhpZFv2V/gG0MMAYXvHZY54j
9MIKZaTAmCdj+vrehKRWKqWSWu/1UJmqWOnh7mDAtXvP2UchlcE0hF5VoQO9xPNn3gJU8c4VnIxo
ky5O/kWTR30duW5+JOjTvnB7OvRF7ZJz43vqtakTcV3Gtbwr/Hw5TslMro0x2BfWKKtjS0buTe9U
3WO62MFmKnjuFoaGIRKtmVyl9K+tprbeSkicV6CcspMScLDSNCe3pACwsR8dHod5PV5YyeiwHAF+
GWZPIkTcvycaGT3pdZnYIYHw3ht7/IqWqTjFc01y31zIU9VEDogL1G8IsKxn28m+8BSv440RO9Yb
u4bHCovLc7cKlBezNO+qxEVaMyWRccZyTUpXwJ7wOhmExD9nuM07EY0pYtqMrZhDx+4LIPvkUA68
KF5U/uQrc5XpGVCFAU5cINAjCxnJxQnOkbv1nbx48Oyu/8n2mbOFPXY+bMQnoLLuuRqbQ0kgO5wO
ryhDBTvizhYiv5dRfnTnsT+70VKeyDeAxV8DZdLcLN/6KlAnTxbRnrSnZuuhWAyjckrv6U47XxcU
ABsbZMZmSQhoJdQmeyUheXryytq4o5yrNpxQj/IuyYjCpPa/NdppP+Zuc9EwsUrRxO5lnxaHqCNL
EW9sTjbg3RBBUzIiqEuZa4u71IztYyl8s9vkozlcl+bQfrF7wmOYFW1Hc/IOBE5NuyFnywMP2fZf
EWw0dVjTv1EQFmYk3MtMzYQK9MB+hCjoeZbeph0md80RGCtCVeYdXYGOsqXSNKWCYHiKl5mxc54F
BJKAq+Y216k8JHfRvIjrpr6ay8jcCWG8plbW+iG9NYSveUDr320YKcFH2eSGemEuY55yk6QQUM9N
aKVZ9VOOVfEiqpLgTpK3c+o6iVSMTMz+TvUGW03EjxIk+bubYlpMoa/fmp1b9HggbPN68NlW+NGq
wqPb4u5IFw2eAcqY1zCskhdmj+oSmRjwqt498kRcNmSdDNeAr9BtDWN62eEdpSFo4D7UTnvbp1Fz
hTSvIfJE5cTaIaJC3sg2PyAva4EVu5PoT1+ysbDY8PMt28iHyDOl1tfFi/XVyJ773bGb9eHC3vI1
KXL11FuCGpE5VADoJogPZHiRyTTH4waTYXIrBAMDotBWzU0zPZiaQ1+i6drOc0+jcrL8C3/NedhO
OY1M20tHFhqM7MBAxcOZBUbG9kUfSkLjTlmw1E+5JsBZoFPO5mi5zQbboWcwMFCdEVySK2SUDuLY
ae+iWrkWQ2ydAwF8asRauV07SfR+eNwqLvGLLrLqI6KIqQqzpg0QRrpqW5Sj+ZpHTNK5MyWnqLdg
QLjyFmCg8aWmh36ue5/QJeJhb4Qq85OEiIXoOO7uUFL7T/HoR3thNuZDMijUoYNHQuBMNOXehuF9
3c50DujsfjEXze1ft/2C7HByoPAQF4Psn6GXte4sUXcSA1WSlsfmpBplYeB50SQAF8DM7tA4tDz7
0zR+1JJCJER6lpMzawf9XRM3+bECJwRXACBVxjSwJbnKi/zm5wDQ52nIE4u6dzQuFcmXJIeiBx1K
GBFSv0m8ciH3WpTqPqPkn7LefSME9N2M9M9evrz51XRfioW504KrBe0/wlqCiXZtox6tJq7PdeJ5
j0OdWc9ZOpZfGEdML23EC4cS/PC7q2bQ8+c65lvoc910zdAfgNxj9bui1CKxJlwsJJE7ZVVwjdnK
JZiqpUeUz6T92wYtn/vaudHPEJBtH4w6GLM3BmEWcgPkHRvU3gc9U/UcCuB4V6pujOqt5gZK7RUM
WzFFiNkyhJxn36DL342ptaXIyy5EPJdn3SrvTc6y+dH0oji9jaYkv8BOJNpHGnRJdMiXLGcQBtiO
aLIw7mX64SdTZzzJJpok+oIhwqZoENJ6ajx6+KVhzoc2qMo9yrUX5qZj2E5sifHZ0qyLnRfyMcaj
q2qslbRFrvmX0z7IPcrJPDmr1rnUgYXSwDQqGWZE4z4TUGccqUWeyiXJdwne7jNPEOMhMVRMujV9
vbgU8/XAeBffYyvPS4/GAQn9uwN74twGLr0lx9AHUU4zOV9ruWUvlkbDbrcXSp2yaJ95LgK0KuqP
JJwD3Gp8dUBvaW6AEt0VS9Jtaa9gL3Ti/kRIdXRuC0ude5McZ0ELyvREjUXcJW419poftc3Gk4gt
+qzNAGEODtQOnSm8e5VXO+xn9RRWCY2hPqrJp+U0H7VZI77OreIgzcj82dERZTSIWlJOUdna4sP1
S9d/WdXWXvdFO16TySfMtFQcG9Xkqvg17uS/m7h/2MRZJGf87S7uumr75H82722Vqz+mjvz60t+G
j/IHR1oucTHQLSxumL9v5tCn2daqS2OkwBzasRmSfLOZg3yLqIQZisXLeNVvsSP2D/xT4a9EXFRP
rM5/M3z0/gQ1RUVrcaF41PHMMsF7/bEH72UgRAnrYfvU+4gYRYA3Ybt08SpiHcg+3/UDOAM8l6R8
nSJrRjNbWqg/cUyRhrmh9kqnvb1MBY8/Zl3N0cgpV9qQ7KXCJFzc7j4KxXwC7SdDf8zX15Vk/N87
WlgoYNPmLUfyexqUoFk4wtYioS5H3oK0AJc9LpY3EnABdCKsaXcDOoo6HKmWLgU993dk9eK6APeJ
0IVbqMsTw/Lrg4WevUUubawvsSM2clmq5lur6YNnTVVohWNtMhnBKDXdxxOImkKJ6ReXRkSzGQhh
PXkt/NIyq86VbCv/7AZe99H5pnjMV3M34xdmj6KMcwWdcJ5uQb/ZxLuv4EGczU4LtdWK26MpbPG4
4u3fPWKxbqvK0Ed7SGzctP50W9oQAjvb5J7qFp24jq2G718zBHmma8WvbsAsrSGjadcd6mDpPtDK
cwQI0LIeVZfXb3bUrKIgu+WfOZOoLhC9yfc5XvFMOuYDSLEGrIw570aDGK12lFQFEZeUaKEbTHxr
J+M9/QwqKsm6fHfgZfgy9Wja1y7egYuStuy1jSH50h8iwQxFTVdppIYThRkAOwX0ieyU9Xi6U0Rn
u8DL5G5Z1/zklxOam0RobWPYhc+WXs/wMGsEgSYF6SsgN5JNxnqla7JJp4ludnmm7gxurTWYvpTf
Ug/c5ZHv5/mykbnmuIzpiglJsCQwyCCvVG48w4uRQPUFoZc1UGDzpXUZeO6RZxlVOIzLz0mkORLm
UAbPuGPuKUAko9bEdTZ5pKLnxerSO/zTgUNd0hibWhTWY0nU+dsqrWHVkmCzzybuyXv0NfymJbL4
Ezcbny1ZFxF4QeCW7sj/9/qB1WC1cAjYBPXs24NZ2ifUqtq5yj2vJ+8k7lh8BtznbTRQhYbeiGuW
9s4Y78y+FtfJuObheMHECabpgC2HrLw1nSCty/lcopxTZDnnebEbWKJuKLgsL6s6cJ3jJ1PYwBxh
b9ix8bnVssblFBn8U5ss8yhEWcWKobfefUyTw1sSv8m5G9Z1MgcMrykmplvf7u1TITVeHtHxy/qG
NB30fcHOc5hOzwOxPbUj6re2TqPnzyWsDI/jS9zeBbNJcZ2uizRyh+l+tDWHZAQTdzvRK7gtoKri
cUsxLq9D3WfbCjhwPeZTe0N7hQWjPRMKJuXTCgTkkoBkoQ5rIdXAY6BFj/rKZs+rmrfFg07ZyBpT
MOMz8eiMVQQ82xyMkIzaBO5iw8g5Jw2Fmr2aQcdaPNrzRI5DOKqCr0OyyUkRwAQWg+A9rgecH0No
wBXcdNnA8SH1VDwOFkacGcAmdaRl2idgtzg2cHAwL1tNLb2a+Q1VLdIlzGlHUc54RHzfpg1TVhjH
3cz9NF6CrZnX3tEFhLs3c6wcVOVMoFC1t6t+iO9rT2087hdgzejOuCiYnLVsekLq5OmeoMgxuZ+7
qb6KUx3sFBnFB3vmWv5kWDLNA9SL/4ffA5rQOWUZpPQUM8yjaQLa6OHecgQLZ7qvWegEzCRZ85aB
BzgicYsPUZ9Yjx5V+TWwuzECKgFf+aFjfuvgPMLIZi98YRR+rCgjYHO4xQYhHiNzWepzXHly2tll
QRlXRGg2UpAyB+1YGcTRkbOUq8h574hwbXcimllTwHFY4LO7cFrbbp0tEv6pNlOJIaHRM24WSW9q
CxzTRhJK2yjbi64PaIt/SiwGrogC8M21qtCiFYXg86QFjNLdQMnHlSiY06ECbfn1FsPljziDV6cS
yer+9Dysa69VUqQXTF/boxae2ew/17xjObzI7PnOG6tZ17/2XHGtySx9RtQDyhuqB2+BcKPp74aG
FI+9CaGWOXPX+9s8sdf1GMwAk+vGD54Ne+FE/nJLSzsUu9vaG1lKTPRafUL5yuyuQYxMNqwwxK3j
cnXh1mfKqkcOL3nhZCLxs2Lwneex7CdoJY1sk/3nnbWqEmCDI6CSZ6Hssnwe43jOXiTwCLXJ6bxB
fRwYPjlJL9+DHOEde6fiTiTawtZVfjAJDk5tTSBw6DcoqcI5Wo1L8BfE9bjQxg1z6ge98Su/RuaW
JKXA/TEn85Hbj80IBwQ2JUQYk1PPoKdagoui7Mi0tLxoQjPcqSC/W9L8KylCa6Gf90b8zKMUYmMv
C05RaXLVZHriXss12W4TbjHgn0cynRH9tO5HVRbPVSzaM/lPmuCJ2R8n6hC7fbQc/1QF64Ooc8v8
Uc1xfcEzxr8VpUfBHbWDvW8bW4WNAHyItL+6ILAu3gzYlZ6U10gmyWX0Y4P9G9Vzc9lB3dy0uBtN
L+UaCHUhCuTRxJ2fukTXF14akJZ0ayZORY+nfykbva/rrtkbGApuMYWFaeHdR5YjzZfZzUm+Cr2q
cKOTEFXBXXXlIWM+YNtLKBgk+brYWq7FBosOFPtQlwbuBi9ZcRSiwd+lnNonJDaz91lpDUHo4SI2
9TSeJTn2iFFRIA34jBjn7mcXCfcxYFm2m7jTEsCrlwRQP53lxp9679ylAY85dtdHRZgsgrNRPMH/
qa4M0y1v1JL5Z8+KWL2CuZ6b+NUuxve8Th0nK0wzT1+002BeeZhpAUQacnoH/JfieCyenNRr8kvy
MZ27JoMqTzDl6OMzawPETfYAS7YNfkp8ZLXdCMeGbEhGftJTW2K22v1spMERyNmwnaeeOa0P23rj
OOmKvu7SK79N0pmtsnY/UhS3+wXEI89xZcKhGZ8CrPr7THntwYvGHxnbb6RKvZ/ovSD0lnO5FXlj
7clvBsfRy/auMzmsblC6O1pT05dUYxZLPQiiY9dd+SpZ2O4h26o8XeAJN5xDBNvrsg4U0d5N99gE
Gj5L61IZIQZoqqt+ibhFZQX1yUhDKaZuOOsCLI7VtcaRVLqOLo52Lit0NhsOWrnDIgXQyGXizhjW
h3MCqz9dN6mskOwWjtvWo+o0lkzc8BBgx+oMJZ40wz3lrT3fxZW9sUu7PNK2aw/++oSwadwS5Rbo
o8w4YZ2ajbcumpptWrfB1ZJKRvSFtUVXZ94DIfcvqznvnyzcU5dzUefwoX2P143Urj/1A1i7bWRZ
y5n5YXMgGL56Be3SU95pkPusbyt7ZJrowwizjWtz7Qny5PW2Gd4A7cl5n1ZZAYLY896NrHidjCZD
DOCBfhnattsbHsuGSG7G0fPS6wPB4gmpYlnDIEbRliNx/RARjXkaSvlRJ7Gzs3r6Y6I2VxNqKU4M
KOz3qDXBCeF+nF6piHdU14SQMRwttzN04V3fOO5j1HBH4c7fFjtVEQFnKMs7mt1k0ymBOd5ZKGIk
uqDxMtGGB7nOhkyuuZH4Lceul+b9MGa52MUyb5HdYM+kP6wiMZHenhZOfvQWEgE/uPnH+yRl6Lv4
hPih3C5xecKNacMqtqMDk3uDG1Or3KMPFfjZQN4EBsGNLJe2oki2bd2zA0manUccyBViCgXPuh+f
a9dHAeYyFApQB+yXpV/o4K/N9dRTe2A65tMYTz5LHN67Y5yVXAs/bqREGX8ByhBfxk1BE77vXlBz
64ui9a/crOw2PLyih0Jb5mswdi7qKvYu/Tlrmlm9dG6tTQbRbtCfDfJ3LX3krkWvE21EMyL+R9tC
CKJrRzdRH4xUs0PFNkQiZH2LIAq0RxBmYz1z+54Z2oR0khb74BGGu8iNlTuGGcadYY7xJpamtt/8
pOCpa+l0HXt9AheAVsviojHRo+yzipJrS/Z077N6rKDdSU0NmtB3Z4Q9dmsWAeAjTQ8ErMPZFMt0
P0PdfaQWzVGWj5TlyGHq8Ju57V/oWlcR47fyNbbOgC+YkGPgQiT8PeJVI/JWda/SY1QFeQsjprKn
l2X11b4687I0e6cIqEaqUuaZG46rsfjvP8CfINB8Aro+Dn+hSORTfKcdxrguqsXqY4ZVcK8YXeA1
3upARBaDxi6JKTaj+qBslcQXfc0AZFe7XXQdl7149E0trglipqr8+0/1F4eFuc6qwXbpa3jed1rM
ErhilaROfCwNSr8GoFq8W9nEARUZ1LVeWVQ+ulgojgxEPP8gNv5E3n53Vnh7d/0fJbj4XqRZ4r3X
Jaiko5xztkKpaGYmt13jFyknJJlJLMZA5aMGo0N9Emv5jZfISS8Gh2najePOQ7aEsMnj5NivO+i6
IXuO4ATJHqZcsTx/f7j+4iRKyL2rj80yaRF+f7yGIFaGbfj5sQRhSV4Dk8IOL3SGkqSFbdxA9C2Q
Qk9d805i6Xzf9PQqmoS9vKqm9r4om38Q04q15/PHQ7jaGx3bRRtvM+3/7gwasjEWTd1wbFODstE1
CCqBmkcCBy0exGFEctBSsDCvk1xin5hDrKSeivGzAC4L8LOr1z0YR/bvD5X9Vx8MbQQCCB+9PmmA
3zWrmHcwDm+SY+2ikKXUZO9FBxcilzdRFdld+UCMqO+c5oqydTvZVZedMdwP99oZgi5MhtUNaM7s
lp3Pulj0bGMNxSaK6S7lOwY9au6IBCFMbvR6ygCG/tYoIrolmddOIPxoDH78silVxTjda9r23ITm
erpP8JmQlpku0+1ax72rEl4gUzefWYT0anZAf384rFUf+915QjqLv/XT5Uoc1x8PRyKMRs2DZxzs
BHdzaFVLmZx9ZiusmYlPz40flYLlD8ZDaS00T6Yi4WPNjLEepsDlaMW2YHciF9AOjI35Tw4Wf9JP
n+PdZ3vItur1ZLdr/iyDkVgdq5gOGODZeoh38cBMeZkL3l1aGc0bN8M/RYKNXXx8ftn/dqL/oRNN
ZByr/D/bX2CBVO37R/WtnOiX1/zagUbAB6+ZkTitYlTydHn/T05EkB/pntylJc+RgGnS7x1oR6AZ
smwuNejeDpz93+0vtvtDEKA/9100SIj2zODfdKA/78ffLGLT97APAjEncw1J3Z8Wscm8yoyMxbgg
Z6ShxMAs48/6tR0gPrZnOpIeY74MWVOCgq7rMVFe2kFejLu4YL7qrdLM2anjsxNENDGvSsOyTZfC
o09iM62RSbeqO+gs7afokPlKKnUp43Fg0Lfw00gfo2bhvZ5MiUgEwh4poZo0TjEUn+Gc45rUmayZ
ncbA9KU4Y+Kh0sjgwZDsiWltMN8QDRMJV7n9mv+ZNmQA2zvfiUdoVsmkyQlVqidZOXBoLBU+wMmN
1NTuYa7bxZjxzWInpBCqGv/XEuW/V80/XDUW4wweHv/5srn9WpYdOs73Ur1/e+n8+sLfpjfo7Zgz
giZnia7Cud+vHd/8Ad+WEAEb809TGQ/JX6c3+MP40UohJ5iDqAgJzPu36Q0Y9DWYgOk6hpV16vNv
rh3L/ROD34McvV6DCAJJfPg+HjEv7G4panM+knWbzVstKkX+dD5iriWKLVh7hwCUi0K1xX7s3YZM
mq5tT45fCXO/NC05s0luGujju57MkgSaAGNS9KvbNvhSD310M7owBotZmFtH0ZsJlwKQd1gYXccu
YCbRxc0tmLx2Jwyw1jMdBSK9V/RImiwHqGnVM13P9jynTXLNc8zcecayPEWWQTfGYU6zawNcADuG
Es0DU4KphNgdoKkSk+m9L6mNliMT1JNhxY1ypA0B55cLFChgUh4VIO2vhhDxl3Ex1NXEa17lXKV6
GxiBc4lSYw2d85iXhpRfwB+1jNkmGqO8pV7OLwY7SG9URdLQMHbGQZA3tInMCC5h1Q8k9Y1MzVMP
ytBGclA204Qn1mCuAKuqIP4pqLF2D7m0n/yWwywMjz0ukebmuSSKYVfihDtaqAN2sBQDPOiOOI9L
UNz2hu3uyYcr7pDwVLep9tsboHiOhS8vK88MEutN6i/RJhsT4smpG/tN6xdXpQd2fDd77piEbVYj
+yhpMOG46y915bx2Mu4fRNeV/sFvo2Dl6qZxzYbdzw6rtO95yjNrn2rbR4MWp2vmUxRdsQVQ29k2
sw02y+VKSmSXHlTvdAfSXJ5tYzR/7gxc6U4h7r3htghylHvowQ9ObN46WqsKgLplrzsO/SaYjTzR
qp1u0GRKCD/uzlgTsGSRGcxKyCW3sQGc2S8hRK7T8k6avXOFofxFjY67ZacH8dLV877EOfNA8kiz
w5JfHEeUYWYl+k2Wpek9LFnzRhudt40YXpxitzpkKXzfAjjrJtEEMUZLVTAzZ5h/TINI7rVbZD9T
KH4RUWDsK4e5Dm7pXNyzyAlrn6bmBMcVlVIe2Nie5LjN2G5t3VLeVay2jfCCC/wMCffvBodN0r0u
jDXDZcIBn8AYCeXs8ym7hCwRHdNI0kKdCbs3Xtkhxac6T5p7mdfIqihvzx693m1qJOhH1lSC3GmZ
sA0N64ZlO6Kwmq1DTdZjqEnJ2Kamw/OhdrXc+YJdCGq2VVekGPsfXKeYY/Hko0xV+y4Q6PPYbC8O
HuR0TOLEvx/dKXdrHB/QCx4sK5Pjg+worpEL0aUTz4KHZ7ozZaou3Nb07ujhRsnL5Cy4HrQgwXIP
UY9dAAShmfcnz4vns/US2DU28TwVEAHbyGbe6ojKkK9TYJfpCVo+2+28WlK+DSMApzygn2+Hh0Ep
Z3zoM6XRoMMCTW3wgiBM37Ksb5dyuwxZ6a3oK5Ly5hp113borIk7m1Zx/FYQP0WlmkAr3WZGVbA8
ASWZu2leBA09oSa+vg9DLt7maen7u6awe0jcc+87bysdo//i/ULr5hgFGgKx7qszjgmbRmkZYabi
LzfKTqlZSaMME1P30WOZaXfemI2NLN/qYZJzYYlp99/6tuxVP//Tk5ruCU+1//ykvknUH4rbtd3C
C34Ty6+PYSTvpgW0Z1VDfPOEhv8jeCpS1pKHvBaxvz+hxQ8oHnhIr6kjn4/v35/Q/g+oIUweRZxO
Xo519V+I5f/Ep6GyxSQppYeYQzCG+K5DE40kUiallKdhWhHHVrpk9+QfRmfpwD6zZ9lxJQEUrFt6
+sg8o7Of9/VbgEL5SZYIHxw3hfplw32MJ6w63xzJ/0cHi09nmVQvfEBkK+73G338yW2ES9c5pYMD
CzJxQPiZyeofWhk4jcrnQ1BjYurqKnP+oe9Bf+q77atPaeSjfcHrgP/zU//yB/snnGVuaqo5RXH0
Cv+B+dqoVXC1hpW5W7eW3qVlInjiMLnexeQE6gnbk/pxWsrlw9NI6EAwzvY5zuNuB3UhP/Q5qZho
8ir3zkv8et5MtKJP0Vj0l6K2IVGYtRMuLR6vlMRRsXEIybpJrJksPYIwxMb06X6GI09UbjiwJtEC
JkZDdqU7sa93rbeY4WpYMVJGXOhXF17nLDskQvo+KbuSSYFTMjTubR98XIO/G/IK2asAycwXA8/j
Dozvo56WNmcq0rCtBtxeXrcODTIjWTuqbWUPx5l2wyYzFjtM6YzP4eKxW0HC6yabGiAN6YETUv3U
L2RocMe/lGMabd127l+oV+BoQommq27C/BkwMfn0m4ka2I9J7h6ghigGSRYWS7Z8zf06xrgzO0XR
CHPAfMsr06Vf6Zntlp1LsBu13ar9YBO8ECoupfsp8mOEyU3j5sAYk/5R6Coh6tUb9Qn7SR5vEQf1
9ySOA6MX9kiEMdxWc89YdqWBRD0ykxBANsWig6AYqH3LIC+OlUWOIt1pnGSLw2lNDecoB8sics+h
NT1K+eqlsw/n2y1vM6LY9iiULHrWksaM0/YELMJpFnsTM9y+7anvyNs1Doz5448msYZ9Zqp9gM1r
y5UanFAPFveLNQ82ggOdnsl9TbfwWL33xOvr44LBdBfkdX+cVYvPv6fFuoReatGdZkA7kT3clN3B
71MBgsefzoEvomc7XbvkYzLy4IM+99VBzX0jKjHJUJVe8ZVOTlYRxwfboZGqhB4ukOlgYV0kbFav
ddMt195D8vlQBHa+PiHTqMC+INoCaHDYeMTngmqJmniTThEYB7/us48ypfEEB7VN1/iN8YNxP1i9
IUuKIQnrsmZa1zVBq94HRezKMSjp8dx0Hckui17APph2Ory6k8IuP0tQDIth40mLAj21XBWN0X8h
XG9FwwKUBJTdV47a9botjd1nms8wC/zjnen1BEoMtHwfZrua5yNBlpYG01KuM++yLeItlJsYwl4w
4l7PSAwu6XVKiJzxmIG7YtDJowDzYpuMqt42DGnfu4r24tpTZKlPa6gOcbL3wuOmGU/Mn8MMA/dN
umjvmtBVIPqEUPNu7frdqJ7kAwJcqKKN7KK19+d0L71yIRG2auDTTzGkxU/Ao6pGgJIgqN/GwaJN
GMiBUVoyciFDF9WTEWpz0j+ZaavNKxhh0rwOopEuQG3V1TuihYC4R4PYlc9bORhDjpPDTHEH6537
aGb0w/WkrOU572yDcjkb7SXrDtNqgF+2PAnE/C61Zph19hFP81cWYw5jHc0iRqRfiWUcXst4ylVH
iqss3/XcU97O7dKR6ri4100n+MTMYCpjP2pmEqFDovah8a38Bo0TOZ8oioEidACNGAPG9LmrigsL
A0Z+08q8KTbo5ypJxiqsQ0JEe0y8Q58Ul8QSMDQd+QSsXeIbTugyfDDHTYs1erFlpLdl13o/Mu8a
55CDkwWbPF5Ksa18F1cos0sf73PjjW+VMKrrxIXBs/VdjD2Rbzq4N6BpZGNX/dSJ/gmwlXsamObK
g2CudKfJKMy3RuZEBAkibcAEBbuUYXcVRBtHpkjOtZldJfYQrfm2MxFNpJE8WsgIIF4lWn6R6K9p
ytoCN+WYkXVfGcsmp4y+dPK0uoiSIbnU3tJ2IU4eUBz0YCizp1ZcEKbbnwJGoF7IAjIeM54zC185
WLMoGjInRFN41saVXeevwkP4U3O/cj7L0Z65+w1u2lKl4k2VsXT2KLDZaLBhf/lv4fj/KRwlMIJv
qp0/+Sw377n6uWq/6+/88qrfWqPC+YG6DBUGAY2ffsrfW6OW84NjSsLkHOiAVI/Ulb+3d0xBwcLq
pBdprRXi/7V3rB8It4Ot4pPNansIiP5V8ch7fNvfN9fuKwphGq3YgVEbrTyXb6gmeFGqutF6umZF
MT0bI/ZUlZ2uXCpqgjs2xvM5nbAw7EzmVbiZnOEpczqcE11QNr+ss/8IwBHfTRvWT+NA8PE8zyEP
kOL4j58GcledBYkecJ2VSFUzXJuh9irKkmnASIUMytFv3lBzx2sLnxlEk7Ys+WjpPGdDuF35EfS9
ecPvSPTWIjLkaZGGLw6zK6OvYmZLtf/mfP9Fdfs5/vy2tbx+YpfeHUQY6Zn+97wbB2o553bur+1J
xvHWnZb8CYGnb+97XFPsoedJpFuFQ4Qiy525oWYmsgCQOGLbDlX/gcWhExtFbiVkYMWEu0dYOoRe
KzNmH1Wa3CL4PRddgDVgjep97pLmAsEQEjh0YO6VapOhOPz9t/rzaaDBbHqcCJe18aeZL83imOyx
vLsue/S0Vcy2A9/lut2uSySb49QGD3Uk8te/f9t1rX17LBlMshlah5SsRf5YP9Y3a1GaU+wQK1Je
lz6CMGJj9TX3/Y3yo+T5799pnVp9/054mM1VM0+079pz/fadauJC6Uwm1bVfkyTbfM4VI1IA0TTU
yc5siJhDuzD71Sa15Vj806L5rqXKBJaFYknLWRVY667tj28PqItpeQnBczVXvAObke8ZI5j8IJei
g0iFYmc2OfWHMW8+ja6V95Wwp+5E/rlzOSFHMzcAOqtsk3pl8YQy2wKtSIjh19ogK9g0lsLboAhy
0Gbb7qL/YVv1/Y5z/fyoEC3BnpemMHrhP35+kzYR+82IUGwdFe+q7bH54zru8YdhLS7jM+mL2U+x
H9SX09IkUCOcSW0sMXg/92AYK7S1MVj4Kh2+qtb2PgaJtemfwnHln04y42UWER537q1cneve8Jvl
5LZ4Pdukt69Spu5RAGYGGtZh6ic72PeAHQGLNObdUMxSh0mS4GYU5aGzqGlyvOebjIrlvs5lwdiX
FKmXMS2oDrE5h7Vs6ie3A1wTNWUEEhVbeah6m0ZUlHbl9Vgb3Q3zbQJnY1KwQ2OhQt1YQ1Icpdvn
97BZbrFE0QjKtUfGW9Q89iAP7a07EJwh1Gxxb3D0gkRg9NNLNMQoXkztnBNm1pdLPA3BZkQYCOw+
nxXO5paQg3H2l60YSTJZ0ukLQsH+QZuGt/q8ew/eYKOxRlvWY5Og1j9EnoFOCUNh9FOA343kvbIx
ftSFh2C07qxTBj/jJJog/1BD7XLd20X2oBBFeuHQOPG5jVq9wcxVHxCtBDfNWEw7VKXNXohJDMS4
0UZGjBuTRI/wPNoVnY3YmtRwpOyxuUWj2B951FjjBkmmG/q9l79OhZlcWG1QP0i7lwcdpIa1x7S5
vPtuhdfCnGhiDJlPUgpd+Hery8efu7iuCciwAPCEZWwN8X7qUxy14zju5njQ/r6tomQLl7Y4lvzT
kNt5C9FzKAYvTLH0GxvUfEAlKzmxy+vzaGPDeiwOrZsxr9ezeTciANmqriUgI2Ul9XsUUwGVte1N
l262LHl0p0dMAUU408wo2w96m1R0b91oTF6xSqq4lVdfiC5Le5vtZK91bV73WV9k7OpUsxyGgBbg
qfi0XaRWXj2YnmHDSLIp/zXnIAoh+zIL+F/2zqS7bavLon/lWzVHFoD30A1qAhAkRYoU1ViWPcGS
5Qh93+PX14YcVzlK48o8GXjZUUMSwOvuPWefJQJNsymC9ZgOWnekbp2OIYCcjJTBmwitugXQCcFb
hL4xc7prs+0ET9QYYEYdvZ61cGsqURLcYO0U5B2zEUXSo4m0zbdFFjeOm3H2dAJ/GmKTcxWAQgON
rlpIrySUEbCpgyQS9zEaO78N2BVssRWiSLQR0y0k0+HI9/KoWe0X7Ry2l5ZAx9wvw9h+VfoB1dxG
LfVuF0u7t8+GQlHmUAirs5DfFohPlpmUD2a3yK/CyMr9oB2QODkNzL4tSpt8RlQHGMkz9FUCYk3I
b3ZNXMeKx23VPypVjiJDCDNdRQK5qtzgNlFaLnlRfExop+RXghNm5qdRZ94tPdDRbaKUunaMxojg
BnbzetTtkPJWxT2LsTgkIdKLbV/xDvyyY29OdXpacDwnQNJOuc0J0FcYKs0m0LT+0AjDyDZhIGhu
WcWAtDm2aOq4BU2m5VdgyA4Wc95AvhGEi9VXGpaAfRhbKUXfNCVAMS7jYLOAcuIwOjaVc0mCMZFU
dwgEIRUsoYUN8EhutSogyRDVrVX52hwt5VUUazgIUkdGo7t+n7uiIMA816GovWmMiRXsplj5TKgq
YlM3Zhwh4FrgCeN6GaQiHjCs6P3ZrByAEYVTdycayCxJYWula/hlTl79NogjrfgELw4RSD3nqMXb
0Vjio9aF3YNMdOPZmAKOx7bGw7vtiwlXSgvWjTdPnZ8UUlGnrUcNyX/zVGTjqk0npmi4bw1z/FI1
kdgPFlHflLEQf8GOCfg9RlbiL3kzYi1TJeQtyhftQesUvmPE+WqDm5iRyg96nsT7ZtJ14BpW2Oo3
b06RQq3XhzNJ6nZnZS3I4WmWyPzUerUtRWPBGytbJt0jKxgmEYCtaIOZJalQac5UXnWtE+gXTuZp
eqfbBbXMSSZjf+omCv9uAFLhYqQImMh+zHnpsiSUx510SI47NUVI7eYNHjJindb3VeVI4oyCT9HX
UAHWcDpUO046MHSqDO/ubUFCBhWGnl1ByNeYU/WuiG5qTc5NgW0sokoRgeftTzmCw7UY19ekJauW
KvxvFRH+Dd2WT8QEMjnauk8mKfgxwO+3nv6p5NiRgQ6W1BXz+ZvgbEJ9cye6SW2PIdvc5FhWRZrc
k3Q67tpC1c61E9afJIK82o2IjdIPJaSvnsNtGSKnbqx6ZIM7i12lc1k91arnlzRLjQtKM7Xc43gZ
Ugh/+ZrlFSj567wgsPBbHKURunSNcPYYoX+7BeHufCR2It/mYxXWriWZ5uYGM0oMFero5DCYNobe
6CHTHthUwm91zBUJMj8/0wuGyaIEwrmSOATqX3Mm5PlACZ+xMa4ztp8YCld0GpbBZ5EZ6yNgJHou
tDK7gZVWEMNhNXXyuXEG50GZ2aaDmuoa7SuMPKS5uaZZw1U86vyqKdeihXSo0KT5xm1BvpE65nYp
AUedptnK7pOhrV3bavcyJ2Rnv4wm5apU1doFuktalifyGeW10qmSxJG6yIdjOI9VRGxTm0dIn6v2
q+oAAcHpHrcriKmlquqMg12zCsz1PSAcLX5CnylsfDvswOYPVSdQQUY1GAxADkoaHpSgGr8gVFFo
AlqtCcKDKLjbqVWCZdf0dRv735xbsd4l4jJhwjbOuVnBIKmp65knqVGz92Z2N62P8Jy7NtoFGJ1m
sagP2eQ5+tqEmWgzZJCLd4uN1gWsFqUvUklntfWwHpv1x9FYfTYRngaGQ+w88qzn7aVwCsKCe71y
kq2drzi+qf+kY4+3qbylg/XB0AscaiNtZ3lC22IPd0Qpos6dQ55ov4oFd5ODA8qxmDYckPamwgyl
T2qGlRR5wuLG06SEp7RRIE7m7Ro+yG6s704ZNB6OkQ40xjay02gzTqp6NdeScT+bpoV2IIisb4l2
/4plftKCo1TBIeevO3CbX7Pn8bn59UedzLef+S6TgZWMcguqMCoUHC4mZ47vhGXjF4vzCG2Gtw7c
KiP77nF2fqEvh+jMAVnE9Lc2n76rZIjnkDTuVKBuOsJmckD+SQ/Oed9oAtiLnRtxCRrVlae1Hvl+
OGykyRAl9HvrPe6Y6KlLuqKivSQQc0zgu1E7Nnm3rer5kpXA2bwsGjyUug4xD2q1hUBVrJXORSNn
vmfPWBRsCRin469TZyobm18OrwQAUxZ2l8JWFJYHArAVEp0ACVZb8kHbHQKL0IfajjKNi0jWF4DW
++QtJx1iyzlLDHAFNvnre4vpQXpBkjcHOifppi8DkOdWFkEzaOhFOWTMTjUoeDMXoIgmI9lRTmap
Fo1ZXSGICa7otHd3hRPKA66rz7hylKc4yxX0oAXC13oq2L/rIfu4CtK83YJqnIiMzKf2FkPUV0NJ
+ZABnxSP9a3UMR04uMI3syEU9gNFt8PO+1pBT0KO43RsSNSl842KBqZedxWpWrx6NOi3pphUNlnd
qSvpefS6fhtr9gPY/hMiDJrrU3GP4k67nkYiH7KU1pkO5J8/cqwpED/t6inIO6CmWjcBtQ8/Ozio
Vr6Ju0KZ0jn9XBsrgKss7yf8wJ/SrFA35LRHmFCqftuzrHlxDGvGch4mgQ3M4jSTBlhChr52TYNf
7dT4QKzFUm8wOCucPFNo7q2TPZZzLx+ZOgv0KlnlIUYRW1ZC5AFdxyKr5q/tUl2oHpIKiOmik3P9
DNWyeajoMrlRzHLuiSpjOtarCwWhfWAvrOxGV9/ALG2eZGo/mG1c7pBwA4RkQ36N7sDyF4KY9k5t
2n6T2R+ypaL9KMX4IZQBEsccmJrH5on8ECfoXxS1bvCM0Sq5Ja5LnPOYAyS0l2iC9BjVi5/RTxKr
VkE0RcNaXoq7NuucbWsHxJKIiLWVkUPVnsjFKGMRGvKpdnZY5cClhJWmuSBxcc9qBv0lwjHKs47v
5bhmuPbbsVGMD2wB4qPMTZW+TjdsWlJPvDxO9HhjcC3LrUaHuXEFaNPjOJMDcVUmKsEJRkIEHy2g
RUGqRPjT6+xY4ynTG4GBsJCpn6HmblwNj16VJ9r92/T170T/k4l+LQlRt/vrmf7jjCqqCH+c6H/7
me8Vc1WiGMbuAp5QV9lPMWn/NtNrGpJhhhJdfQfxxMrL/14wX1H6qo4hQyJWV3Fm/O9ML1W0xA76
RRVyDyoAFoF/MNOvYoofK4c2BXvw3I6B0kKSB77WMH+Y54N+1GIjqMdznxOqkvFIf/nhavxJRfl9
7fX9C6Ao+fEFmklkOZ7p8Wwzk0TwgnvnmczP2CF785ve/S/L7QZX8vcfhsYCchbgHNTHaFG8W7Rm
wLkZpAztlBjZvCqZ89+UzQ55brXxuU2m0H6J6MF26g5uTEtfq8yMOS4OwBvxu38t69K2SKXuZaQ6
FkfnUN1BPep/jWlfxPl138hWkUfVrJarrHWSoHmwE9izplTK4GGmmsI4Ng4tbW4c7CV1tBmWVtGR
mkrhwhYNdFF9MBX2vSNKyg7haV5H6X3N4jI00KyLwSKKqLRRksVI2kBg9fqh0ar4AyWQ/pgFawDl
MnC43eIpzER+tCALbYzJXM62hlLtM4hhpmwlXDeznd5wdDGkuJGKVS3HhJKhcj9idZWFL4YQYV/l
gYFdhd7Wm+r731nj/9NoY7CbjLS/njXuovLrr/+5arPngof817ffefX1v//rtx/8vknUflmzzmhZ
oI3+PdbU0khqk1J1UFGitP5h5sC6oGuYE1a/z+9dCBgUNEbFm+SLXeU/mDWYaH4/1CRxCEw/TBwS
GwQMnHUo/jBv1A1xObnjlHvFags3maPy3klBPWB9dnCN6sbTmA/DKVMqjK999ZSFhnKljqgOyj5D
N0updlO1Mr8lYae4ZL36CI06hFqR1Qla09GmbETRsMH+6slZsbaYadjttda5ygYSIifG1zQ2z47I
T+aYndDcQmFALtZhAEMUhdIno1zqDk382qt9fM65jl5tVQUC0bKGkmUvmC/R0MTqciwd9WJqraC4
OT6X0zjBDOZMJkEYNl382oJG3OQinH0MxmdLTLsRLw84kuLVSYvTqA13IL0i5Mr9FmzDqZ+Xi0zI
mQ/5Ls7yWP/jZ3Te5aaslxejS5G5ai+lZT7Vc7stMyx+TR6Jj0Et93FjY3xU8VRRolzcQrHPWiee
0iF7trB0btVwvFOb9LReAWKA1gzq7BW8CdCNsEu2IqPcJfIRC3hIsXwYh4dQjHd2MeES1TnZN5nz
gkbb2XEM3oM7OKa9Xl4tKzmHWYkLo6qoBOKDvkIOpnR6MKP5bqxg+In0gJzimWrCM5bUsxWxe3ZN
2fqSDzRKOsvdfJEZ92oW3bZ2KuQFMj0s4F/Iz4pylykQL3nJhdKjJnBBQHcuYrvIBwnYgeMbShyX
KGbfwk9llD/32sx+ecbm3a3hnutrVZJvUOrlApD00unjDtjaUbNBlSiDeqysUiFJM3oVOE18Q4tP
aTod0fUTFVM6xA3HfMJSzo9L0BEm3JnZJnYEiWMtLzTEKJoiONzXjZEcynl5bGRNQcuYHnLV2Exz
QXU/ajrM0/Ez2ERcb/r0YpfLkTZHjMS2ic9pbT0RYvzFrsWNM8ZAHUZtO+vdfjEAZdTT8LDA+oVH
1PGgin2Yc48UlYiWtAPhh4DuaJYzYVUj9xMlpjg4Fk/CtNClqfWco0erPhah9uIIMgHyifpZF2YH
ajgPddM/yCl7zVX4Z6pZdvhFpwcRaJGbxhwxMvQf/kK53AO0CLt3ve5aYZ4RzTwBak/gEhrnigrU
tlt/js/JacPiURTmE5CAeQ+pCHiJNp0rXak+JwEOCCuJZhJ5g+FWwCTaZFMYeBQcDG9mY7uvrXk4
1KUxXLW5aa+JBspNGs2ZXy9VflMo1bxVIRYfqBy3nq5k4qXT2s/z0JjXmo2Vk6emjGu5adKoSjaE
UYgNGdHjc2CVZCGElY46jwZG8ZgWwWM+Kei3F9mCMgSD5EFUPcsi/dwITjTplPkTKhpvIXK86ubG
r0lJoClFaCUxkoBjDnZJfoxJ9ypToktRUsAaFflYKrR9QEIY/kD1cirm5qUoAOAVShL5MEsphs2J
Wy2UyfI4p0U/l8FF61jkw4LHf0n0l1Irybmq8wo1leoBPta2wiq5b4Qvuv3CY1gHOEUmhLA3UrX6
3aTz0M2p9WQp5rmn+ngVDM0r5fOjNNOfNBXXzdcPuz9mcXa3uNJWbQIBnu/NoXFiyj4Z03IvByV1
RV93sGWmc2zUpyXQTPeHJe5PtoLrXvL9q+GCWyNu0IHY72sKyPT7woSLuw8Z6oR9pAdOYDAlBBP6
37/Su1bp+rlWoazFi6k60uR3G8HRsiaRBFW5J7L6Gd1Z6q7TcaKNcJVRdJVX/E39SRd8bRK/+3To
WFjA6X+zn7TebXRDUTiR3QYFynkj8o12eCgnBrYi5J7MucxbPy80rmPTMgH+/cf9g8n37fM6OJBX
V7SGCoD39sNqjN10XNB6FnvyhgVhAbl9memqrdPFMSmTdE+77WVsJ0Sd4zAcqOMybp1CgOGdXyIz
4HFdjmR9suoKY+9Ah/OSvvGpLRxHk+kb33jloShz2dJS5G2A/Qx3Ux4+qgQ7IhKR597OFG8qS7Lv
jLL6FBrkt0ib6eHvP+mfPEJkcqE10CjkEDX27sbqWezkpS6LfaS3W1mqF9VZwGJR5PnJ67yvf61X
VCIIYGvFycx4n8ZE6Lo98UWeVQf0HmaXy6xBMqGVIrA7OMkGi/KpC9c402G+WJ2a30Yr2E4u4Ws9
MC+vW5WEgguMselIiDSQuLF/UBzzLJphF9lM99R/CJQOIxPHvz49hbQBd3moV1j/5/jYq017V6TT
49Sw7Pd6LA9dbFOtRk56hPPzGsSG6RbQtuGE2uVuUpLXoFwe7bDfLh1eEFpLe7z7e7BDsUdX8w3R
d0wtjMt6v1wAIsOP1fndZMh8pqc7I11lj/X3F/JPZhgc8UiVNFyrOmzG3z+Zi0VAJN24gmYB6CW2
ExMzm1HpJg1Bsf/712KH/YcRSAFUcrcsC4X++vUfRkGjzzGIlLkA5jLcyTY+5OXPJsy3kfRulK9S
EUkWGH5e/b05IY7qlJButdiXzlBt23jSPRksL+tMHy9i3nXoaFNdklCsn8fAiXyryA7KFHykN//F
NocCRejQYLFN6AwmLOIRabBuNecnLHmvizkK3wridJ+hc3ETQwBSgvl3ncWmT3DrBxsLnGu2Nlz4
OZ49zq6ji3W28zAAVlvaSOQxEg+z6ydchaoevxoFj2Adp6dhSg8EaM4eOlI2qBqdCUMDy4tbyhvU
7q4s9MiXYjn+5J78yYjlXuBR5rysSvl2Zv/hphR6tWac5sVeyzgooBmJvbgDJq6DuDlpCIZX3H2y
yWb7nKNy9wKUCfR+8psu4VkOUphIZkHlLFhg08LuwMSoPo1JJTa2iuspHcxz0Fum1wfGOcK7uTEa
ZqIKzMEG+fujqo8vS7vWVON72Absqmo+cKNMuzRSH2c2Ym6FcGMnshHfxngXGuaqqOf5lBUTX2sO
owthOtnkAanFurE8gvsevnVR/rJw8SeDhDVj/Q+HK6c3/fcP7hjWVtaNQ7GnE0X8K8cPa+TtSEQg
QRX+5I5QZPrjOEGvhSTCgNtp/2FM1lLMaOT6gkw2dADamhdqB8mBxGFodtyfBdWvu6C/cYcVLJ0k
7ADDDAIOG0BK6ybadKfy0BTXvoMjE3I8KYzFbH9pU+1aGeybzMnBcTjs9qeiFBtRtS95stxNGbZY
a12MecxCkT4H47pLHXXA/+qp7slMmkqESji/B2Tg245b+na8XOSElsDgGx2A0KZCFTqpxmFbBX3n
ZmQBXU0wGN8OQaDoy81I5+xQ9OND3HGQtPHmekvNUc9YxoemC+EnSQfG5IDoWbuA8wOLzG5Ns/oN
/Il5s/5Fyfk/wbA+kFU/bDXZtP46jNrJOJfW+GCG6wGCNjnjqVK8rGa3RJzqaaqRUVkV302p96lO
DIYYgqhrx5hemjVSAsYQ3Ij4FAvOLM7EVhySylMSDdAeJb6dkuA0LPPKgMUiJ22ogUjndl124FC8
ywNWljgceDAZHeZI108zPtNGLQ6pZpyHdtgIvZm99WCEZybejYR1HVHznrNOPukN+bN/P7zNPxne
7HWQCNMv4ol6H5KZ0UetUeHm+9YiZLgd7lqVdW/tEwdUrDfr/uvtqF12jrbtCG2kQ8KYLyIyG8eW
VJ+EH8NyuEGrkPhO6tAcQkKHwikEPog6wXemft5nWqtwQEtzXD14Kch2C1/gvjonOF3RZglZF7sl
Ah3CXO4tFl5uhTmGivnjINhuqY0g9FqNkQ+EHV0nm511yMGwmo6RKLkhIdtsK+kfOtRdbqODlULX
4jl9dkJYdycN0Jkl6HEfrT6peSNhgdEIF5Z0qlxDigJP4cWku7FtIFJZnA72aWyeBxYRDpn9gzDB
m7Cb76zv6+u/dfmf1OVZ4Nnk/nWBDXhx8etLF7/03Y/1tW8/9n/lNXYmKu1XnHwr5YN593sPVpBX
S4uVyhagmG/t2e+leQpsZHTqnJq+RwN9b8KupXmbbTgkJw5TFOz+kZad+vv7idqiMUABUKLooJr9
frfLfpC6YBkPe0jNGiFnMRT3pXA8o+ueZjP9YuMCdiviZ31kzA7EZmz20zSnKETSylM7+8EmLPWA
KSM9TX12DQQTGhsPol43wgVigEQsQXxJ426ik1osWylydQObX1Cqr51tBV8WLRphgIirbyvAHfit
wNYn0k59rbYmN2T5cJFAkpxFbrWnqrW6SdL2CRjeQw/bDNEFU7ppJF9MpVI3Wc63pxr0/XKwGjBI
zZMGQ9tbDHxlCYI+Pw+sR/zzd4nQvgwNL28aVA9LqkthRw57aSGUM3UYnETI6QWfx6ymzleb+snU
EgdLF7q3UeHjFQimoPfQ3xwU66pp7Cv6sB0aPC4NVC0/7NjKL0n6qqcKXh+TS1naTbtRa35pNnAJ
JCnxfAQug2pf5XHbbpDSYYxReQ9DJUkWCXTUeJFe7hPZVBTywPWbtclXU3k72n3nrz+ZSMTysdPT
EdfX2JaZS1Blgv5vpy1QCbNbB+qGn7W8JJI842hIdub4F3S/r3lDoiKmVF3CD2mLaDKw1jCSsnid
ixodkmh0cvyIwBvTmQ4DdsKXIFM0roPzgAW4gytLL7bF5Ee/Bb0pQjEanepASFLitA8BO6xrcisD
782MVS1000ebqydQ1iBTsa5sTXl4e0jieibVRtbtprJ4DlDE3UJVZS+lOg/IWwYkf/xBpex2iHlT
YZLKK3JpoNMkfbspw3w6WA60UHxiPEUd38uO8Ry3Wkq/g7BWaxUFmAG20QU1EmmECCPp+J95nl8n
J13PKrz1bIy/cODg3i/8KwkwoQ+aQtpjZ7eeNZT8zIqZwNtlb3RaHie1bh0Pe9vT2/3OcaOCn+Cx
6kbMZ2HEI2M5KAPKGrpNDzcQFF74yiDnqYZdg7CMp9O2eFTKdSyEdTd/yCL+adrJFwEnw2XkUWYm
U/Xcc7ksaT3MSDH9sWacWCD5DqOdL6eIABwi9doni2qWR6FJMOB4mKBTnt8uRlExKEaFbwXF/SUv
CTkMUJ0dMr01fGAGlZelLR49oovu8pboT70aMZk1lLdEV1XbJdchiKSlusnBk+MFHHgPYdQe7ZbN
bogx4lrUAXj0NTAwtRiUYK6v4xEbKAFYPGVEviOsLNIT7Xd1I1QmAnQaiEvJZfRVxomaDfHtEBnn
t+GFA5ugQA3H3iQzG8kFjX58oaWr5txuGTlUiyO12E0kZviDtg7DFP/B271VqOW52ByvTbCjTCE8
ApTLHGTOXJu3p5xYvmVbsrjvCKlJfaSZztYUUbYZFR7ntwdgfcIZ4rexXFAczExjzsD4louz7N9u
c9ePeFUbHiMg6WwpCfp9rkA97g3Mn96C1tArek3ZB+wEvcSIvxATwi3Q0lfSlmgFCEaPqjCac9E5
NPC04KA2fXGN7Hc6G5Oxs8fki0K3H6nJWFwHqb724BkR/aIq+9BgnFIn165ndK1bCJWJW8BjvsaA
zKsXTF9WkhN7x+SAbpUqpNw5UYbLWJn4ZRrxk7IVpkdpQWyQXBOYqbfN1cjhb9Xi2pspztU9zAXi
szPKz1aoMbmN3DqQKs4u6PXbiK7zbsFqukNFp1M6H4Cy1Hxsci3hwfcao8iiSAZfiT8sCglvc5Pu
YC98G7SopgeSq1DBaF10MRoeicaQt/qczDsTF69rYGJi2WFjPtcTx2Ez5v6VmbpBvF1g7JDTubeA
iEiDSzMzAt6uNe56EjNzfmWvcV9lgTYdh3C7Ueju4l42kElmSnDRCY8hMLTOdnZQv9YW/zvvE59B
DwcjZj6RShZvtaZ5sVXF8Iu1WFvW1iNMz9JPqeMqY3+21sKuGO3wMMcTJxIlazMN5DkIDD0lJ9Qt
vlWOs+VzSjN2oAhsS9PHnsyOc1ma5IuelNOGGCH4xrGqPxhhmlH9QYBzQhLeH+JR5RYKFfG3G4Sa
7P1ErRM3KuPuAoTVDIATI8qwtg31t8Sb026FbyAC93GDV3QI6lo5cJJ5Vrqy/No6w4uM1bJ3QzGl
r/QRlAU/AQCg1mP6B6hcEL+LbHRyKrdRasDvCTGVeUIFdxOyFG1w3wUnZywXZZsJSJ9njE62dYXM
t8333bx0yhOJFAPMl3DIroPIEZ3bNJlGd2xOa5KgB1OnB6MXgXJXwME5RJb58MNW7PKtXPKfos8v
ZVx07X//1x/KsxZHGXiXqA5VrGbvo8cziiOLLJt+b8UzmTdL9BqnLC6isB/6phQ8Vow6GfOk//3r
/uGcvb4ulWdUvRQHvjU1f6hFYDbS6UxU/V4b3yY7xqCIcYOPFL+nKn39+1f7w9FofTXKRKYuNUd1
/lD6GkNFxkvR77OZB2TdCTgpsXvUAtVvn+vfQ8BPDgHYoOy/FedclePzj9v/337gt/2/o/4C6cSi
V/5Ne/Pb3t8xCRNFow3RAC+d/pY/833vL36hwIhbTAIHpGuy7th/E2Cy9xfoOKmmmDZyxPWn/kGD
nUb67/f+SH5okyD2RMqi6pwD3rm9iHjqhsKK7YNa58RQJ23FFk9P7ybigL/m0FqvRoIYkbZl+DRd
Es7SsxB584lqTVuxS2yVixZaKoaAah4uUnTBY7rogTzWCIhfIvzuIWmFbAm8oOiF4tXTEm57VIZ+
QIrjIzG4WMmbShCcyeobHKLEzr4Ow2xcD3VvP0ZTmTSgn2BsIXPT9HlTlFPudWK8ooUaXw3GkPlJ
JOreNQvHiNe1z/yKZCH7tVCtq5BOyDlxpgG8QC3vGBf9sumHKnjtIP7f0CA6pQTdFzDm4+TTEoj6
GTXf8HEKsd3rcxu9KtRs2O+GxlojmaxLBfo/p0kr2ktCqNtpsRpqnE4j51crV5TbskgQSlpDHp4H
RUcUKStO52Fr4xsbSyGv9ShJEw+gvua4QMui54X+/j4zg9Y3hiAC0yXCyRN2bu9ayxAWFhIzu5+1
KLrpjf7KKMme3McjEG7SKuwD5elhp5YU4TcL0e73eURe4w7aaGaRNRjp7JbIFAXblBYaCBBZOl8h
xk1Qp+zGUkHMDf3RdBqUQ0FaH7DQsPC1GtVfHQoB9abJOTaQn1wjmTlUqE5ln+VMkNs2GKz+brDy
eh+iytinitp+iRQkT54T51lJh8Ks7uuMeEcc24pX6hMXh0yUjozOIrvRrMBSXTtcoLzR1O2BLFrD
EwKN2TV7Tg9HLSppWkcL4Rmsd5ZzEKoZdJswHxPOMEVzU0Q9JteJ84IrTFjjcpyIEyHloTsQ7Lg2
/KIpvNhd9dryW/q92i11zNovyteRtRXP5bgQIMC+DoxGI0x2aCAXHoN+Sq4GUdT+4swJCN3CHJ4r
WnEXc2yGDf4Og3RT0eCDE7XYaiUcb3fCRnRDNyRMHmuVKJfhdlHsuETivyhdt4NgE9/BvoouuU5e
bPaVu6uP5Loj6efaTrKIlPZaXZq5jAG2k5ZwDgGDUPQpdVeT3fBpNKAv2LOmfwhtXgNf4ibJlnvZ
AqjBiaIZeHk0KrugR4idKwNUEIxQDqCEsc2dTLdtTmwnTK/GA5OLpCQdXavQGhfxeIlHsMrZsWvB
NonSdZ/J+SmeYL40ocB9lGpHnbraqcR8z9FY3iE530OyMa6XStKKhwROUHmx9u5rrvuarJq7g5yD
TWE3PIGyqNWzQvHK3LRtj/oWBN42BqFz0POV/Z7M1pWYnPG6F0u8Ges83dVANzq3zJf6aOLBPOhJ
n9+BM5HsYEvT2JkJLBvFaW+XiIGZlsnrYosPmsI0QEDNV5SrcpOYtCbLOGkflF7Pztk4WV5bcP6K
aUncc3ph1rLzgmTNljqtSlqWx+Y6chP8l9gvJUH2fXoRsnh0JFygENKHq5Rin3ThHWmqkZ+XWuIh
uyu8JFYHw53azN7D/Mg5CZjr1S7HBxUt70YdZufKKiESISYAl6En+h0Y93bD9MSpQzbGFeq53DeB
SnNQkW1/MpxU9espmUgAMJaPIpPyycopdUYpjJapiqKD1XfWg2UZpOuOZgbzMGyZU6ySucNFbKkQ
6DghCoDEvtyoKaMXfWlyWQbmxjSs7H25SLnvFSe5HjWFOLGwJaQy0Jfe6wqYfiPQQi+M0/qcE/C8
Q4lvH9NGf4ZaNaP6iQe4GTk1STxv+FTBIzIMi+h2zIjbDBbqAZ4ZZlxtXdDjJezUIVSW+I9VnjjA
jY1xFHvYWovr2Ijam4St7tdBpTKDPZKoxE5XfdWuqNVLq2dPa+dPyBXtS9SFwKNCbv9TYhtb3eiV
M4D/4kYbemCJWag+0E/LXlu8ap9w08p7C1X9Lcfu0J+1Wt1mlexPw9JRMFFlS5E2VVLfgMbCpBvF
/X0sRXmwo1Y8w6wmblnUI3GPdXGytardT4qh3bStkXpTR7JIm4/zPd1ZQjxznMHnbsA+ClV/uG6N
LNirEQ5NktHSTSltpswsvNEcAt1iIl8uStpbNo0l2/JC5vyNSDodk00XLQcyiKItlq38HOtZ8CEq
lhG8YWUgWwHRTtNEGeJrfUjbfasHNdGx2vSFrMYU4Um1PIhB6F4VJFbjIreCoYhv4UMdjvo1eZHj
NbiYIYQZqIKR5Jh2RydKu0cWqmPBSqrNjCkXDdTcRR+rumovYqGqHLXler5YZ3tW9OmZWKIM8c5a
IOlNROwjyG6PAuOCs77vDiiubrt+bpObsBEaVUS1NpHtkanAsVd9gpOQ0dnE3BF/pJMXoFvtSrNn
JUpVO7lZSiwKLrD63O81s4aAOUx4ltRp+Wp3g+kH6Vx4TRMzBUc012FzNSPSgmjud7AoH0aIkbsY
h6/PQxpccSuzTV8U2a2oZoSwhXXoQwWKkdnE3ttO/N/98U/2x7QT6bf/dZEcm3fXxC/df8rX/yB0
7vMvvyf7fvv579VyGNaqYyJUt78VyznvfK+WW7+ga6fJz6T5DhsobNTqEv40arW3fTFnsv+zLNEU
JqMMAdJb0OM/2jG/NUl/7MxTzTQQpIIKlkAgxPrJf+z+swalGtZVdZ9OpZeHr1mo3ExzQEjUStov
9nmsHlqSjXCBPGmQVRPR/uR4uXYgfidAWN/CygSkau+ACdDWr/9wviwN06xsO1T3ZTOr50A+zRAj
2iH1i3wbpjB/VeamjcO+Eo5vcKqgiO4s1Cz+qH+SlGSXiDoY5j51wdFc0gB1kAZYeFVXiY40Bpcq
xBoAsUYLvciJ1aRkVS+QEKafE0qo619nKdGhzh/apdzFOWInxZ8NZy9LSGRumJrXVAYLCHkqFDfA
vK0QGzWFfSCKx9lG7sozsUf54iJ3dcFKHsMenAB7glvZca6wM0rZtgLyNqHm0YnWb9NrqfS32GZ6
fypC+vrkCpvOJ00ofhvCI255B/hRIBUIj/My2SKs6VHk92W2Yf7wsCHfTUrwkNSkeOHcp/dbfcZs
pe7irL+ErYVuq/iy0MPtkvR/2Duz3biRNVu/ynkBFjgEJ6BxLpLJHJWSUpMt3xCWB85TcAw+/fno
qjooq/Z29Qb6sm8MGLaUI4MR61/rW0GL2XfvLDyNiaHohtKuL+UsdFi28PaUPn2pRLyNnaG7qYhy
M+PAput0PNiyS3PrLi6z+H8Xl9/96P+wuHA2Xae9/351+fCt6//PSyrj9B1Q6o+f/HNdcRm1Oc4K
FuXaZYbML/1jXfHM30gzsuIAtfmTqP/nSVz/zbGIyJCU5IsD7onZ3Z/rCqsRSwrZGMfXuQyJVv4H
J3HH+5uOw7meJOSqFKAfWO9NkrESU1FlcYKNlSqv2qsQKbG1dGegB2JbiL5mpDVYxkNnaBtVxgVn
nTndFroxHXLgEVkY4VDZyd6Xj8iKsAeswn9JKfXaU7ETI0ENPtWPs92uyOWeHUye2EfM367cDdkQ
UZClicmhzdgG6idy29mOPhMfuynnQxuJU0U7EjdbFctNXHrxs1ER8N+MtoyY3WVUFU0vRlfg2xBR
p56XflxT3oXapaOmb3uoe9d4qo1TX1c0sM9cN2EfacWIRB5BYKYp8YYfoaAJ1PG4b2rtmkZN1m2p
e58O0qLKa5lUxSbb0j8sUo7nDNTQU9Qoa6dkl9yDB8Qp65PnZjxV5V1olpSnp3CSd5hScUQlkyof
48Rm12hxAM6QkUFDtcbZN9LnOoc6FbO/uHhC7byx6AOthVYdQ+4DDpeK/jFvMvceJoh1jXAocLB2
pDB2xBF5xQXS6dYfIh+r7kgjVjMaG0e1xZbnnG+trhdwe/ySZct1N9FsfQCK0Byoor9xhTL3xpDc
xd4y9lh7dVFsGVJh+LInscGBsIibHkAzZozK6Tees/QbwpcHf6r6Z9GpjNlsuhihNpLCwX9qlRu4
Gzafhz3cLJ556DP9ldyfjfBRj2Ee9S9RpfQTsMdnlSsR+EqvPsGbVycjadxNqbxki00vjHEYA2uO
44dO0ImwJTJUXOgzw7xcJTgkIBEk7qYpa4cgU+fc55YWwd92x1e66s2rwsQZ2rHDCWZpvvUmuQbc
Owv7tzaN75cp606zT5lLxoKN13W+KXD+0GToAJCvtOiK3exj3NWERHs3PyaOjOLz1DMdus5+XLef
ZRx3n/SpHb6n2WhcHfbHZwwW1mPu4KMCxTjcwP9rnaAfS96yqSnlhUqtT9MshlsNd3loTvo3UZWf
cEHVHUPAqj2OmRg2RWrpd5T1GR1DLuW9UkU4PC3aANZqjIrQaaMCp085DOVBF4Od7SKn5rhTVNP0
CfmF2ZihiBeHndZ2M6WwEjY/n3Jou7TnpbhX9OtYL5jx9US/YSDlWsFsqOg6Nub9ZBuvS+e/MgLa
SHBfISpNCRqUkYcfCDdp5R5XrUnQ13Q+UE/5RI3UN90cIgiPbtGEEofcwS7o/blL4DFt6INeMwOO
icOUtYPfwHnA6pLbrk3PnuNPx9mouH/XjkjmYIi7ybx0frfEDEMwrAdoc69lqjXDg+yVy1PqYL8M
0f1IvGUj2xxs+miRLh2deTfo/l4JK6HWdBnbqwnjtTwMkVFCfhlUdgYnnuXg19B/NjBD7Utnk/11
rTo5JmVkhG1D0tpxNY0xCF3qQsKY2vTLGSWPQVffJbSEFJBDHFPbMYweN76upl0liL+RGMk/zral
GFG009lLXeY9fYnpThkDJlmRb3KZ2VfKDHKatnLmL1NSBh4T9CBry/aU5dayrWEM7UcsncFolPFl
Gm1q0AYmkE9todtHu/fkZdZ7jQLPbTIUeGfzeFsyUS9wS9VeOGtWucuas6Pmj6RBAPZKoFDzEi2h
zf86F7ZeXwxoLunGFtos8Tm3pr61B3S+Y+6MHiuVbK+WL60nDHUgXdnobRMbLxPI9UXtIy2q3cAv
8vx1WavwxOxOzPEN5k1y/FTkHgOhcUjIFTFt5nBMgnhexttiidV3EizEn0fX3SV2TI+CmzakAKLu
i4g4ZDlMD/NN4qx0UFMfjlGpioD4r7xhe/RptT7SUlGMh2ppOWytPUyQcZppctYKi/6LWXG3CZlK
dzeiRN0ZY+Mxhv93sLRSP6f6GlCqvGxfuFqJqEe1NrXJWEp9jy4GMjdGpY0HU1b6UVeuwfwuT47O
JOaQMZl+dvqJAVotvV3X6CZQUMM/z6jW4WwWD5GzYClmD7ifGh/eZ7RGsVI1rB2GnuDYzNpLdKrY
ckZojy3WQxyvjF63+mzdS6MOtHo2KRrkEr0kTZzeMnf1wJhhtyMS5G9tMzXQ0FoATkN7nsuyDRFW
uq92LWf8zg2de8B7b6AiUTxNoPMoF/8NW1d5jG35Ff7LEA759FaWjOx0Q4HiHbjdGDI5YgOJD8NU
WLg+vdvRiB6gpVi3VmliCBhG+0raqdxJrbuNVfYw6J12nZLsnriMdyJrZHI1FrexWy672cmJ7QMK
tnX69jpnZy+dJLLlcwSwx4GOCjGrZyrKQGgPvK8PLaRZB7hyr4aLonKzDk3unHJj/uD097ql2P2L
HwR/B6ygjgfFb5ZHDje+9nHqVu5/6rqg09K1DkD/vRpgzo2iECG4YUMdGjt9tH+gk5cfGOUOyfV2
zA2UtNo2sFlkVA7CwpblN/WDxKwPS3tn1qaWAJmWSF7NMH8oax0/x0pzHlauc6u0CcRz6RIzM1Q+
nnQnn1j6CzxF85hAhV750EbJiumBFvqsVno0+7nsNOr+wMRvpUt7NG6fSr3EjGDZIVauiejUSqM2
B23f9RCqO+W1u8lrydD8AFiXYGM2eWvxBmG1n3eJHscv6JsN3l8StLLJGeKCelpjdQuQbJ0YFmr/
wGSAuxuO4lo01lk2MCpCsrLNOhFXA34O7lz6zu64t22AYnlZ0LkDfLmcimbVUWFPY2U3DkcdbeOM
rqYdtR98bx2sXb7BeuvfGbbmUHC0atu73G6J83n+QkOvNVDZsYLDO5po6VvL9IzKI9k+UDI7QcOB
qRnURDj3XRrNOxrVnMPyg0ve5jMwHx00Ec6BFV1e4CfeAo8xbsofZHPSaOojCSexczp7z8BnQMz7
gUP3MBNt2jyNaB2Blk553qqYpl0cWrNWMjdw6DFnB9TS/EgO9Ujtiv4hWjnsMUVTCfUcK569USuq
vWN+HaRYWT+yeC+hxZtEfNJ4Ey6VbQobW8kwYgAtXOS6QvskvRVO/ZApEB+2GfQY2BvOgQkJsJbh
S+CAxQxJzFwae2p2/sqdn1YCPT266ImV5dnXrlgR9Z1dFXu8AjIE82ydvB8w+wLy5VcI68knnz33
M4Y59xyJBAD+2vJGKTFbsy1T+di/4Eyik1q5H/F9dR+Yl6GbxUCGixU3bM62fpSmWmSAUd95tTBL
TEHnNfKQWi7rQGH6lyKDSGlCeaPUPTU+s56mTP81I1StcD6OyH4qoHPbjXaUzCXwGfWFwr2+pKi3
6q0HmoasECxYRZ+1m4e5SP29P5dDaM/jeF7ccbpVHenOzs3lJqumGVMK2lwNwvOzaicQtYx+YKUB
jnI2jdGQYsOeTQXNTDVy1LcY5RNnZ2JP+0rafL5pKPm8hV7UPDbg+e2A9Twjo2l0T36lFx9jQ4c9
b6vMJ+sIuI7shH6icKHduXxfz8Thnau19BNoxqY+movOA2DQwyYtmlDRq8PeX6cMGJx1APw6gbBb
lNVuooRgnxVadQQ/NG8av5ieQIFaO02XYd+0jJViiZafleNt5rrmmUVixAWecLG4o8mGhZXPytEA
qRFowrzMHIR4A+ZMPqqWyUPHtS7pnoSVFIUFHahsoPriS5I7NiSYIpnCtB2c7/B1p69OOSc0iRf+
fIGMP1u7SYp697/i4n8r426IVYP79+f/S4oFt6v7nybw5u8/9cfZ3/N/o40V8AUtdhysf/SN/DmF
d38DfwF5iJM8QQXb4bH+PPv7vwGMtmwXDRp/LGUl///sL6zfEBste1UuPdtfkRr/wdmfOASP8ldJ
b83XYxdBZTB5gkQz3qmKVpL7ZU/POntdDT7MEFDOoW3ZmkeHtDdmvqCM1tnRWGMjd2wzqbFzcFt9
mxmig1cDtr9pENzhp0XCxw2Lbe4DTGUhXgy/sLBYdgZgWTN+LundCLj32x9GIfpLq0NGWiZfi3Zp
zUAbOI3mXuKJfwzY0vvNnghqfljvglSrz1jeZvtayN560yYRET3vWog2wjH7mzHzRfVs5ewVb7ql
XWidLhxyCBtRWsPXbFESOaNjxubghlpLwRfVTVto+2prcdIJEtcaXqeMlm5cmWOpXXIrtZdNy0pH
gTif7WMc4esNLLOq2cMXEZ0jCZdqDIpwCSS3UudIo0n31ZV1+0ji1Dx2rBd7c86+Fq2vQrI5FKDq
LQj+kct0D0LjSeVWfu/QL54d+C/WRbm47bewblMcUFYvNxIVOOwN7fMMm23j6Vk5HWXnaljrqKOC
p+FT1uUl43ZJ3NbGa6V1D6x49mVklBcaPXvV4+D7LZnzxY9e6GhzHxvXjgiIsOk40k5ILhzXhV2c
i06AH3RllH0cJ2CeGrCXIHcQDFrZjJt2mKuT49cF6XVGO/iipnRjUhqssylR07kfeuaWWgyJ2U2d
5aGtiDDoVHWX8pAbDukOSYrL7KeDyib6nFwKBShDoNlx56koQrotzY8N4TKqtiCWPPngSgW57wkm
lljD42hwmLcZQMMh1xGBBSN97rkAlrv92g+td8cktmnPKLPC5sYVd4uM+eQKKrjswmdIKAKzbcTt
YkcTA+OI6lw4dsd0XB5otsIMlwgOxXlN9V1qS3ThGhdGQtE19/SenX1B/0W66aAphMUSUW41exxw
Nfcpn+1taZtHYBEX2r5wQE+UgqQ1XQhLGwx2vkfFjk5uXu0wAXbPmpZcZ1y1G8nD7OJlJuQ+qldD
n5ad66YR5gb1qBdZd4R2nRBnb7ObttT0I8H1nLxQa558reo3eWegTIOG3ZSQmk9iKGq2jXV61gq1
HPWWS9N0CvPZV+anqvdE0OKV2WRJrwWiz8YdfS490zLLyo5dOr1JbmAnmYr43DpkgxbKTkLZqH1N
Br4TcLMEe5o819ptWmoVJmHN17hDZ+yckuSbvbQfXajpGz9i6uu0+rJhbp0D7BTehDYFx4ryoGpt
n6d+Ilse+xTI61pLuBlNm84GCUyGZ5+dM1tpEpWqh2UMTPdbUzSK1hmLN4eL7QDfcJu7uMireOkP
OJqP1WQ/tlbxkHvpzWJEe18OepCZy1Pq9PsayMTJXTccfnqs8A+TqENcynj3Y4i8UFSfu7bde2q+
ZKbGVs4e2JA2BVZaAPW064gX9tC4Z5AptkZZfCuEzkGlmhwsEAkDW43ZbGsYgd/jpm57m0Uw9S4C
vWeTlfO80QlQgC4zxVXH6hOuOANyBuPEd6thk83n4ezNjijZWsJ+8GTxBSInHUum7p8clsvTIC0g
AZGVkfzrs8PgMdLnqjCucdJeGe+GmseLWurqdvZE9rlYV7N8iFzmGFmnnZvGFA+p2TqnuulpCqIp
adfMjf/qtslHQLtA08z5e9KXxiF2uyFY6Z54OT3OpLCET4NKLajBwr/iesKRujj+Mc9czr3yOo29
vmOZ8M51pk3YG3Kn/8C6AiJgdKNx01h9dkv5zYi7I4cOxwe10+t2uKX3Inmw5tm/yFl/WKTWb0VW
vnaxSebNH+7UDNp49arPGZLgUnUPHedA3qFkEw16tsus3OLp1eJzIsBRWAl3BzxenAD9fZr1Twiw
7BEJAz9Srn4BlSaRuPrs2dWyZzsGngDS7HO3+B+d2Dyag73uNIdmVxb4GBJz2nWTPNZOtidpydEo
awV4s7jdkxn4UtnKDm25dDh6zKcmcvO1UqcmIoWZ6Wy3k36bGGyDmYlBrX1xchMzU7GEOkAO2NVN
6Gj+WnXT4e+2g3xdSxvNu/c6i7NQNj/MfHQIRyPBMJZR71POvv5jAUZxS2CMS00jn2664wXsRDi2
OY2BZr+zqdQ50xPkbdqxSVsEjDoJclV4+2IelmMCt7tvOIWmUU4Vlo7D39fAHI/ajptZESyR79KO
J1CIazGIL0Lj86IACSqLWnRxTUqBSxht6FIMYJvVNNZhk9nJW4P5OQBAfIMPinvCVDwbApEmqi/+
uHBjzXw/NGX/OKrutk3d8stIjSctgR+pqijCkdfjzJB00Zrd9DyqtdKnNHaCykuiFba93M62KMYN
6K5mOyyJcbZTO94pzVKbboit16gemgcGKHmFAtVXDQBiVqYRA/o95jrsFbVMUGC5rzUpw1GqHbKt
YeBRqoZmuDFjOPCpaaJvDnq6iSztmbKt9faMwFY7/gan9u2ku+aLVhXVnR4347wVqhAQfNSSDQ9V
pmF37fLlNI/Ws5j15g0hTIuBOFYDlG13wlhoFcaE0UnUakSVKIiG9P6XUhvvjYSETS+m/oFD3z0s
FOyJuXYtVTLc5XP6oZMWo5HZqU/t4nzgHFo8zSk0CQ0LvMHL25pV0X5ieQW9gH77GU+fDCc7kriZ
NDPM6jHZO5QzbjyvgUUE2CCAR/vqI1yHlc54Mx6n/AUsIQbCsfO+O3SgbgdS6xs7sYrPIMLUoztp
YLYG79XKyXiWXum+uJAkt1rk6IHpJtlTFVc6TkK92/vwxTeWRTJ1FutFxAeGJ3228l0L05/rmqcX
S0afZfa1kfmbAnT/4NM69cHqxpDjdHJb6Lm9VSO3bDdrDATSVIokWBopcBbL4txRQ3DIhoGutq6K
L4ZZHPqcCkyNFnWELb9+8Eqz5ZTvJcMV27h3oL6j/aAt/gFsz/w0krPYrYxt8l5Lnt4QlfpKlPUL
q3OxIyDkbwcZDc8pgo9TWf6+8aXa2pOWhlHjcINIQYEzSsBWbpt6hXSXmbeVZaFlmHZ7k4EIJgnZ
qRvqRv0D06Z5i2T+BWauEQx0NBn3DZOZRxbIDvLiYDHfRVtM1gN/DOihFDk3r06rXlvYqOfYUfau
YC/4ok8AXoKasTTAT6EsbJbkxqrCdt5EyjS8XfrYB2kNisgo2DAMvOcmbSqbBYgAG+ARs9Y6bB/0
bWWZd2RW6bgIJqpfcbxSB1uy8wgSL2XmHqCEl1NylgzEd3k5xo+4DSEpX9hoBRhyX6S/HB1z+kpC
GqJD4y7bsm/mcIhi0L0VhsFltiHSM6zmUzvZGT42nzaCbVHXBKXF8GnsBXbPpYEv00QWaLgabDY2
IjjM9SERVQO7fs2re0ZxsHpTbBKZjadKn8JIWrdZklnPKdVveyoCvXOalDW8N7T03PUf1ZLsirGV
DzIZxV433gZUq12fRXWYldGzEcsSVr65jTRBbUPSNNvOhlIwZtFJOqoKkYYOFFSVQSlnuup90whq
jTxHiqjmFUgTtaTaFecIAlE7brwlTz5NWK4cNvg73eMtLv3mea6rOnTxqm7stIQsQhw5M7xyy1EF
mmmvIX7HbsM9saihjosH1CCxd2LrS1ENz3Wj7DvNWa492iPbZVvtiCuJQMJSaoQCfNDY8qJJICdU
hJsvlFpRUEXr8PPcd5iGzYxbndIEaE7wQVa9lqLCbUXvrOubvFyey7aZd3XHni6to/RrLo2tMbvL
dUn5llMIi71AlBtn9qJn1yhu2mQQFBGu5Kq2+s7mlylw0hGcoQ8k0RBuZjHezUmX7BacN89IFsyE
xRDvWlH5oRBsdszWo49Ay4oLvj9cWFNe7nzdbm8dL3rTOxlv/Xx29smUz9dWUZvLJNUIGICx6zEo
n6AF+raa1XBr6lhe6nYKUJcZFghd3ZroOhpRiGBxaotk3Ij5GWDojUc/Sc15ozC0V9NbPseNgw22
G2445irejJw6hOVIL/wYLpq2L3Bae5i4iXnqNwa5s0Oby/s2XXsIE5bHpPUCXIj6rmk43jLptFAe
xz2UL2NjZdmZTm9uoBnKUu492zDDGHcvn2d3+BIN8Vtd53x/ausKv9qto+ca/x821Sr+pGnmGAyi
OPbpsgSx5d5gqv7oNTXcGp/qYm6OGzP2mtsoMhmyQHS/EaK5ZhO7M63L9KAflo4eOdw4t3lUU5i4
aPeD0444+8p54ZaQIR2b3AlaEle4+pTndUeGdM4nJZNvVj7xHYmoZ0ssYlebScBTBwVW0vdIb0pI
/WN5yy1LAJGrrYINXi1dErqyuk49uK9Rm1u85E6+z1ItxtdrSj0J6rxvXk2ImwTtsKVKu2mfJ8g5
x3FMxiO76vzou0m1F34lkFsX5qr64OxkNTzRWxczlfLvqCTO7qtUM77baTeclyR1To3lyYNZqPwE
nkHtGE/LJ7qnwDpgC+UMn13yCuZ5FOt3yxKDrO3q+MaizCAYDNO+GLojgHLN894CWbTNRk5Loytg
+/qut5Ww0SN8NvsRyP82BjOzKVuCVHjL4i3ahoYjUL+LxeAFTpNZoZkU0Z1j9A5inHrzysEHyOV+
duOCd4xN7aUaMBmC5z/aclw2chpvUffYVnRU1pS5/wmXVbptPVTXrEzQqRu7YhskF/IP/PrOp/mD
a4f5Nds9Tv0Q97IKZcAM6nnOdkmtF0f2jUe3rLKgING1Y7myQ1ZzRgXMksMiT/dZ0txxmPIehkwT
e47CKC7WnL2OORWkm0hQkMetenUZcVpAlvXPlJUS4skzsTUj194M+Uqc4/iBi789u4xqUJOL9NDl
wgikhM6c98CX+rztT4ju39uFeQ4V3ng+k4/mkt4arO6A3eJyLWI4L3UOnQ4rZsikBvA+qvJaP9hv
89bTzpPI7lOzpM2pLi+x474wS6D7ITeoPGj4+oMn2lWGvo8n9I4CMT1o7ETtKMTkV3mDuUnT/ttS
N1ewcBfVgCyTeMCX2CJY2nLOMq0qKLWS4HQP8TgqkGusLtCTmVXZ1qNDUhcyXHLqZqASnyauVHAr
dDroQ88aaRtyywbwbXSztxTl3hPt/dzX8zFlHr7lCMmApX8hPF7txDCHHLX4JlNwEfQjAAiuBv12
MQZz780TMsrCTVf0kB8b40Fl2tHLhhBrNM6v1iD6rhGA/9AKDdlkmiZvZxbGE2vng6lixSsi9Jo7
EycvbwpiyMjbXoMmszSbAUVga0TpdEpIqzDlrd6qvvavWazxQXr2vp3aBJKVtTzTv3vvUpKwnRvD
xCKi7/rOdqlMlRj32ShrW6dwFRNsN3sqo+SbZ7S33WKec8/5DJx21xSfe6PcD733XY4K058Hi7Ay
qJ7vSn/bZlVgZPj4lnb83vQyDwrce0mrJWErqFPoGG/mCP2IKgBYXKbJpEMqtIDEWNi2ZNEngF73
MmGBhkwnnTmg8su9wwpunjT29M1mjgt6REYO5WOrmGcM3MmbMS+ZyjdtWHVzxRiqdzdT65yb0jhL
3Q7w2JdsxMjc7FBx4hO3LJuqUMMlzmCodrjR6kXuRWcWGNkdIY9p0Ub3HqsaYYDOkHbJ1rhNvM3M
jrx/0oRTdruS6LFiTJpPMqBMEqnN4YygWD7MId1lwjda7MS8R3ZEljEeNKUzQvYEHJnZzXtCsD7V
CH+0ff1Pm4H33+rbz+W37r/WX/yFzQXrXNL/35//2v3+9/hbvXYp/vSX8IeGfh2+SfXwrRsKfvR3
HtD6P/+7//gHGfYfnHiGb3rEw/69En9TD2kHk/InJf6Pn/pTifdo/nbw4uK/E2t6DSH8TyUefrVA
BbcpcDS4clbV/w8l3rKAzcISAkFLWg5NlTTeHy48k1/4O/XJNFmxrf+MhWERrPurDs/R08JtKsjr
2YZw8fj+bK1NqUwZUMTk0a4ibkoUXRkPOrz2C/0vkBfazFt5aq7+1mlu9IRnQh6BTkVcEml06iSb
CRff0A1s5GqfC6L25mhwKPM4Fj95DdeKmzAYD2udqLeRZPMdxofhGyAoWPuA3V6ESZqiKfHsxFhi
SNzgyqG42R23kN9lYMS6nPZ9qS3obqS9BoAct3/5yP5FaPZdeJV3QCDXC5u3gVSiRb7wJ3MxeD/6
FcemOc7SmO+Jpfn7mFl1YPb9+rp43r9+vHe2xx+PR8bdAjIM6A5828+Px2Fan2PMcMcfcX8Wlbc1
aBNQf/uHPf/f4q/eIcLXR3Itk0GLwcgGeve7V7aQVFi6xClINEKXwH+g1pZjMPdWlD6OZiH2ipKv
h//45VH0R2s9DlOsV/r68v/i1c50s5vKqiuOA4DbfKMN5PM7JkG48WZbqs1//mjYfRxgMrhZ3fc4
wdj3Juqrs+KIlG3nF7qdV28ICcW7AVDKrx/rx0zqL0749f30Xa5Wtki6L4i3/vzSZlp3k5L27mOb
zAUeviQiadG25bofNEgcqmS+G+Rg3ExdPh6Wgv5uzF9otL9+Hn//AsGsYeYAtdTnz/dATJBNrioH
JPSWzVKynTvVbZ04ip58p+EE9+sH+/t3yIatb8MA4eAuxHtUjqRWjsO4kx0bY1muP0AuvcYV3CQN
jiXVpehbbuXn3j887r96kWS88Sc7jg/i/926lMfZxNCuyZDaERhBiwBDsYZp2lQpwJdfv8Z3jyV8
m98PI07X+XgNYHo/f64C24YxJoj1qdHGHJpxEazij1pblqznXz/W+rv+8h368Vh0AvBWemD7wG3+
/Fi4ZxxNanyHFgW5cVtHbnnCfjka218/zruY8++PA2bTd1hk+LqaPz8OZdWddHAwHCOdYpLtPKF/
bmA4ErgaLfsxSVN8PLPsa9w37KqjUC/j5B/we+++O+tzwM/GQreSoBz9/XdnVEae0rPBc0AF2zYG
kvF6XIwvETO3E3WxVNk6lvqH9fzHW/juLTZZghzs63BjKQL6+aWPsYPZNHLTY0IVzgc2l+UJxJq6
bbIq2UurqZAvsMCxK1eUTwXRNKgR/kc1fyVF3covDYHnUx4xiaYMqzxFacQfS6Zdf/0J/avnafPB
0DmxJnn+XgWEF3SC46kdgGU5bwpYlAzGtvD5iJgjOwdwZ4wi2Ku7LuWBU36BLqTWaEYUHYe8Fme/
96PjnHrWra85nbtzxqTOtnXiYyf/9XP9+7fW03k3dQ+/gEem4N20nnKxvqZGMz2Wvq4wpMTenAdV
1/Xhrx/n71eiR7JgXdxMjz/f3xtTzeRN0boU/kC9XP10ocC5wqi+jortx18/1vvlnK+nB9fXM7k7
2uSo3nMklNfZnZgzlvNa5tvYi/CxFc0QFFwqxEIb+l7mSZ2NYXZfOcTF+7m2+394Yw39fbnG+jQI
VaHO2WwKeDrv7iqFbJBkWjM6uMMk1dEtTBbT3p+thvFus1w1y9HffqB1Ujqf5EY1CVmbNM0lWi7m
q3MHt/DkD4O674k/DwiFWSPR+vqBLl0EuEuRADhK0tZ8WAor+j6CLHvxVLFcwAwAzvNb6ayhUYT+
0rPPo9RZcAl6mg/2kDuPqJb6oTdolE0whQ1bvUm1J82dlivuJgvzeJWMdyUHls8FNW5vi8Y2rgNC
zjR2rqLvpafZzakqW1yoFSCCw9IZAk+1mwxIi65c9wh1LrC7wjv8nPiR8YVJv/U8wSFoGUJijAi6
ORLfC2RcmtmwKiRh52XJJba4soXN0mLIMX0bEhbvuovt7zFjJDOoSraNa2+WFwdTiisVKroj9pOA
XLWtXAytngtlqcpa99VrJ+k9kG7m+8bVH+e7vF45+00jtatn4hzb6N3gvi4iAliPy/Tirj/b2TVP
Q9kWMk+6UhfdtNCe/NpSF+4zxUvbqunux9sbwZQMzSrRr41FL8mpXnBUHSMjdqyTqZcJQqWPY61l
gNFgEF9XKyD9Z9kvrFBkBbRPjM34RuIONXTUF2M5YLjnvVO2l3aB1PUESn0qPgxYZLXAjPXq3spN
d40T83voWU4uTt/EyAZu+iZ1shT4hom27H0KFmm0tbkpZLFlPXvVKM2NZvLelpaZvjFKMHcG8fLP
mQ0ZEjcCtsFNlJbLlTHFTJI1l/O9PrbzXarEmGxdYaSfCoem2pkC0BdjzXeE1vo9LKc6wl9I3Jxi
Z69Pt8tssIFBpVp21VjwXXLpwsSMo9BAIo5eatPT7HotbY3yhKVknzMkHe5FyDw+JiBcHTgv+YKF
epc0nxM6bgnZenx7bbwr9zICpnEYEk4Mjl1rTw5Rfz7HGNtzrBXZCW996C9avp0xC9/VWtEi3GO/
g/ldhzSfgdvXanmN+yQ96p6szlMMwgDWQ7p1zE6/GFa1nIYWIyl2qegp7t2QWWb+uXWAfSkeLYgi
GwVhcfd5ipGBDuh5r6eZ9eohyWwaUcKxUOAhCDnRxT0vjLeYRhtOJXfUiZYYFCoqPXhXzRcGGvj7
6KjMDH+XJHAYIGnUJ2An5N21oUGBm/xNW/KyMMXLIMmBKamxHzZmx/i2t8Ur/lbrQnvNnZx7wGqj
NW9HhUWDGw7VqW36DCOuDFXXmNj2iwDDrR00fTXtcWrpAZrFCqfQHWKWiLOpnzx0iXrzG/NzM2hd
mGmwRhU9OwDkRvOIfeZji1UHKJzVFIGaPe5qQ2N+wjN8Wki/IGmnt4mTTttcOE/jGJ3xhsQf+8Zc
wkSo+ZQUJQuwWPdIpalundSyLv3StVcDLO7/Y+9MluNGsm37LzXHNXSOZlCT6BAR7HuKExgpkg5H
33df/xaYeetKFK9kVfYmz+wNcpCZUiACjeP4OXuvDcYV1NU8O6eJCz6vZOIUE+iQLIuIbN5AUpT7
yShiJj5hj2Z2klZ8NMBXGStypd3TTqR8oSLF1rTqJ3O+QwxvMfZIQzSzvemfoOiuSD8WNsIHh/Ui
cfX0DmmKvMNRM9zQraJ+KND0S1pA83SWuLO1DTMHF0bSeq9xpuoDo43xEFV+xkGpos/IPLr2xDBc
u8M0ba2567bL+weMQlEiTFJllV025J4T/yAqeoWaTSlgJjQF6SruZcIoLk9ypwG46iqWopzmux3y
RnCl7+7LmK1Px/1Hm2/Kdz5T9KBD1oYPoTSzi0Zv7910rjbGQEoUMiG01zItUIu3TmLHOxGbABzK
JtnlMWmsejc2eDM6+dDGcjixunHTqnA4xkNHZ4ouoP9kxSPwdYHEbaE21toh9+voCD2AvrY5eM1+
7jNuzJjagS1Cql2lSKy32VQ/5gUgAz2D8tHZuffe2iMMDowY5q2ZCfdhHEDNBbpY5v4dzGZG7tRj
+Vjty3n2z0etcq7qFE2wVYAl1NrK3bOD9vf+aJhM8YyufitNz9vC8ZuOVWuduZmtn/lhPRB5g6rb
FgQeJzJ3g85N/Suin0Ja01ZosfmPI5s2RW3cakqj+8AI8shF9W9GAUeHlzA0F4wb9vdx1psrt9Xo
GiDTZ9TCjA979zaE07GME6UIBlfDiIfBjuA9Zd8lU1Nc4umxVsw740MYV+YZZ1BtrIzBXB8aQS8E
N7afn2Hp1Ndh5puXskrFXlSudbrM0Fd1OYubUFTGJvOGIkh1yLjp3HjPXctPYqEhRb0ZlLX2WuaG
5AsKL4j63EwRSiDBl00o73NcIOed7hUX+hxS9vtWgRal0eJ8OyXoWxaJfhoQgeh+E4lDE6eo5AkU
CK/YhCFzo0nzp7eW7TgGkKG7arH14FgumeczTs15p6M0qdd50YtzduxlkGSuywbAKI6pMbU8XW15
NsRZClhItBceLfa9VTURw0HfQ2w5g+LzcpjERojGpxrDs7jLvcCWffaS5JXrbJPSrx5s+EQ7QkZg
4IkM/X3poqXWupxeUpzW925TPmV89LauCiR2vpjNdI3zs3/WSyKZWQQajVDBjlrWM3Qo71Eu0APN
3YkR4hPQMfJxxdU2yczvg+aXG9WVIUwgH2N2TrjPmet3xYtr5P1xJu9x4/m8AysEY8EkmABAcW0v
Db1vXuI6Yc2uUt4aLAJ1IjFz2G6ViDuS6HO3+Q4xC8+ObjP1e4+0qVq3qiFfU9ptzjap1d4rJ8rP
RjQS5wp/450mw/7FrpX3TXY+0Oo897V0M+qzJ3jtTVnqZms6Ivleoyd8ZDjry23m9A9TC61Dh/MM
EGhRO8QVZhQ1JMaaKkqeTwj4N20K9g7PUAh0CRUA36od93Ye62ckK6ZgcQbeGYU5Tdk67TpnCSMv
IkaYcTXuDZjjR7Q0ZYfz1UQLpBiz3XhWjNMI5w4cJyT5+tqgO8R9mfqsPs2s3arU13d+UnDdeCkE
ll62x3JW3feSvRE7DMiUuZZxFmpPPYXI74kZpcQB+1niGXLNetwjcw7vJ2Faz5pZau+m0w2noTfJ
W0Gc+too+NjRHn3cu4pAT5r2TyFhR5STur8m1fiOwjjEmOvogGOqa8e6lxJs5DSzvDKL4abKSONA
cYJ+5drtR+jXLvJbDNSoE5Gq1Dn0ENA6GYnEEe1OFxGEkSPm9NhjM8Kzi4VG/pKkZoR8g30yYFsC
qyZH7pGTmliTh7d2RvnBXh69ZG36uwRQ2jrJnCMiPbE2VG+sMtHtPOnLNeAWbeOG3M56PBonk2Ag
MhswtfjgqOi8wJyqZJVhZgvsVo03lWNGxFJ48izO+3dQwRhWZiZSDorgo6Kxu23oZh1VPaV7X6c9
YI49fKmy7oIyavWXpAWxwx6ftw6FEIrPwmZUqCpit1sITu0YnyYG0H8H+5RFwbVmU41iZRgvBkdn
uGKPzl7UVbTWgdqyNUGW0XkwcigFL0eD6V6booz22uatrTU0XsxDAsOBb5xV/lM9adjBptJBAUzv
YJb6AS/PFVi1Z+XYu4JIdeoU/xyh5DHTqm9DNl90SYjj2rkr6xCjFwPqHCTMiVPP73El70kLuHbN
HLc14Nc8Tp99XQ3BjFVy5bb+CznAzRoRLzAJzRB3RapqZHTmy+gbFFaaZJGPzEPqEFblm/ou7sqT
MXLJkpDO96xHf2FijJArQTjNVg5d90BW7/exVwcn7swdaQQMDid/kg962UhmtLWXHCEc95DLJqAT
ygqMedtX6nHsx2bftdGpqO50r+9uKw+rU9SoG9eS0d4d/GRdV333qJk1NkxkkfuePcxp19Uayfbx
8phjeRaWch8d3MwgKwhy3TQRMkMF6+GiI+qB7YTrR2NQDAYltKoTRE6Q0HClC63eRdl4LUzHf9Ud
d9KOWkkgC2HbOA71wOzNwTppvaxp4lUV9eMleanL55lVEj+DkXMGGhdG2B4kYCMorUNS1iu6mnZM
fEacGjujkcDLEuqhPTJ4VztHze2qTYPACU2RT9PUaQa2nAnCqbozQzzJSfjegDHm7iZLnLkY8DJk
sR4bqY3pFWyLJLd9tylYXugzLTMNMGvht06yQQiJNkN5aOKYVvN4XvGOu/eqcDrTyGRbm8rVtu1U
Ofp5rAnVb1t/YtvRuSxLQxNbZAwtuxNDjf1bPJvDRexMxikiwHmHwgeSZzKE32Sm0eSWtmtcG41o
tw5j+EW92uvIMQZHnLWLU5UYkRb7ZyTK5qHKe0qHVHNQLhlWfaC256OJ5YCAXbBBx0QkkSAbLvur
wWmfnBQtsaop/1YQTuHGzmvQ0Pkhh3eynnnlH0wgv0jurPBoRYKmQMMm38P1dfIxqfk43gdge8LK
fwgdIoXZJ4DTc+3s8eOP+KjZrvEYOjeFG/uBiyJyb1pJ+dxkLXuwsTbpEnjWcIGgHq4sm01mPXPu
EFLIyVR1JGCQtNXuo1FcpsDTzRGlapfA204zVRIYoiI/0Hy+Iqj/5Ii5Pw+cTDQPTOX5ASrmE1lH
5quGxsulUKnxmHU6Vz1PdL7zMNaHWuTjZTJS7wIb1vdz0s1nYzlN7XrU+V34x8LbElH1edVHZbHG
ilUFlGrs7bsudQmgT5bkKjXTFaF5yWKAWmMV6rW/KexeVIck1LOM+1+ftVO/kOUzzT8V6ElMR9Gb
T/wakzN5wD75wrw7WhKq8cDv2mQY7NO0avVzYQwCgfLMhGwWNK8QoBw/7jtN4dvEcq9R/rfpfVqn
81XUojRe9aO2fL8IUqOW011DnmHPV2m3nJMUObNr8K9cq5GUjJ7TRpNybRtwuOEn50GxtOIaQPOI
dEPAfCnxHEVBCrZjcwe0NsGkKC6XD0xj50aavob3ANZxmUKobl0817iL9cdM568gaakPHyTksmg5
W4ZDzswaudF01vNBW7x8viCrQdMfI0NAHkjaBA10w30faZTXhkufdfPReDIAQr7PZGee9DF3kzVz
yHjUimdaibmFmtTs71oCF099wLHHPgqL5zDSiYQKIx4dLeIRtq2O2eTQhsewNIrnxG3ag19hCFpN
TZ/q4DnS0Lhmc8AvzE2H9lcoJVJtLxzywM+Vecq+pX5o/eX0Znq6SHk4TSh1zOshAWH88cCaTRK9
ZnNWPiMc5dBj1/THtIVy1NJyJVvX05rneQIPp9ORayv+nl+r5ITF96UTDepMQ7H1aMvvyFwBZjPM
C5qeyCK95eq0bcjDPjIrDbsJZ0OW+0FbI6mQhTOdWbTAz8qsD7/VA0pvdGWzcZJK07jILSc8itTi
m7fsfMQmZzkMdFxa0KxrLrFY7oIB3eKpKAUtBWHDH048nJGrwe+4S9xZf5EE9j4zitSKNbNYnumi
FuGmYHcKv4D1kfi4HI45NOqZDcG7G5b8YL9d7sF6iS13RYmJUZoZunRrmveaC4AbYxfbPs+J+je0
iRYmyMEYH5tCjU9j7zGFaijIa1qppdxCKwfRZJZxhdCtz8/JKelulT54r2Vvh++qGP1jLyIEDHLg
zWSrodpNwp3kCrNMfej9KvwWO0Lg5ECfHG7cggb3Ji1VMf3Vfv6/LWE4U9/roine259FCx9ChP9R
NPy/JHQw9IUV/b8LHXYp+8XXn2UOf/2d/5Y56P/FR+h0NYnvWJyDxr9kDp4LUQjaLwM202A7iXXw
XzIHYrqJzV08irq10HiZO/y3zMH+L0p2qGgYsV2HMuPfMhwuPfSfRkLOAv1F5SAsqEb6B+Psh6G0
HJYNUll0e9Ps2IKltLRor5kE29idxdPkijo/TZxO5ZuPdfGHc/WFwuDTVEPoDMKRd3B+PBcByOcO
f1UBru3xXAVDZ/ZbhrfO1oBzuJlcle3/g0MBLALSxISRp/rn2Vdtxb1hZIwpbIOUotTEkA/7pNyy
uar+MGH86ldxKv0PipMDUvnnQ4FgTHCu2y2Gj1EFCLyqDe71ZN2Obnf4/a/6NMz8OIEWv8lmbUOh
8XnKP9LHTFLBCWRh9ZeG3RVCcud97J0Nhop4DQJUI+4TWT6areIPeo1Ps6+/D070wXIXAwj49Dtb
Ek9Dq2zbgOaIw2Z3jBCd2dXp73/ir2cT/b6BcYmmCP7cz0P9RnpYEqqwC2ofqTn3Zk72lxgrt9/G
ZZZnf/hRn0az/CjB3AsHLsI5bpPPI29R9aYVYdZE6gJiCcTqG0qSd08WGYVNdkIjrPzDkP3X04iI
ABIpET9YlX+ZdoYRcQagiLsg1gWvCzqiXCy/2P7+NC4X44cH/eN3mTYzVY+B2jK0+PmmJBIZXGGV
dIGllm2spp2Chb8AI0xkjU529e+P9tVZ/PFon24NfNeykiLtAq8faPIyS6dNRR0QJyWxJouNM0le
fn9Ik4X0l1/ooRgTwNl8bkjW7R/1NRN+fI9Csw0MplkXNu2te8lr/OAUs7cHlZ1suoo+xeQxAbSb
V6fVvWMprH0n6yLoO7/fdqM5IA92y+/jaGkHmvb+yoRzcAOOeZXCS1obSTX/YWEyvrj+FnK3RReE
6fuXO85rpGMWLY+RGjrgRLY2JLCVR9FvNY0uPHk1WKa8YsDClZRgg0f7SZ/Z+XQGYnSXDgnMDAn+
w7P+Bg3+rzIp8eVXWwTzPOGCf5b//8PbIfYBcc0ibQPStLdmGAk2WXQyKs+hqK5kczcqC4L54GBc
KdI5P455XJ82YdbTbB/Rr/d6vkrsZSs80SiyDOLSwxzcD8HciEg6sz43nVk7zORibKp+SaujqMKh
WPv33aC0+7b3QMpZ2Ohqm5hvi7kbcxM29l0xHpmvNSQvQeAitw+EeipOIju562ixnydYc/DIz8mu
tqABD1p7QXE073G+zRArSR4Z6WGdglPRHzT6BUGck6wXiuk9mazr1sNz57sy2bdO1F7wyfnu93fr
rw+IJwSFAU89ggym+j+f2ZFpbEfxzkUHwMWci7agpx/YR992c7j4p5iN/AdHFIvSEl3lst78fET6
sD08GKyfNSoJo7G3qSG/I/s/rS08LYnvPP7+eL+u2x5oKXR8Pq0jSp9PyohG+n3OtWmDeEopcnt7
OMiCsFEkvNPm94f69TZFg8UWRnd8fwHCfrpNZYeQBx8kb0GvZ3upVQYyic79wwn88ii241GmEI7A
Ofz5BGZ6qGUtO6NAc2psx/jCtH1XSe/y9z/G+HUdWxRlhuFRLRour6Ofj5MojV4T/KpgHAkfLbDA
7JwxkxungbMGUNGlpODG1+l3HWvvoTZlUNiJ+tOyZHGYn18YC87CMQTSFkCZ9qfrVzEfmFXvNhjm
U3c7IHfbhUPc7jBJKg/D7GwfjHyESqcXb2kxuNfsGYdACr0/y+bZOgrmc3+4AuaX38l1oXR4yHvF
54pD2pqmhZHVBLns8oNei62vdwOm5LY6DxsUKpHbld8+QjLTSpsuupLIWocMnY3v5cSz5ljGjbE/
Z2LIjHR4wothrivC6m+mHNpS2SqGSjIajvmUnmt6+6fi4usf4CMtBuFj8/wv1/6HBTU0ah+o4sBJ
jaZrWYOz6AZb3kWsYuuycmPoSrTrMtdpeWPV2XGK5mcIdrdI1vwDkxZ81Yhy2ThiJEApUdx69vwG
RCE/Wh6ZT0OJJwHTirYgxNNdraryD+XRZ20QdQS3xQ+/4NPdCeSBL1xMTYCLTKL+8vNjy8h3Ey9k
T0WSLrgpzNWxfrBw2WIuwMH2+wfE+vIuQJWkI7lCxPv5cQdWYQ+T6Jog1qIWo0XqiRfKqkvXJu+X
sclrQTfowTWN6HtTY8vq5TouzGiDN512Eu5OUyeAtnZsHAnKGDKmJV2J51LXg1EQW2fH0nibcsNg
qXRpKwOF1+Nig1n8ofTiem/0Qj/VhIFBsSieiaa7cSYOJG2jW5eD34g/nPNfSzeINDpibCoERgOf
w4sEndwkJDsPVEP6kIeB28fpRpt1Ig1mkCS/P7tfLNsIEgU7Txup2S9CsyYlHqBm0QlgRr/7yiPD
2yA1zh5n/w9HWnZcnxYYjoQVykdm7sLO/flZqEJEXG4ouJNqeZsYlnwgxyJMoY6ymxBTkoK1dTT4
dg4Ci9//yC/evghbTce10PjrFN4/H7qVSL7CGJ90507fwta7HN3qWqflgjL5hS2v84cX1Eft+ctv
XcDChsmGGwH4zwf0e60heJdblm14ft1Z1D0ThtsJhdja6uc3PcxuC5WOGzmVFDdEBDCvlvVmCZz+
/U//8mYSZFKh6Eco/fm1rDpmGBEMgAC+R4tkzQVZGzHm11TBDC2K339/uC9emo5O5QhYg703m/yf
fzi59YnMkEwE01QTClga4XpmzPWHPeKX59egk8GdxOnFZv/zYeLGkIVhl03AHpmEiX6MNn0e+6Q7
etphaPBLyN4mYxkO73aAg7OmG5Bux147QSrzpzXy1005thV2hWzKcbGIz8/rMHVijpqEL9OTvBZJ
V+6aeoaOurRJSe9dlzQ6g8htF9Rap//hsTK+eoKphjjZ1O1QpD/day2iR+x1eh1Mhg0WwiUWejXU
sr1olIFranAKBtRFtwxLtImIyVXvIKbY0AzFQpxVLvKsQZuGsz6yCJgz27Yz1kBCmtff3xlffM1F
g40IG62p4X6IgH94FUak4kwid6oAWyVsBRwyW5ukGwbOuGL+7UMRumu7vr64SrzPvR8FDKCsapdZ
xxxm77Y1uVfEItELZsD0H/wsalCBhWVpqf2yqpWkaralZ1cBsND6ykfnDhfaDU/iesGW/avRePnX
6vFjpt0XixhHoi1CiYjb4XOnwpxDGRcdR4JRLDchyI2bTFbmlrfbvNLHDCp/Ef2btpLl9e/TyaTV
YjiMJ/xPz7NEPtn6kaiCyVyyV5feuooZvtW4W/6wUiHz5an9tGpSaeiLDtz1gDB9upO9xC46ORvc
Inato2phkEXOU2QPKI6ycImVYd60cajJ03Vl9YO2Y+eI4XMeXSu7QrLLw6UseowHMOTpvVn2TETr
PAGKU6YLjQN+U/RcDGIhjHmiIZ01xWfc5NC4sQnSIyL5l6iZjd+LwdgNyJSnEwEbKMAd5s6IGmuw
GjKJjFunM2cDtz2Kjl1sZKOztfwyMkFvGyp7c2KaJQji2MFEzMWBCGFyTurorkkLYzqk+YLfjHB4
21tNL41jhjUaAGmX9M25gF8Cw4gQlfDKaYwUcBVDlwGZQY1rcdXZfpJv8qS35Znn5sLdgBAu4l2H
Uu6mZ14MTyHXir1RJ3mI3K82azz06j7DYGAzzrGL+ACSSZI522GO302JmhDGlFNen8YocshFdPyS
CISmYbS+GXsxIXXpp1A/yTSIY/QdstLclJlYiivleeaz24T0S9yQVJ/Zs4v6Bp+b5gZF28TTJfbm
/iZXdt1uJw3g9bVeQJDf4jSQ3YEidoRQMhIqBobDQb1YSsz4zNL9ICeaudim4dL+0zUTSWPVCO8u
jmCIjmkGcqCxIwQhcVmKfeZ1V/R5d10vyoewNNPHVPP06zZn/B5m8bjXphjtbeXjhprAGzU71Ar5
dejSRLXJB0rmXAWmnSDC9EEkyK4/Wv00EIHbPMdQxVeCyfumiwE8Zpb1alvaQFrRRGKmXbsBA3od
ZqhyAtuf8dUO6ELj3JcnoLvGF7etho0NBXuVu/3zXDlij+R0ZtA5QalI73UYl47mVJfCz+qtoecK
njqaH7g4xomXpdGZNXA92C1AQFPh/ThbIhCaccUAGc3rNIaH0LeB+sdJR1HRuOuUtwR5W5AlknQ8
VEA/mPEC1FZzcvFh6R7s+piMo7mZ9aTaji25UnEEVi1xiQobMDUrruxl6NnXmRbBshs8GBMzU/ZJ
a7tNaEIhnyldr0OZlk8EzeqneYRnElSygwKrrd8drULj08Ie8WhYM2krxKFOfezGSH8Plq4g9MFo
3tKkOJrGuFOiNIDYTgxeu+oxV3gAhH2juulRjMDiBmTakODCx8yBdcATmHmHvnPzXa9V2MyFdpv4
HjPm0EKRvOC4dSbLXIcKPXfsz5uIfcO1qgH/VBJ5e9ORbAIf6JS5prtKRxBjkwZpshqAB1ut2qsm
y/Z55vXvdoNyeFIDQXibpFctwOmuqPLZYmtu6rUMt4Xy21sgVBGsKW6eh8zUEYe5SBUhf7QsErHs
hm9w+pPzauAuiye0wF5iHPROTthZ2mKHOxGJH+Gs25EHYhsKU0zNqTchs26+TRF6ZYS7JCsOKH0b
s/6mGdZOjyWSW83kOweuZhbfAYmg9bWQV3WIImsXKU2BI/JUgxIMK8D1UGKlE4KWI+1ZvaFJW6l9
DboB0l+SE1fgZf1tRFf/0kxj8xaMUqIOQwwNV6ByOjcG09uRFA9eb6xoxkWq0V8cPaSepL+LVH/W
05OSl+x3eH3SIYxXAs0fhLJOx7Fxbmy0Bu8+zf1uTRWQsflest7nyRvvmL9n73VZM/yfssZ4ykeG
7WzRxIXPvPSb8vMBvU4zBS0Vy6032VAUGj5n0tJxW7RmdZzRrBMImNsH0wa9SxeOMUhM+N+u7Tvu
BHKKq8dIetX3qgTjl6CcfXQrU+1jKIwpzKY22Skohg+iqIAgusUwbJxQZC3kq4aHIzU1eGE6qdfS
ccQ6puA6dBXCa5cW8pZdKcj1hH1Tts8Y9qarVsn+vgoHOW89eIgeAW1LHiyeXjKoM0aDZAsi6+Ye
1Iaj9OPoBudDuipcBD67htOp3ZOmy090y8SPTiQ4hz2oj/6+N8duOMPiKC+UVyFtYAp/VpC4fmpH
Np9qlSqwdeXc9K0JQZNKpEIhQYAkarHyidaduaVxJgjn4lHd5qTs7WZM+buhGBHhQ3eUFxDNe3cN
3kFc8BBVPFRcXZrw1THJfPsCVV/5UveyvrJn1MGN4nyrOJmCeSIGGlGY2mu1PZ2AV6mu4OWUL4hn
c3SwUJmBB1axIthZqL0Ys4XHhrLFqO3qCBrPP537pnxpp7J+7CPO6+y61fcCXVEFXT3itFY5KEdJ
NyLo/LZ59YdGXNhzpQ2rvvDlxaiEKql3ET+9zrFlIxMvUWfB/LEG1KynBq9lMk59TENa5FXwQ/MI
sIfXdSH0QCIOb0sDApAScGJKJ5KYJbriyZHk1Lcg9NHqaXOIXt+jiBQdedey9arjVOvhRmpdf1Jn
/HiMs+Odh2HtKZeh2lskDmxKXZMXnV+RrRl5ggocbQQTCwtte52EyAlanybOhuQy3ElZyx8IexDh
Ug5pu4nnkhwl2PslbawcrjTC2nfP7aGdSih2YTjh+a1RH6/wEUF2Ksn7uFFwTe5JZIL4OhR8SSAb
ybXX1uWzBfPwRvNnQINlPkQXk5PlxgphXP2YQmi59Jymu9fLMblWy+U269A7FQjYriu750AJvAW8
uDpYBWi1F3bDWcOCNF3qUpve9blQgTbaKBRo2ofXZhbbh0qPyGG3Bj6xmJNrSvbxzteZyGD2trXj
XNMS32pZRIxqSZsPaQjylxX9lgasnaMN+drRCpdAq3jGxqQ0J7y2I7ZcK2IUq+mQ9T1hj1HHnTQD
G2TpdWzuNNas6CJN4sJYZ8ZcXGpWTBO3x1BDK7UB23pwLJJ21n7Tvheexp6p17N4XWVD9Y70zri3
ZTlseui5b04fd92aR6+6YrWY3wtzsZU5Zo5ouo5F9wZUbBZcM3CpWllyWhze5E2gIyquV8SZGbeo
rrVrv9VZzVynfxtLr7pqQ6B5XWWWZAdO5bcxDrF0tJ68IJRBBa2PuEQ1nnVgHfPrLQYV65Brsn2o
lMr1q1rzGtb4AuDMoZgKTh7cpTP2xOGu7EJgW2gJXPqmLXK9KrS8J9Tx7XmYlTLoU9Ic4GdwaXht
nlrkYXYr4Up16dhNuStzu8HhQerMkpvdyoL/1JQAu8K+tF6EL8XOLtMZSwr8H9MaiWnpLScwOF8r
Jpo2Mqia57C1sunagOZ1SRGC+NSOw3szldhstOKm9e0zMJVgihYUT9jW9Wbo/Pi8ov8DqrM/xhm0
Y0wYzoU+ZMZ55GasG7BAg1FX2tnoaOVFDtXjxgnN4oCsuJMsuhjrILi0qwr16kGo9thPaAcVz+aZ
LtGE5tLNjzIinIxSnxLQZ/xHC/XZhyxySNx8vE6K3nrtU/tYKd1gSUMyPVsNTBPHKMl9tE8AANkP
1Ns6rK6xePGHZc5UtLuIzvKhIqKDaRmch30fF9MD5iZ5refRsHPHcu8UabXxAdrJlaqKvTfMz/T/
sm/4AmaXdw4nydRsyULPDmftThP4vThJmgMBu9aqDzX9Isnsctd0HYMvmJm4lobhEom9HgDCam66
ChW2Nfjyums4SCdC97LDsbqiMU10mRvaz+D3nHunadO9Uu490QCIpiHPUQdSyq0yNRXEpg7RmfJo
3AAeOoTWbLxEejjsek/Tg9Y05o2nsGkNH3ZElNGrIaFVKKfJOaG4sB9iWwTQZgt8LTELcBGzO5VO
BYmeOIH3PunMh7G0jXM/82dUC5l9W4IBWo/UsIv3RpxkwATuwXS4V+TLNPA1mxFiPHXhqm5ruZXj
WL7NjJpIupStQsHKbaAIS1IrbczJYylLUG3YoBrQRRDZGCCs/Lk1153rUNDbMn6OpzE5SqCUwJPS
eCVs7bSY4vFq1s0H0LgEucCoV9YcU6gJWM6h251ntgjv0qSgzLB70MauTvgS1r1rTwcclWSWd9JM
itVLj7aRSAmdsWpxQTJRAaxt8MkByqGeTVPRnzkCjwk1mpbwwDn5sZRjfJHGFjJg4Lw4/uqauFY4
qTGPETO0HstOGz9mpu0EwqABT2uNRDC4+7Q0OqWNlz7x1acTzWx2dW6vkhWsiYSYJ6VfC9c+1rE7
7kNI/r3XJGcpV/mkyQeXVb9IGY4OWHmGpj2l74v7iJBSXJb+I0atFfuc57rIu3UWiXldkYBNymcO
hKfvW+NxnNBHFqb7YszOWwh6+4mKNX1Km6xg0Wq0O5LDtZ3Vd3Lbul12NTlULHifDIbefgtzbQwj
wJb6uO/NrFdHzSoGe9O7euPuQU8hRc1tp7jQyGyWq3xyiwvaNwuZz4tlwRiACF3uURE/ZVmcX4G6
y64A/iUk8pAoBoBraF/TxtRf8iaOXqsQj9Da1PjAChUAQaVxcYOh0Bseayoerptik5MBCeEtoTnW
IS093ij+WH7jbUnvbE4N4EmShuQBeJ95S33MzhTuhH2UCR7aDO/Ga9M1NBGaqcveE3sJO2vmNnzS
m9h4IaiNNz0k2vEScnr4ZCY1m3A7VOAAyzlsXnEHk5CDadB3QWGJ/IYIbhaGJhqHAvxy2xc72x/o
aHQo60n7wctAElmeFjeRg0WRGrMIn4Qh+Dt+OaY1CSU+SE/Q8txGuTW1yaYnCxoeIwn0JFai0kI+
jfUiW8XKzpsTNQtivxo9740IMSX2tR3FK588a95YHOyB9uMmsv1JC7RpKQEIceMnsZnyT+MI587G
qQG+rwmC4yppM6+6NQzc8Kmve7wgslM+HjYpsnez6zhqV1mTsRlsy3/662QK+K3dymI8qeAMIj1G
7EuQMVnhThFYPqHEFlZKeKofTQHLsPMbgX4sD1LE0veLskCxwYTcty8NukAXZiVGY9eKWZxMAB5u
xICigkvIvHUNCYbfB1yefkhdImk+aVAx9AF+ETcCodv27z3JSDxKpiixDGtGdJtMvRnkJMo+ZIbv
XoG9BHxcEmd0O0RlM+1H2vDhBSzwEX1dr3N7UJXzrRXeS3Z505hrzP8KPKVcE55dev/RtKEvw1ns
tZY/P2MifFXsXoiJGqiIkfY2bypu4jTwu7pigOFnKkaBrcxxnZKcQr3L5Zz3Of2/46AaYGTch1R0
IrJhhqACp4lSM1vB5FSBVudRt9lw8xLm/bVGT46ZK4ftDr5yJjXgIupx3FVLCZm6OSbCFG3gnQHL
ZgsyUz8yk673A8yVqwzywSlaJnU/z9FwNxBG/9cY7P9rUG+n8u2f/3h+zRBRwjBc8nH/8TeH6/D6
z3/QuDbojP6rNbzgvP7+3wsv7J//OLw+R8UXf+NvBSp0HnBaxFwC5iEfhXvuXwpUMnTJvCDBFmEY
jXha9P8TeKEDfdF1k3RKgeiBCdnf+lPbIF+Xxi8lkSCE3NWtfyfwAtTXz01exCgoXPlajPSRv1mf
YROJEVadcEPnnDsU62GIYv0kp9phH+2x/XLlajSzxEJbBBQsvZlVKbAjme5bxPTzxnYTNNbk3NyS
kjs+JK6mTpiLgPFPTY9XZ5k7HqJtcvSKjWbNU3tNoSCrVSSHAQNRXoXQJHuVWtkJhpom6Pv/w96Z
LEeObEn2X3rdSME8LHrjszudTtIZHDcQBsnADJgZBgPw9XUQ2dlVlV1VT97+LTIlRZKDk4QDdvWq
Hi3z/BJggJUrLctwxzBSH6t4QgrOe7muJgs6XlW6sKvJ6qLZ2uCdo/6B8CUdEbmp43PpCEp4e7vb
T/4gT3ak9BeB/3e3IgDtRq35Vuom2IOLEO8KbBKsycpn/Gg/HMD7/LzcBUhd2Sq9mSEnHUxBCQ9/
KOMC5DpmoAkGeqdCi7ZNFVHXrZAFegvsJACCJdee6fwOPLv9MkzjYuMVG3xFAph8al4nTCTXDn7s
ht3UC+UM0dPojdPdWI/OXtjRyziG/nYwp3XsDNWDmxvy4PbKvqiqUkd49zHxuiw7V0Ojj56fZrek
LD+iTnpMmswvHvPtjQSquS8bY/jZFkF8nGLPITxhld8QAsA65qH1vbgv5TpsVXOI7Oy7xwq25Xwy
vnpWCIEhyeiHkoTIGcDK8N22qWPyghwIfdi8VFn1Ar0wu62lYNORamomO8PbOg6wX5wwwdoTsDhX
gSZGtILH6UGGzaLqMZhHVsucyMRxuSKf5NKPxsmW53Lcl8UBHwB9fGkQYN1thoCA5TA4e5NpZmJh
MOp+5RdWcnULq7ifpna+i3VqrtMZz2vq2FQoZObo8V2cZrvwqfYuiVvgg4aTPWq/Lc8esvo5nXzn
FnsWrh462O+1kmoHMGb87EK3rFf4weH7Fob4RZkGMf1Eu9a+CnJ9VjP6wejVyJQxFQOr0dfJV8og
uS4XyRvTKmXIEzv1G0i9nB2zLjAvmn7Pla+AXJLHXDjZ0h8i2k0Z6iFr4p3hmWujVRWSNCrp+Y2d
pMOOzlH0LeKlOfVHdnQzVBVkzk64jOMDUBhas8ZzJnlRgfQFWZ6pfUpUQOHHUNjpr6aHExGGZXQI
MvqflWd8+TN9dE6aUlFKnRVjiTI0wGJopGsHlWoX5Gb0gjO1WA0quBExoncVcgArMRT9HHyr3NG9
538WMp4JFldQAWD6+HutGNSV1enXqHGde6OIA3bmYbzrQW0m67oAU9NoA8p1GMbNKaQjTmyqGPTl
xMLmHlG52c6SiLjv42GBoIIOzUHsSsejtw9L3T+jezUo6zWbtDwujFUQJRk4AAYoryITtg4jfiS/
wXJOtUBEd2igkafUMG2tecgxTsbUzehwfhpGOa4GTZNc6pmcmyKIRcg08W0a1urep3iRYLf6kRWG
f42c/qBqZ74DKqChzAYn9g0ZFXLUQxyhLmmmRb+5Z/FmIMZbVIuGIpwei7YUt1U7gAuwZf7OyEra
calS7bXSx3DK0vhYg/p6JAZpryOaTp1RmLcVGT+zbvRD4kp1nkCFrrl5mhcGy5qGvjqFGEPxxGDK
aJM42jzO0voiyOVfhCvrI4tA+1i1vb/KLLDXzFw2Ia042Ssco5s4Ez+MQEzsnmyne5yjdPquTCHW
sxFM9M9U7kMwySrjrwhKFoNnSq6XmhaUVMLlNI8wm88dcPF+fKpL091JUSdrPxz8W5Pz06ohQniM
8GxtYsSLN6cx08PEvmptjBTNKLebllIdz3/jITijxkXGN7FsA0x+6qxx+Pa/8tigHsbLmmsrgV0v
hqWukeZHMlfJVkLH3QBtHnAyt4APaCtL3+w56c6qKq9t0/RQ2/167SglbpAzqFCqPapfxnC+N60s
umtTVchVR6ny1k1ApVduQ6zSgXrcFiE1ZEHqfidTDQshGD9hpLN04Z5JJr7Q6VoxGp5Tw5WrRnj6
RbAY+51tu+J0jjYdgII3zBS8NxxfsPYIEeSyYryt097ghpWgZniZ+044jsE1kCCAY6jKs9lYH7pK
3M3YzU9xzy3d1pN98AZfUKVnxMiFGbh8QTLkWEXldTat47LGJ9nlWGAGzIk/cG170SbIhgctiuTF
GD08FT3tsZNfp/c5EApqIGSin01mfWgsMjglYSoAMxVxdOC+CbuoM8/UJznXee7v+4SYGNWqNKny
C1t7XHs/8smGL4Z3nLdEtq8jC9lwphU7Im9eTBGXmlYNiAWHfjzWheEhG/1+l1BzvWUdUK3NMD5z
wC/2DRomuLc8XNUz8pIWSF28odJdX6FPJh3cPHssWXyFcXVOPMXtW8f6I81MSq8G079BiA4+raAs
fypouRevVQ+tU3mPrDefzMnFbhzF8qw13a2qM+Y9yVKQRV4wPLVV2p9QdRb8d3dMc7wg1CIufvOp
OPSQEP3VaCTtKbMBrLhZ4l7bpG7u52WZwALGG7DSPSCl2W8In/rMYD+QlLXi4cXKMuNQzoN3rkSW
n+zM2zVODgPcRhfy3eeRWq6Vyb6QnmGo0UEylD+iMBF7MMHyDqnCWo+tYHEk4+8Q6Acx9jTdh23E
CJG25aHF0H1OXVffCK9IXocIuHnQDs1GzOhW1GvNv1gx/0irGqw8LTSPRcxL6KyiA70L6dzPnduB
u+pWpNZ73KJHV43L4kE05xJ/CZodddCx5T6VsqhPEn1+69LYscdhHu2ysYjfVT+NuE8z9T4atb9K
op5Oy8EejoHO+13pt++arg0gw/SUJHrAaJ5U27JPP4zemzZqwjwfhPl8iiK20SAqb8buJqDd2MYY
UYF6KXE84fpDjzGD8mmJFz9yqCpuahnyqPcsdoFwIML8rqHDcI8dXFzQK3eV74h9OJrqll0Cq/cR
cGiauxUULTs5k/HktmPn/SGJcxoKBlZm99ITAG9c0t1j2KsNRd3eWrv6vbW417Ll8cRea2u+EzrI
14WnLDBYqt55oR4/+pA4N3wA9g1x0fpAkssEhDaV4u7Ga+bxsy5S8e7jtTQ55n5USRRveCG/qr6S
u5xEZbOeaoPId2uG6yov6E+eVeGvYW1U+cpyi/pWjHaxdsANsQyqIBKgOn6hwdpoBTPlOBWpfggf
JnJokd9x7gXFYZY7zYC9M2PBE1TH1mnmPrDmISw2ZIHNQ+wYJmuJkNrmidqYvsPh3/hdssUPoVYc
PdQWr+GDx5bSWbUUd97EccuoWdtMqfyp3/EgLiAISCwBDTEwWqa2OCkEFXi4RkvMtqR6RAZx8CpT
U0U7izQ3G23zIYCnCI56SnKWlJ31OYqgvMNQwQ0BtOvaiQt7F9czpovHcIz7nEgCtW3NJwy5gc1+
VZdR9SMYAUW5JzgxhFm7MYyaH3oa+K0h6hBIhhdbc1Je5YpdLW2/pRUMJD1zb8NytAg2U5rUG6OL
CfUPyTR+C5ZuXxrI5oozgvfK5zTvBjvA3WQP4hhPFGyvrAFXMquI7NQPobyVgo9uWr95c3jnOcWk
dnxHnCpUyG1YFdv7jKxEs0rEWH+p2LRuyZiG9IFYM+9ghrlL0Ps/ZtZzK6k8/8stBVSiOZjFDWkJ
vfXmSF1VJR2KaSt1MipRPZg6BUmOcXdp/9P9gQ4CgPSsWjec+uxN43KEsXVbsYrKioOvlorf0rNv
zLpFVTQVRwC05W1Ygir2/KlyVoHB9wM61RAVGdyXFvloxLUgKoQsQtArSfB4TRlVftU4cNYZ0eI3
enPukpw4y8qkR/NxRMHeDHkCzIaKBROcfEIzVde2G+UsRSC4QPwl3CzCu5CnMJ1Bo+wRHNnyrCgY
r05jlec/krDs3jqOnsxM7XCZaiAslTe3u3D5ZcdVmpO975i+PLsikRHTu4eYNg5bvxfmccpb+RjH
ldltsoYP7QkdH4tW1VfaXjAgSEs+q1RZrxabHDBOyXNcBebZtVHNEHFM4+DYYqlZgYi+6gfzJogq
8chWs62BB4k6uEXEcx/qVH4Es0ItFvMIN4QQ/7wOcTuQp58Tl30KWtpdUU7lS26K/CnMdbwP7ciC
G0dUn96OoXsqVK+/BjwBa4G6jYyViA2vqN7lKudNOKoavoZPm8mK0YOzjsQMuyHbo3/S0o6K3Rge
QKVmnO5lEBbppo7K7KqoPF2Zcmb3yvYLwF9IC60dYK3S1Moe03nOz/hK4WDCkr6g8zLAjj4Xk2n8
LMNmfkohcnkrXGX8cM7ETcP0iuml4FYBMWDQUOzyYL4zpmaGgyJiNgtDea2Xc5Izc11RptytLDoq
T7FdZGvByRfSY9Qc6jy2WIvg/2T+XA6ylqfOtL+j+tbmonbOyTaizDZAe8WpJl+bTofVnVXkrYMp
AVbqrbR4CrAybmlu7VO/NZe8uD9/GRNNN/dWZOQHPyX/l9WDMb109SjGH7M2cp6vRsfA27FVaZ3A
JrUT2FS9RQ7wyBt+JSrEIpFIaq+c1mroaf7flTu0qdsZ42VORjrcA/mDwojx+T/IP/+FM9D6m7Xa
BJ2OO578Dacy1J2/u26FhGpbOpa+kPHzNkZkQ96xqWMZq6OBnS1O3u3K2Q+5fXIKb2e4auel1jYM
4lvRz1saVrf8qAAQQRignP/PL+5vvs8/X5tPpBPTN3mdv2fKKmuQtRnb+iKEugSCsyLFpsM/QN3+
V98Ew/wCkQcgG/z9F+Dl3cjQS79xZpOg4x8f5Bh1xLvfP8u/JMl/JEnaponF+r+XJIn4qyTD0Pr9
u5Tgt4z55+f8eyw+dE0S7uwF4IXTAfD/RMnQ+8Mnosq2gdihH1iL9vgX/Z+/8/+VIR3zDzJYLvF3
UpOElOx/SoU0/+bZxoVBoxhfzMTViqHWXy6o/+BGjuymRiAIqbkKkzddpOOqa1mNkFt4rQ3/UQ3G
oV6saGFlvbJltXZ9MO1a3GrdYlvDaGAfHV1Nx3YxtdUMx0cwE+VeTSbN8Iv5DQKt+jXFBLObFGtc
s5jkjMUuR8rFvBq/LXSLmc4psfqJMMt2sVGP2z4JrvlivtM0vS0Ai5tag0rCxrS4WKSkc9S2N9Ni
4MNnBy6vupta2yPKxP0yx+2nFtufB7Nz0wTUQlqT7n/YGZAkjiXxEfopJku8g3oxEdKv8+K7zOL2
YjAMFqtht5gO88V+aC5GRMtv8X8t5kTcBcwr5XOPa7Ff7IvTYmSscDQ2Pc2jA3bcjVrsjtlifCwW
C6SzmCFFKdlaLgZJtVgl0adajsIYt0p8lN1iqKSuN8b7wlGMPeuHzVJ7cQ6eWF5VuyrDO5kv5kzo
ONzY8WvqxbhZ4eDscHJi/LqLF2tnb4BeEw42wTForCs0zvK1W8ygRAV3VaQfZqurrgVBvHNWhlR+
5IRs4JL25a0STqK3djgsp1FZvCJmZQ9kh9yj0xoMN07NZl4guz5Kx4gfbdfybtxiYs1mVJ46JJ0v
WYSI7KKaUr/GERscsvPR81g5dCOiGOAlazDipfB0ty2Pz6MkwvQQaNA7NQ3NnCbtwTt0Tijegixn
aZYHQJkgXHo3Xon52KSC5sKDbVlCUupT7GCvKJQ4G2xNxuy1yYAdQxjrsTS1tqg5NccxTbiNyZxl
zCzOZVgHcpXBraNdvang32E2vJlQ6Hc2I8h7YLPy3IxxUm+xscfPuc1WEe232o5V1jxaRWNdHOg3
N+6ylGIDn78LEbOkotyaLVoGE3VX5ca47fA+3k/ekF36jhkTHJg7btus5e+nKSN2Oo3UAVeKcU2G
7oc0nfJ5wnn3U/WBczQcp19weB2/VdXwMQtPi1+gscYrm4FRJjX1A/sau4GOL4l8u1CY62S6txMu
Ta+PGbKB0PDDS9p6rvTN8xopc2OS8XuW3o1HzY+DlLAVYckXtGAayG2pMpCPQzUhkFTiLeX9t898
HjOksjHhxCPVBasgBVMkQOddGMTY0cl52Fto7d/eiMUl7htx9/uV5QADwt3QW3z50raDh2RG+2Dz
5nEqiNPwwR0Xt57RVb/KZXdce3RvtbmL7OdzOllnyw/+2ztDrKR74hHOB5Zxbh+9gZvIBnLABKuy
JcFMadP77ystBy0/A4WLBtBcExaKjDP0NqQO/E4jDeOOSnJsl3i+ntkg2y/0XbIV7Co3eFBe4h4B
hY1XizXzRimMEnbSB+4Bmit3PbikjApLTMuONYxNXXVfXZBml9ps/DsKX6YbGVv2dVFbrloa1Tbl
iixWnJfj98jm+Ki9KsXxFlNhbQwh3zGY6gKdNzUeGxqK9rPPIl4mGESasqMqevlrVbpqHjMmwJBe
27ju4I8O4brJ+c1NdLafLbmwfH3mjgG/L1++Z/yjfwXRegZDucKW/hbiQlzbEvWtzedLW6eXQU73
EHp/DJLD4+A173WGya7yp3UU3tpdj9UouU8Hs1iVXXqocvXL09ENWFAMnSzp6WK5jq2DoSHdd/78
nKjW33jmGJ59PMf4Wb1t0RrgfaZmHdJUfu14jrGecUA9WIjZVxayT62VWxefDvINbMNk4wfCWVsB
geysmi7ZGG30mG9apGunDuJ7i5PjnTWyOwibhB2RhjO095siX4XR4G4nQedSQNTlwBpLrLuwoGHK
UNZXnVBNLu1vOGfNjUwzcQPRE2CnXVlHx/Y+UdAPdeg98JikdnvoHVblSfwG1u+1NcLPqef0C9as
otERzmu1yJVQjelSbGeO87YC4CR8v3nsoYathzSfv5Cu2CATCViiUDvRjY913otTFBR4k6g+9hg/
903mo4jIPl7leirAzFhP/sQ8wB79WIxTBVzadg6am/DGDHuxHWu0bMpJccjAdzWa5k2aiABj3Zjn
qTCDk+LCx1DtmxsPapRpVXJtVHLVW9MvZo6ryMLgO7Ox5blamu8BPsKNVRQ/OjLWHxNVtlve62xx
HCoGgZDiicZ7e3KjGAF2mCnRHZ2hPCT57LBP5+S5njG8RfGjrNqvdOpgxtbhdCHfoeHKJLjD13Vn
mxOqo1oqxez63Fj+peSe/8BlBUDRj617lpLuVtt9TaFiz6hR1IXYuK1Br6Vli+/Ws4vtXNmUCzVM
TkJ8UC1ubyRCHUVZw6sJuxUsK0/7CHsD2fT+E1rMG8jVvTnJ+ElbAtyHU9Dci+USgYawC032TzHD
zdrnbYjZo05ew5zncN06m44E1VmHeHQ4JLCuDLzhGmD7eComuZwhaEMl5OBPJ8hjGnnLjsORcF3+
lAcMOG7r0nBFT9k3Fr7yFCnmfPpUoWoNBi4p39W7ouVzk8oBlwYQLojz5oHdNcnHVHKycpawmlDh
RQxCv9fmVL5r23Iufge+xuOExeiaMSLyLuJO3mUYWiHU0rJMBCBa+WOenAfc29aptWOLAul29i92
JBdGqISyip3yufNH4863VLguHDyc/BEboMIqMbZDkffnwFMuV0wdo4Gg2yEWzprH4Ng3F4ipwYll
bbyNpVdt41bGzxHxcXhpc5Zv51bW9QrgMMzGJPSOnBSKvWU2cpuNZbwutQciNFXjr7qy7TurSron
rTJ9EGkgX3zZkRThXrjBqYLdJtBQBF0BcjeYj0XFKQxjq3EygdfRG27LQ0N0di1Ul2M/n2Ks+FbI
yypJZrnlz6ClSbBVEO8gFZu3KoacXjqN2kubDUOvC9a4Qt2OBIXI1O8TG12kDOe3XKlGbACikqnR
NHXPFpXaGXLwDlJ0t6YOwt3PDVDBLJ32Cpf9yu5jIOllO9zPBWe8gjGaJ9cQ3k2szx9l3rKrcgrj
zemii1WL9pu6dA4g/tTtIuEnu76kis1wKApWKsvo/J15i7MGWmzVV56gzR2NBOyWo56eaVN7z44Y
96MeAfY78yO71OAyZra1wvOe7wlt731cL+uSfuNmaJJvOmuoB+WRh4BFy3VGt99ojmBdB6td93kb
H7WMz1kir8gTHvzYMD9Os48amROox21tpIW1xWl6jdgk0F0X9CwjFvRQWloLw1nnyYPjgxXlLdzq
hJSBdgcAbYaR8EhIpIkBJzITyMCBLqcR9jm277PHUaVY50lVeIDl82EzhkutIrUSY14CJOz7ZlP5
GYFMOizS6TMtQszRK9+JG/vA0/AFe8+DYUbDDoF3caH1+jEO5nlrTXN7SXJWUPngubd4nV7l7GTb
WfhX5BJjnc9dd00JUmzKyMvvZCC8n+3CMcztev5ptVZ3q1kI7jJr+FaojFvt2QOdZ4OzQW1wT+7I
9IObqL3He2af8YDJ60Lr27LAINBsBO+sQmOA+33+obtkwqCtXIfnPVhLI0PFz6FlFrJlkTxkNIRi
eeJRKUo2pS4oyTD6ERnduPQU3MwOB22cSl+BjbrvykpdfIv2wsb9TEu7xSacRSdAoH69za3l0J/g
6vpp4l/8CgovZx9Tt5zjW/fg+Bl5ozx6NOH8mBgLhtkgvtMVR8h+YcshwZ3OLoGgBxB/80sJvfO2
TatPBlBWCo0twbXrbrGN0ae+YRn8KauKp74hq69g8Jd7Vtx1ux6Q8k5Zpnrj+OJvbdZ81y6O6HN2
rKuT5d6dk8/QyunKdk4IF3ITTDPvtL7Wz36v+xspnPo8l0Mo1nLqyruF6w33MHTSn2TUTGpR82zc
VVbKo8CMWLgviTu6nHUZhV9hYnLjGBLPumJ/Dl86FYi32anqn3NKLgTHsOMa3PID1t2slesfVNc0
W2/JGsVL6qjlxrgNrfmYLYkksWSTAGUWl2zJK1kdySVfLiEmFsKQZ3O0RJyXDZdQwqEk/x14qpfs
Ez7CJQfFDvV3LIrT85KSGv/MTDlLfgrj2vArXTJVwZKuUmQZDqx4vosledUuGSyMvmd0zIo5S4VX
ylyGe7oS6Zdf0lvFkuOal0SXt2S71JLyype8Fy/sicEPECL+h52RkworfwfE/qX6/JZp/pHqwzsX
Lea/V32OZZnVJAr/k+zz5yf9JfsEf3CGtIHqeYyCeM7+XfaJrD+8heixwF0i0DcLKPEvN5rN/2LA
osvOD/h6i4fsLxnI/2PBJxHqjvwlmuz/UzoQHLL/7EYDwQZsERkIAWrJzy/1kv9RB8r8DNOO1aan
UTLKchRpvJXHifJGyACDzzRaLtlN7iSikERmlrA6j9Ih9DjAtFzyB2UB2V2HTemf5jlw421J55Ze
wQgewXO7lbu3cqjRD0WUqxeJodlbE6MAUzzRbcWb1G4H9qNVKFdlzI561QPbRQkhr3+Ocj9gpaHV
fJytuXNXdd5EW3bIjtoOBPXStbP0yLRtLLhdhob8GeVT8Pl7KupCcPfJbDr1KhVl166n0LO9jZVo
1z5HNi28bVT5t5pqvVU19NeWiNsuaKFyrFjfmXTD+1b2KGhKfBhTs7sosKfXZcSnqX1sDJIJ4Zh4
q9ozE3b8ubiWnmAgTrTEB9NMVMf40ckWKrtBbN/zxKYRPW2yZufVDMJ2m2LT7rRdWJvRw2zvdoH9
UtJOzGFclY+WTaA6St33hGTMnddM0YZ7i3PfU7F+HJrJ3aSWfZ/6c7shTEgp2MSTZhRGee/QNXFx
an31TDaZXglYeCXGIP0kKCL2LnzENbfR4saqKpIh/iivg0LKhzecJbcsG92LTmuH19bP/Znee0lR
7iUWqvqVD360G+CM7VoPIFKigvZq+9GnF/OIsGLyEr6RSvzz/Au3/EuEzLZS+NLWovROg6bGJiDK
+Jir1rk6YzTeOCLQ91lrkpMr0p85HMIPr/E1JcPjDYakaeMtlZE+wU8OwcJ4GJqxeiwVvdB1UbYX
aNTpuuM3so6jgh6QvLsYY9HTLZ+1T9xaY07n9niZCLNuBDn1reXxSg0yKRtziJMfcxhgwi5Dia09
rxv8FXWeM6QIYd04qTRPk9l/lXz8XUJN+kMw1HjPERGja0Bc9yHE8YvxKc4xXRLavrgGRrZcsEco
SMbsZzoorqbNFR34fXe2C9e9mcCRC+W4Oxa27W0DKfMN9xf4B6NbiPp5am2IZ5aS+WVwN7Io9J51
bbIzZH/jQyc90Vt1OwytRAjza/KAtLasQzjKB6cuh4LNIMGv0STB2ccod/7cPRvsARgKrsAnzF0c
3LgDHnTO7YwetJynjroz0HWsCeR1VLpXNk7ltg7FZyso66jy5nlaIEKcPt6rQJU7fNeUHFSZfeO5
eI6Ys2/K6YsqCjCHFmyiuTdf3D5i+p6i+CD0YNzqMIq2NP4km9x037gZtne2qMadgRcS/mriHSfU
jGeXpBsR7qDFrqZwz3Mi9nPjFLCoo2PKfiMtJbd9UKl9ifLHuvM0d9m5q4Buyw41FmGqjlkco6Cv
OIFV8Pjyaqu1yHaFzkeKGfL2Sg1g+SBCLzmCFCJTzC7+CMxtfKjGct7XXUGwnzUNNQCjf+uqgaSJ
o49qcuNig+1MP2i3e2a6Ng6GnLwLVsW05g3WtK42GfgNt6R+2sINAbhaO9UZr/ulUuHPRjbe1vfn
6EfOXL6D6VmQhMzi+8kJszsOlx+1K/DoSIb3ObM+gHp7wDiV2b23ih+ZdKzYKFHaN0lZY7ywPS5p
MynXQ0WlVjml5f3EbXeVjtzvIPiSuQnq6X3uI2gnMfdnDtjdOZvG6T2aRrJRVWbKR6lQKUyfHGhY
V3cNahw0gIht5H3ixQglgk04HlmXFV/pDZCc57w5imIgnZjVHQREUUdXirJ+UTZKGTj47p1OwxIr
SWgx85C7ps/dryt6i9ys6kfsEr2HxVNkvrGja3vehXZX7aaUOAg3d0xsY/8M/ZlauMM01N2pqs20
59liyM/CIFBGiUQO4mJMsWLcFSpskLGbMTwUPbaX8+gq/2Hkgf0IG5q3SKG59PAnDd5ra2XqlM70
hsHPdryfHVd/trag2eG+M+LAJTUrgqsEmsBqmAPtqbGhZcopNnZdlNfJIZbdcYKtcZeWfflIvtUJ
VixJgn1axFy40azTNzAo7Xaw3epg0XT9EbLrjVZE0UFsJVPnnhNHWXiKXIEJataQOgeBv0E7wzCs
2ChwGOfW/qumAg9Wr2vr225o2/tptKVJqHPCMjEzUTJyEb4dVxCq+heT4NOHVGb2xjMZvZlowi1z
YnUXD170yxxTyorSMnauBtmOF6Mo50tlBkfoNJiTK8f/8urIy5h4HdkTmBuYKeA40PoyHCvutuuW
88O0mUq1mMpjfovYs9LwuR8m74whqfwycjNn0ultcCi+yPRDLF3/medItBW4XXc9xnYDy08gYmCi
VpocVTaOnwW7bJebUYKgUNTDwqPitF9NqXGf5X4LP9Gp1BuogOLilCJJuIo7N1jbUTWzaJLFl9vJ
4sqZ/bFsS23jFqjjIzblCn0r5c0KsF7ezdIhn9LqNpxWdFOh5k8Uad+KMtVvnp70dxym8p2C1mFH
wya2BiOJEriakpILZeXDPXQRvDtOq4xP15ygx5JLgw9G8vTAOkyoQ2Bo8R4lYx2upznuqcbtHPY1
WS4xzARV/gJE3nVXYeN019xl2UJEz5GIO6I88p4jyUKJGDV2k4uvg1cebZ1AmW9x1MXuts7MYtxY
g+Ht+9LNrnEkzD325WBdY1RF4qdDY8/tGZufZw34igs7OE+6kycr7fyNL1yT4reeugWbCy4oxbwG
pkdBoYl+RBS824IwidyV1YoHq2+7Tet50bk0BsaQgAlpMwa5OLaBS7lQVdbqjW6UDotY0rfWGsRV
81pMbFu2HYkoChJzOX/Da3FuYxPPsWP7P90kjZ6CtK4+mqRtdk6KmrrhFh9Xq2komM0BrHBH9MbJ
PGaBGdxGsxu8D54qkYhoWEOI95YCHmdyfgaadEAXW85zhLqRrcLKGbFDKeRLyjyaA2kc/rOY+yI8
kCScrmERy2E92qn1MUQDWcnaE+94MroHL1o6svLRNt/6mQPkNjF1z7Vktv2KPZH1FUncxEuHW2Kc
GPjiV6a8+gn5zm93Tp2ON33bT7gJDIPgqGoJSTAmHvOkuDfnPnuVdXBJpoG9J31epEa3qItYiqcu
enC7yLywXEg2lDxiPvfY092RuDNWoZUEe8nYTneTGtyfsFttSGWNoKfLnQLM2JVmALQMx6KCoc1M
4qRJcmk7WvI0aKSjnVPfMbtet5mFU+560+zPFr5vv1fVd5rbPSSh3g9A82A4XA3sAzaF36mnhCzK
T99t4t3QmEy7/DXnRWdz+9vUHotjwjELYTj2mKgzleQu9BE3/xJoMfUKywGTs5GW3FocfdtgFn4p
47H8gS0qpeHQo4LGivuzwsmL9w5g8U2hqojyBM6IlU5OIZH2dlcr2R/CLJJQiOykeG3ZgKsVaQG8
n2nmITQLYftbvPDzTWFY4qR9l9YVsy/Ptptln/GcdaxKuw78hBx2SeTUR1km9EoU84uYCDKsLdtS
Hwm23HtHSizRlNz8iSb/lzfiH0/JmBH+pym5/so+6v/sjXDD5XP+GpLdP4KI7tsAPB/Sd4AXQX+3
3f/5X3hz/kAB4wQGP/T3sMv/+mtGtv4IvCgAbx94lvsnAu+vGTn4g/gxGC3OxH+O1v+MVwITzf83
IzsWrwK3BHet0P47tb9nWsvmdDSWMPi4gVpRfng5CBKyxyZ9FimbDmAz7QS4qTcGTaOgbZ194q63
sx+749qCRL4lXzt8BcSW7mZWge+RmZM1T6KC2DafVW3GJuYaruf6vfJih+CiZd8hlvu4GpjQbll8
/xt7Z7YcN5Jl21+5P4A0OGa8xjwwSAYpUaReYBIlYR4do3/9XR6pvKnM7q7sus/1orSyIhlkDICf
ffZeO6DkJyvR52RYeCxog2efYONTNw/jgzl+KeuOzwyD5UvPruWtztPRWKuxqBQDSTN/IStVztC1
jUVxuo7xHMwhfrOV3cN93jZem39N+BTHRFVK4rUL5AuUwCVlM9XOXAGKcKDhdkb9JjSp8OJ29NVt
KY70GSntMINEFWT2vg01KQRUfnJns8cPttywUqwCVeHZ69zI63cNU3ire1PdD3Ix14NdyHMcyukd
/3f1RlcZ+VAOM8sZM3J7XZos/mIlFpNxZukysIHlctmsAZDRQpQG070ibP/o2kuNNyKYW2Kl5eTT
RZDm94Fdzlfg12rXLP2GErCj70+gEuDCr8dqAE7hLPuJ0qdHNqp0bGZ2+T5LSvHsuQwePVfgVe2z
/tle2E6kUsotJFb7EKlG0KRIy+HJ7WN/ky30BQI7SKOjgl5+GlVBcNaMYUVgEG39u8AsrWrdGUvx
YlOM9wz3nJPUIIAJwTwTrynA01eKieZjM7nQFqjyu5sUAnlfMdjXbMzW0xypOxWL4VORL0271rCs
uynq2jP24/FHSOQJNNvS02IrC3zno1MV24aoT7apphADtcCye2Gc7cQqJC/9pb0pyLAF3H2cliw8
LRg5n7OMWLkOB7c0ybZ2/FgFdK8coNilT0mT258simOvoXJ5NNv0u2eBjr8b2sQ5CytjSEiGOjkw
CiP7LqxWrH5sD9Mixqc4KQHYwUR4M6q4O9lmGX4npuN3O4/GeY4hNu2YWyw+4RPCj5rIS8S18UoV
sfeYOCkTE2x0o1qFUuXvTlPbIaIFu8LYVOUmdLH3t6WoPvA65iwBZfLoz5m8SLEkJ5+FbbgV9URu
LaocMkJLXG54u8ITtltT04BoPzJa/n9Rx86lHWm3o3mrbO4zTHQp1PWST/nrXInMAUwQU+PO0zNj
H2XFO6Ym/6krEff9ag7HJfMIyoSzWdxVqGAVLan4aBRrDOJn0Qhq4mmZRns5JeBHD+3kPYog48jq
+AqzDcMZWAF6RikfH7eShu63KMLQL4qI05M/kKdc541Vk1GS7jMoDKT6JRW0Lzt0RiYcGu8dxuu7
nrDi3gEOsZIUthOygXIXRmO+hUDFW5HPy1MkScCtUnbnH+fbuIpQYWaPfsqWO9w4DcP8s6MkxpUC
EaNy7y3RGodp6F4cjtBXIw80IE9PyDaj8hhX3qXW03Op5+hCT9TNUC5XVArrOOh5m7bXmFiWLK5T
ZxM6+zmXY/2yw2LrN7yQFMGsAGCkeF+T+zLj86EnfJNRf8xOmIv5SbbR7getBoTIAp7WB1yEgixD
xAJitKKfXPJjtJqgdYWEnDA4RLQGoVUHX+sPKUJEqBUJXGBELLRKkSkRkWDgar0gYVRay4i0qpEv
3zo5nnvFcxj1JqVxFgKICHNzZ8rk43xTR5BJAn9BL0E4YXEKaDW1nkytqcDLeWHse/CmLHvskV3Y
umEpX86+1mNKs34eU7tclbPfryct3MDMGanD0moOgbDg4CdsgMgYFbiopdZ9UIBacmenzpbnXotD
CxD4vaUFIyEXoleO5TMuhnly6mLfSfnzGvWG8Vpewnlydh7bLIu30dnTspQZdxYRKC1VQTXbG25l
7B1OuuseY/L9clO3ZC3GVaAlr3ZZwifsyZikiS8V11yLY17YffPrxDzlaSzOqgzbrSGxHIPQmgFE
jxWmGHhv1HD67Ek2ABqoPtBynNLCXOzFyz0EOuJyo+g+qjwe1oZLwsgK06vbGS0fCWS+DtULJQXp
jxha+TwWUXR1tTDoaInQrc1lY/Myhcwem1wLicUcfUm0tGhpkdHScmOqhUdPS5AwCMp1b3snqeXJ
eeCtA877k6ulS3CXnE2zmRoGj9/Uyv33idHiKTBCH5TvvOyovgrBGPjFD11rfa+mrdRi6dQ76Kad
llC5xhh3WZ+iq7ZJ2T7hYis2rZZdbS3AulqKDWeZvDs3fTaktG3t58MTb8LiPqzN4hGmC+ZxLe2m
WuQVwtS0b2ej5c5jqaXgIrDDjTFoeXgSn92x43wsjPy51CKyq+XknvjCTt40Zi6HWm8m2rUmfV/t
lpse7WpqkZaoDaTdkyunBVNMOh+9nlvknCvvaBRQUTf/2Sb9r7ZJnNhY8fzP26Tzl0p++esu6fdv
+XlMDinCCshRk5bVJRqWwNP785wsTOs3sN7gVANdqkPdzZ/nZDY+f5yL2R2xVBJEDGwPaxpghFtT
Wfy9/mmyl3/737/ieDlk//VcDKYv5BaPSRL6XWB53t8bEwCJF1k8e+fSagKxBj8usHoKlJV2PUij
6VtC/cgi9PyWdh3d19UiXG49psGVUfXwG54LgqdGyQrHI0OwNdTcOdEhiAYAJYM9ksvw20IBfktA
Nvi7skPvnO578B8YlhfLn5w1ziFSVrueIlDvbnRa+Z7H05Xduo/gZBn+2knoYi8IwrK4aONNY6nl
2QiUEneqxxm2bslZMo7qhLraMyVqmOcsCiiH0mQw9zvsm4eiDYb2ERpB/ty1UfhGnabNVUm2sKK7
bsyaM4y/hAPzEr4aFHbUPMTiqe0cFla6R0unF8ZeqnKLjSd4yNvKe2s5im6MsJ4+p6OTPSo+s7t6
oPaP+Zz8WQZvrV/VNtxo4rkG1gtVFseMxOxnT7rtqyVtjsMC+uZ7HQbvxbzcB2YHInXMsWXzT3QZ
B8+G5peaB4jDYttndrieOXfxNfAgrwPtjNPaXBaKDCbcWyuEybBc1UPdgT2JaDWYhDseKkOVjwMC
0cuclOgM3UJNrvKXayit5WSEmT5xg2MxEAmM9JAUWfqN94N7zXJMFNuxtowHQpMswVyvI2VJySPm
gepDonxcsUB4H2tkHxyu1MCunaC3Lo47Wp+MupAYQFrLfqgdXcNLQyVCC1uJMRXqXJDnGSnjdoat
sKoBBqXOwEGL2NmTrQ6Fk83kAKNWfTaWklrhtDD2BH/U0Uks9c5x3D8mUjTPylyie3bo9V0Ne6fc
0+QMHGJQHu1pu3l0esvLV3/8l3ONMyYXw9XZpnVqIuFg7RlD4IGnjB7fqTpxdpkKmjcgLWfhjq0f
Nw5BoolcJD44tTUT5OX3/1xR/zdXVMthCfuvrqgP3fe4rn7dzv/8lp9XVCG839gHsZm3Qt/2oPb/
eUW1uNp60Ma51lK9wVf9eUX1frM8+DF8aEwdN7L+DGncWDFs0n0quRzCGsQu/nZF/VdXWNSFv11h
qSp0PZ/FtIbPcNn+2xU252CRTyxxHrM8xApC0Jhj2qqLwQKGdJc7V8drAS3WhYnfjTEBrPZqGlNv
nQNcmqi9pe+mIQtMEbjs07y3n9jPQI395AajAYjFQ41bNWOVk5HV2S96381vpYkWOq18iT14DaVA
kx4G5iLqN5i3OGzWoQMxO2mzE9wx8cMGI1ozlrXBV0Nn1WYviE9+rkP8dYzm3PvFE8neaE83rtpw
0ievTSSc/KjtDcAZLZgw0MWaDtAWjp2PPhG6QGfpSp2qq3S+jnbR9JjqzN2s03f+6A6fyURbW8ds
Qt287iVP3S28x/VleRzplAq50jO5bG2c7sirg+qDrWyLZhOaSYJnmxTBmMbrnkX911THCCUYzeze
5UK2Ia/pP9DtQgBxSWfcP4XHdRnbN766KGTEw5nXp8uz7/Y9PZFRs7xGSw0AAFEUWjI5gmffsSko
lDUbDI7vyXhMmVTOaprnVxRL4e49ZzaPcWWP29DLcYeZIiPW7dO/Fa/81G4+AbmjxSHGUaiZduXJ
kFjOwYIGXHrKSBH+zCcfWhgM9naVqRS1gBCvVJvMlbLbeHgr3/qBlMojfwlaiZWP5cySl6hqag72
lrubB6slS36w2MWnqROuMnWG3cTEvXHbdNgwyvvXVjkz+LkkjzfW0tfX3CM9u9T4z82yFVdDZ2ur
kY76yMHngauR7C2ue4wNHEsgC+l4brKwXcyRJygM2bWV0dw5lNEuF7MaTL85sRyfsICFsF6CYMsT
4YDFG5OqeXRwdNdH8i+CbL8NqR07R5B6YP9K6XAfgbIDwKYiU0WEFByUsym5rdjXgVLxhHXZ6D+X
TZVOZJLmsKFmeSQH4taSzQgYC0iDJlM+VJCZvbNnsaU4ZXXUhXdeE1MD3LLkWWeFTz9dESylcTe6
aSzXOIDre0mfwx1LyoSKxGr6QogWN0supwFXesUdeI6XxF1TLlyxVyo8TemAZgL9xyQWv+rFgmAx
qdjoDyam4V0Vp+ljOi8C8xxl1aRSu6jkkx0RUsQFvaT9BmDfMAHkaMbxTql0aDfgMu01oxdGxGYs
R0Gw2OhArxtEkB49GGuScWko/cusygkftmvuu9wfNklsY1QksWhoniGdz4Xhp/f4ywtQOFFUJCyU
TK/bgCKaXq1U1vs+nNv45JjyifbSTF3DwXg36ELiM2V49bwO8Ay5931tS5DTzDw9CPmlfp0jkM+r
YBkSKoUDq947WEkoqTapHMIyWqHYcyVansFCA9izXK9viUQXlrcvgAtMRz9DCrXrpvsB0+ajO3jB
nZ26Uj2POTnyA7k1UR+7CEJ/0Bi4NqQ0L4qsyNWpJj6PkRPiAcjY7+A01c18S5vt1WwHp4zjGcCJ
yZjnu1lM9dm3ZaXYaHf5HnKO1GVxEbEVXqt6FzcEQy3l2FejWcxxZw+MczS9WOfaA35gB5kRbg0y
3snGSWYoyspJNyR7tEsXRkP2tYNd/yUze+Mj5p7xTZrz2G272nH4rDnzuDFw2G9L4Rn9sYs1IZYY
kNx6CY04Z77AIdVCaTnBIctjLbby2JpgF5GcQ0pWh6TizVW2FA7ej8FLMBd57FI5bMXYUMdmxKvQ
QWiKehYunCjdcnAuddUMAduuqPgglth+AWv+yeEtDChfziSywsq0DkBX/KuHF34TQ/Vh9oQSi5nS
N7eV6q1tYbiASMC2zk84L5x7OumHcVVi+REXQCX1RfVkW/ZBW9uvbT+/EpsCxdRjZxcAuqIiWI+j
2UuEjWweLsTxxb1ahMRlVePpAXMzx1fKyyIUiswpFrUcStvvfZfCKmg70Ql1Zwruwb+K/6Rcf4+l
/tMmhy0KJ4x/MaHyY4b3fPn1RMUYqb/pj1UOsDw/5EgU0rvo6ZPRH5uc8DfXZzINLTyGASIPR50/
Qq7hb8Ihsw+Az/bANeis6p8TK6cv5kxWPIIqML7r3zhPCSK7v/ar0L1sClyT1PxR/iysvx+nOAEm
XUCNzGkUEZkc2xb+dYKUycxQ0UzZ+tSPm18zY0KHbyHB4C4JQkz5Y3/gXT3u7ZZuFu78OLp/eRr/
mwC7a/E3/u1X449jsjc5WjqM85xEf/VhzpLC99wKPH22aeqHEIHxIVCYpLmaR26+EgOBMC7Yzjbt
4KXHqN9GM8IqmcMh+hZUlbhKUsNtt20Wv/Q/qcaI73HWTD0DsBRvJRUQVBkUYwPxHgc313w3g5yD
iBxIA7xNbwRcTyO1ccycu9pG0OKB/aAGONh9TGgrOdSQUjOsLm7RYqSSxbJxfIl4yRokPBEpFXpd
lG3nLvzAtJwQAQqnwH4ENjp8DGvAxKDfynHFRFywOpuy9mu5lCY5BHDStJBAsqDrBiUPsRDlkBuR
lRQnmE8F3QRwy6nowE96xReOITqeWBpTBRLFxr5LVXdq40zsh8GW76mZdA8hTT0bL5NnOAmnBh7S
B79KQe2HxCN8OfTAV4Bsz8ZobChIZYIt2Dnct1QlAclOdgZEf04tnHqfDCd8M+1MUhgG/Wqj8iJ5
tUBY+CtzcKeLwY7iiusAy5ufLHI7peN8F/vqmXaL4qFbaFmkSa6C/jF5It4FueHAVAJEQ1uOXM0u
kC6UDhoLnswgb55G2EWc7oLy0R2Vr8vSoAVfcPdJ+2MWs7ifhZE+KNVunSWydpRUTh8Wlgycz9h5
z17j7uErVLvG76m1Ep03rCWMzK3C13CYbZpWQVgYK1uZ0J/gLB4d1U9r0cbelWe9PQOM63YZudFT
LOzwFAovOCXCLOhbqszitSE59qH26+xHOwmc+vlgNM+tTBWWU2u+s0fT/xb7ibfDZ9Fu2dWBObPg
LtO70W2ttO6hESajs1PtxKG1yZvkS87bfmVb3cz5mqWYYop+Mn1IBpAUxrM7yWGL+SVklZEUW1hT
FWFt4GxUYDLM9CVNWqayVnGXJrylOUlFu2nM5bJWreO9uvyQNWA0tIkgHLYcVcUXK84SuEDL8l1n
/i4ttrdNMM/dAQcey9s+y7w3lA2FrRTx/WiNXtZt6slekrXqcdXtUTT0WZtTdrCy2tK32MUBh+V8
Gi6bIi5ihQk2Mj64s2S94hhFD6C9E+cQFrZLps8sjiPQE7kqRZHcMctVVCTBF7TprFZrZ8y2mRwh
AS6Wy/gTRM471o8J1EwxdR/U1FR3miTO06fa/OKyid7ZdQjTLEj1pysJWiwa6DfjfvQKG5hbT/rb
5zDo7v289o45po8wmdRXf1SgvSfpHEMiqKvUIxe8aQRwOK6E0xsxnKBbNQEJxVXJeCg2edrleDfg
ci1YHjv/c0V/0MCo0BE5reEkjfdsN53jLLDVrKAF+ng+xj4p75ba761VuIzjsY69GsgyFxEAapCe
cDfXnOeZxawHFpfT1euIKpG+JPuMq1MWD9zhwUVZAYfiiYyTsesQbsZN0xF187gcnMsEYguW16J8
QVhqSYPYPVUyZOYukd7pGUTN5MbXm75U7/x8JKliI4bU2Zh6J+jd1oOd3hSOygVzZSXJY2pN+UfO
JNWHQO8WY5DWm7KZwHLeVo+uzPP3LO5ZSKa35aRhd96jTJfCeMXezvpy1ptM67bU9G8LzpiGl27n
6L1np6gTWUoxvQGJY9ut96NEfNvDzMpUGZ4BYkfvUc3bSpUDtXNOQoL8/kQK37Vrlq+R8JKrcC3r
Uz2W6ZO/zKU4yE7Gj2BCGoz18K6LteUn8nO9mJAqHbyDLoAGckOR3v8mbdgSbOKEdenZvGNGEJOb
4LYKWBXkS588GLPeJrsjvk92ngChub6znDXg+bc+NDIKQnmIODTVHb5Me5ctNizp3Jq3rd5ic22Y
j5nebOM9FPzDm47rPB/ynJ0O/QGwu1eDTodDNGM9nulNubgtzf3F0gt0yS6dpRVr9bHHAt0Hnnd7
2Q5GkJxL1NkEFAN/5Cj8rUy898xm/TMFTI95O9svbEWbY4b4+hhScc+jlu8W62HeiG5uP8xMoXDu
ueS4xV28BBGbf6oUfNxvUAjJeIrS2AQmjNemcbL7xQVh6yDE8g1qth4qPujYRrUBgdgC4zVW7w0l
HmwhO/6h3dr4nGkDQ2fZ89lxW6dYyybB4OCG4/uoTQ85wI9Nh89yr88lXwttjuBd6tprHF94Jpyb
f2LRVgoJkTHB3mB3ZzvQdgzXTvBdCEnkgi4xg0QAYkdo75aOaPsGa6j54mWoE9tWGzuIF+DxWG5+
j9jR3o/s5gPpb56QIPEndhOBXtjeXCMAm7o3QMD5C0c4Xi4Ic042PhgUAD0tpvecz5G7z25eFBuo
hSJIm9gXeXOrsDCyHpjLWbr2Sf150baWXhtccHzwepGTx/dCGUn12cbuzM/EFmNpgwzhYLavvrbN
BK0Ud5LLGZ8ibauJbw4bzl24bYoAqNXK9638CwzyN2kIxIpF2DgksrA5ZXgE/BWfOsNBcAewvyZw
SZ7VqNvyCXptf1/rTIej0x3zLeihPYuEMXX+Y5DyKQ4nbtawhi6AUBNsOXzE7lLLE+6GlR2LuslJ
MVm7JRoYYsq4iXTmhE12+zUI22aE3GSEJ5Z14Cxp1QbzyzwTbhnse2IMOssS3GItoU649LewS5MW
xARmQ6FN+Fk23rVC4QOcbjGZ7haZ4XjSfbJuQZrxFqrB34dr/Ra1MXkPRNtQJ3DGrONOgMBUtQfQ
sc68macogSOG6RibemEHz5RsO5v6Fu5xdM4n6HIutEmoGX+1V2SXLlnyec2lvcT8EMwvHXHiJ8wZ
/ueWsOi+9nBLrHKwre/A3rVB0m+rfSs73MJGXNLUkQjFLYNezWGflo14tDBDl6egAQ4KWAHOb2U6
SGpmbB6pFy7MdUVYeiVtGjoZYAly92cvWKza+/2Q/R+D3j+MdZaNteeXeeS/8NTvv0//5/S9k9//
Mtj9/Lafg51v/xYym/h0F/OuDe1fTHq++xvGYDvwIRj9lMP/9OghMJNWYx6kshMYwp+TXfBbyI+D
2hVaJgMPdaj/xmSHHfBv81NoumCvAhFiLPQdVpx/nZ+stquoXgBHQ/Vwaq+rzqZvMSa/fabXzz3P
ZteOzzFcoFNtwtZliVT116QxxnKfE6alyKgbKSRLgKKvfZK9ALIxFlgNoYUYWwiWp1GaHKAqG9Ne
m60VuNH7GEO7vYHJGX2Yrcp99arxS4E/F/Ro+WFsAcv2ea2ukokIIy+U4arJnRWfMjqYXOFDnSMf
exkm3RcVQAl/gn5og53uzdcwF5m3MgyMJFU15SfZjf2W5kjaKRu+cfJAvzmuP9+XM2cbYQjxFCno
yKU0wh/S6jDCcE4hTzyWqjvCK8DI7sw5/Vej6AFYynCtHMn5Uj9RuaKYpPOTr7z+6dowJN89ibE7
unmngj0ZAKCaWTkcVZ45a98e+EbJ0dzCqdKA5fBKymw+jZlqQVAXgfnql726EGIJ10zCOJ/MWR36
SZJdMwYenYUYhUgZVVoy7cP1lNaUNCWUyLkrrl3AdicyDIcuCzhzWU1svDHYuc9Bn5Xcmwdb3HWB
DM39RCX5C30n4KXGeBCvHZUywHNnk58GW2Z+CJrC+EE7g157ttEJylXyzSjkfN/AQdrffj+pfyve
2XDLGYe7o8VisVpVJZAJ3/OraWd2Q8VgCW60DpidU86OwAAXiHFqHJKV36fWXRwIhDeYnyS27sir
JckhKkSuDjQNdTb8az9P97ay6xqmtgLAb9T5STn1cYTXTI1INg47KvOs18YwA28HwSIwuRXDbx64
Q7yGQZOfMm5OsBitlMYuSWQM2c99pr+ueOkMu3hOmm55bZkp7wI2Jh8yNQa7hLHK25ApsqHsDPGZ
aEbyKVsam2l3cc9Gw4sdeNR7rvLepYBb99dnlEmCyrRktXfJjK4YCvuJDi8mtznDSKQ4/O/JucC7
53z9Y/LsqQEmUZbsonHHYgyysjTfhaidyX1ekLdW4VA0O6/2LHIaDj6llP1zV/vZto9z+RSV4XJJ
FagOG8sqtgAzupReSVR+jKdgL/pQ7LoisV+KIcj3ZTAb9Sr3OPEDK0rLYJ8LUz5jdXl1+2K4K13M
W8G8EC8d2ylBMlCGgnNRXMo4wtYkheftUjSgteNbDbFwLJwxPZ8c2IagY7Au6kfpqfIq2eLvpmVh
EE8dcRriKiTG3rL38j3noHyv39Lzrk6J0+rjsjXZ66lw7Y8zMhaHA2odV1Hn8UHFfE4OEVRsZZGW
B4rA5qnqx3lr1T3NfGaUIQBMku10Y8vLgJH2YQYgca6MyX3s3djajsnY84W+NKHjl6CQVniRnLsC
EscALsf0X0n3p5dIiPh9IWyEiIcovvDSqwaDXgV0DhVJgPFcLZkNu9vke+hhDfnQG1k3V4e4LkmD
hRA2AeKKZEsBmU2bVF6pj7O7mDQYYMYb7aY7KTSDF8Nzl73VQrrD3EuBJwvJxjS21aJYNgLMcTZW
AokAn6Er+CjjT6KsaDI3owctaQKge01mJT+F/P320YkAFh2bstYbGIUxdIiYz43FG4BrTEEOfqei
JRYWJx10KgFuRrSN+jkObMkHz8f9uabrJ1+zRczOY08T43pEDFiZmUXhMZxwdiDhOO8TE+TztJBF
0dpHly4WNUatf18vA+2pFMQQmrSIpEH6z+i+qIoeZHuguscuyPOTX40w7CYu5paH/XgjvSF6u11Z
2ryn13Mu81OBjWvDukuYv3+KGo+L1oyl66Uj37zxDJPL6ghbnavGwh2mY3uwn4ETU4ZZWA4fh8l6
wnHBA/VQUzZU4fCb4ARUF/axI3rUZITVPXf75V52OZisulY95rNKXToC6OfbGeA/x6V/OC5xhNAp
+f9ZBb98Savvf5HAf/+OnyclD5eV7QFMBSRFut8NOfT8FMF9QZzB9B3kbArg/9I/AycArqMV0Nlu
BRAjMHD91MAdG2uXdn354CNNhHL/3zkpocD/VWfWwCKTn0P9DBq4pyXyX7iPS0gAg4oABU6HeXDr
Lhd43788G/+dmP1fHgJvGZRKoQ0SAuX+rw8RTUMBSIvbPgAOElnBCq7sKvB4Sv/fc/7/8Sj6D/3l
D+nYw89uwqP41WdpfK7n7737T6r8P/wh2p3xy0P4ae0wmvAQg7r65nVJN636+q//CsGK4++PEqCM
YRlhHcHBVVh/e7pkYZBwGGGYuUbVvde+R+o+NSdr6088tBsR8cCzFZ3MYohONjeB3Szteetls9gv
8zjt06brXrh02YIYpMw2Xe9fCQiP7gYJDYQ+AKkdS21zY/fzSPQ8oi6QYDpXIZg1H5acW5Wf+fR/
efTeBnXzGRsz5viAJSjO38PAMg6BMyGTjRy8yQ3qwShgWYgHDPXKg9d39rohOyZm4Z9NdhZvRulT
wJW4S3IxqWQ8o4mix5qG3CaGi5c6JgvMMY0EMcL5cEell/pIeKvYJE0C6ZrSW88q/VOUAs2C6jBu
QHrizLLknZNb/ce5WpzrhEdwbwx+sa0pETo6pabWDcLZ0TLBFD034hKYOctf25kpVJrHJ3aH/BCQ
one+ypZtzT56QSWT4hKR6znUGf0pcT0k1ygbp/ewx7k+Ko66ay+a/bU/sl8wUvV9qrzoNWmYDjZ0
RaiP3oQ7EiO5+N51My3MrnT6H0brQKcAbdS/0PZDrcsMz+vKupMfpJ9g14FevrgWNzeIi2vcJR7i
YtSTqY1sdrCawhO5ld+s+f1yVi69j46RGfdZ7HzvJdrGtPTDt0zNHx1lfQ8J8b7NFk1rzmCkrz1Q
paO5tDwlXdKKfTU531VfdyF3kFYdspZ9QVY0vAguZ6KXweTnlTO/Rzb7+akMXfmSUnBHd13rn2mW
Ty5NOUVb2+1YsaBrXAEhZTfvyibsqClFmzX3iOIKVg4owHUIn2vLIcxkTCrwArnUDB5YA/EAlvLW
bZv1e+6I+SFzs/GZCWl47puIL4ZUzhsDq/m1iFGJgH/nJ/gpuLyNetiOpC4egpCnkxIfqJ9l1zCA
cO287+k0zo7c8MsduFU8eTMW+Wg9dJF4QlSPr0ucms9ZBW1qRYbAfQAomu2TODb3wumir5Hvsk+b
LSO6t6aQuHpOJxLHNlERMI8i52FJKAeAqOmtyTQ7J6K/7V1r+IJ+VzUePcBej5FhG3sEPvvRh3R2
x0wHEr1VV1xDEhnLHc3DkLQeJakdp7lhmIt5jY01+toTGGAbNHGOso3B2NdLEvxwsjz4AVaBEytm
+nPni/BrEppiGw+tQ4CHaDku+z4ElBLq5yMyc6RRNX8rWskzKce5wNHTmAchBXtzUnJ3xEWdDya2
7m1ErSuJc8MV+8Cvur3LeuE1sKIRQd9Nrth6zMOYWoW3cYYZEjutJ/aqZOh+F1Q+nlosJfck0Kcv
HcS3SzXE4QOSv/2hCHv6jFiLGFtoMu55siCT2pxfcFB0wSPB0+oLppjp2i2UQM5Z0t/PsvXuxOwv
F9mG7jmHB7UXrQtecem95wYxegNMSZGSMYJxjU2OB2jpoUxWhUWUt4MJW61I1ODQqTzP3aTgQdkc
TuYPJ/V65vmiTuAcjNk3V3nyQJhabul5knveGu5mJvJHMqyR+74G0beRTSrhsSRIqqbTnovJQ/lO
6hb3ilWiOjLX8zPdKPHgL+EvtvxKnfht4w+WqNVpwV9yZqu6rAs3Stt1hgWHcEKZhceAE8MO5dHb
+E4cHl3q2Xbgp+otFAc2mEmelvwB4P3XAZLAjlNCvyVA0h0N0Fz8GW2w7BDyjC3aRMQqjaKANZF4
noe5VgRKmHkeq6Jrv05t33MZG/Mr2LCAng6azXquAp8J3CsQcb5/IEMwfseQrHZWHLhnqxLVfqqh
AjNXZM0XMNDiK4suuTAmptEPyfz2skiSHqzw89Pty63Kc59ZnNGyMcelhYTuTw+TyuaH22g8BpxO
t7yHb7m7YOOIGPnh9pAptRnYeiVtiQNpfIl/rTe/5nkvP1FiJzejm2ilorONbcpG6gLvIMPREltP
TjVHb5mT1C9jWpY4kpjLoWpGW/wk+F8Ms1xPrRky3Qz5yauHL/gK+mPge1jD4oGmiiDKzQOSPPLC
0o33tFHz9FUJ824nwvTi5WxChNFDAFhEPR9qI0THDxphH5HwQdyZAS68TIo5p6yYjMTGyRSyRqVb
aM3ZUweaMLxnwdbvtZejuqYOnvRVozUbtwmqvT95yBOqGXjYW9X5rECxiW5AWvBb4wNYDGQRY+al
D2zs6bVvd8ehsJNvoaAYPS8y77nsPPcciTrcx56eNtqYaYJOv2DPabQ72o2Rv0wh69Kqar3nsPUY
5kmTrQNWAftYi1vQw9RBhqzYjMyfH29Cki1QaupQot1G3vxoAzz5AksUEkzDGxxdHrWCd/TaN51+
Wzpm9R2S33C0pCk/UFGtXngjYThLaHnvsyGEhELy3dMiQdo11T7obO+150Dak5i16AucQBavJSS/
vRXR3tv3uboqwxy/j1VkfCw1KwJqXyY2geH9fJ3yfo5+LCaq1+zYqDJOI+4ZC40PcZRzkaEu5IS9
Dh+4O6dv1SCDa1iPQGZY0n+yh8X5NHaG8ylzm+WeO5W3S9rE2CxUCm2MxkkOPhCjC2687onUfrW1
UBO3hGFnJAye9R6E76bGm/hg6dxXVdXc+GR2pjlJAOHBt15BEljXvBF3M2Gks98m/5e9M9uRG8my
7RexQNI43kcf6R6zYpL0QoRCEmfSjDP59b2oyroteXhHQP3cQGUCWciUOScbztl77XJb+iQgFVMr
thJn4npET8pH7PrTsTOn/Cb0jOhg0DHK1r/e5dkz0NVplse+wgMGiBPnGg1uuC1yN8K2Q3twZdtl
dqOrtDiAA3E++yFd3jbULRt/Fosh5Cwe/6zmq6wBWmnQ7KJd6wuSYKYsZgqkShhrybc6m8ZrJoXp
YJI8d+PW80xpiRIRLmY5PYEvskFbzQOIz25qdq6RwYXwKfR1mZve4MeiVSLM7Gh1hX2RDjPCCnfQ
tmEtxxvlNizdUB/avasqTSB/KNyMc3EdQm0wQFywNvUHv6ZHikCvkVdDSzTNunTL6qGrxnLXMeGw
Bypd1BuW2cLboxhXd2QvR3E+X00QXo8qdIadMA2CaUhT0h4aXa/qNW1MdsyWIASxZ9rQo4ZPk8QK
qMhNYqcbryf9hR5NuW+NMn/SO16nguzho/AT45seWdOVBVl9Yw2D/g2tqtmtRmqTK82ibhyj+d2i
3DWP8zjMdwgp3aMzWNPWa6caVyOCRDpOvVR0vh1aKuQVM9OVVDLvdGfkm6dMB3Yy5B8eLKLCANii
hbjsWi1dh/yrt6mgDYbZV4UBlGRrn+hiPtDPIvWPUIrlim7ceDTXoKXjawPBL0DPpLgH0gD700tL
mJextm/tilxOYU/m16mcPGrYpboX2E2pUiXaRRT2tx0SIYKYCT4aUu2HpzCeECX8WXQIU3OYK5dc
RrbJ9YqZ046aeud59bCt8sjch2HSA7gN2wuMjDVRx0p3t+wQ46OcSURrY1DkMqnWWeMUr26pvTaz
fTPiVdmZ41As+zZ1oN0IFGtOHoYqnte1p0UBs9WeG9GvjSVFOQqRdQDj/ayVokaQsdRNE9iz6DUh
wWSibsEjt9oBogcGdFdyvbS2KaZ1JhB9T5ZXoyTZo4wj2M4g3Z0kB55bEcSNcSWNv0YduPkMjw/Y
qI7EG7LrqntpOSbE8khXCDPM+CJOHXlbwib+rEVg7FnVC5qNsnuVvevcw6eguZZTmD3AwplJI/Oz
Pa7YLoCfivSIFBTr1vLq+TaNnPpeIq7e9kXnTmuUJgWFLsfZji6BpmFNCBkZCumuVxlHcj1PjkiZ
JiSfLTy7ei4uCGQRAboj2683QxVRcN153ZhlF035je298WV0Su/K8DHvrmuT9MZepRiXTNTCt+E8
VYcWrfMesCuRAV7Hp1ig8AfSqqE0R61dd4Dv7W8kNasBlvU83VhGm96VNojMLpnqL069hCSPRmxe
T57ffkEB5R6R4ZfP4eQu6NOyE0/6skI6RiHJJ/XiYCzL7iJOPOsqLpr2GbGOHYytGo65HfUXxKFl
r62VkkyPgLfCctSGt70ri+9F4+pr4i+tF8JAKzr1CK2OBraby7rF6OtoHLBxipYWZ90G78+ktdaj
KN1im4U2ueoJbfLrSpt+ZL3rfTYrt9ySEgatLsrnJS4WeDCce3RX8cxSGBNWt+owsW6cqWYmS/M0
gOAGMY/OFY+X1fY4caoA5SJmOiIezEM5Yw8oHrQ8wQ6Owy1ill9RuCFQ3J84FBvyma6OAK6SE4Wk
W65CIcPOGNeEUzxUWVFdtnNuHuo6ZCu1jYopjGj4Z9LrwLg1g1YEHJcc7Qc8VKzdQ20faC54T7BX
F5Rh5+05xQwrU0vCx1xo7SWLYn7LVjF9GQ1RPaYqU59lB/NvLzUa46uEoO8M0dLiKMUFDt9Za8s7
i7ScEnl6Mn7Nagd+RVcP6bE3ux9U3QdQUJ5xOfpeeSHY2b6WEuconFJKtFp2PVc9cqdGaPm+zVy1
HnhUlxn86nhFB7y9JlQ+uqYL4Cy6XYTMeGzUVR05sJjq1PzE9/+9hey16ljTMPHTyl+JsCW3rmq6
24xW4caK8vhprBvBwoVzzSiL8K6RovomNPnVAjn81ZrG+xkyh7VzcVdstHIw9qmamdmlJsCiLZAu
30X9GMeq/mTrOUmdIfweJ+50BJDYNGzeeIQklbWPcQgC6AMKsILBijEMD22Anzz6higTvhAzIXoL
DfVeNLoPHHVYT+D3fF0irzYy8p+RaA8XOpTqPX8KrPJRtfdWYn13Sdq46at2+hbNIdJ66tnQPsSU
XvkAw/aw/7hjFa0o1IsjNgGsKdwJ99ntY+sh6cmdTbuED7b20X6U7KmmGAajDRCqFbF5yxnkiQk5
uxnl7ByVot3QDq2zlXkZvlR+Nq/zevCQf4v02gEfgWoB4fSK5uAYIDhV9CmH8lOJ5I4drnZXFEV7
aPE53IWJ5ty6ELmQUDrmNUGl4qcRkXtYpZDe6y4hlYrMzZvSHuPL3M7se9D+PjGlQLC07ktaoreL
s2ZfMN1ue0lE3tyO+l0Ydk6QD/hXKvqi+wkRzH3LjLvqyFDd+n6PPSHvHiLcO6SY6M5RRNW0b4f6
K/xmN0ixdKwHNoLgxlwNMbjfX7KVc4+DVUBCilTG/rcqf3b005IN9ftvQqXyS+O1AMOILIuzb5We
pvqFIbvwAkNSuqFaMvCyNeZDZ2rjtCY5yvavkxza57oqFelvAj64vVPlOHM0i2v/upzq/KEsfJhY
9uTv46TBU0oJ68Exmx/jCO1Xxzy4rpUgoWYeXuHJF0c7R6nPpopDkuonfClZeigS30DpZwQacsIj
379N29R5KiL2xlZYRQG7wnxDueO1MWn0IIxdoqhZX4njCbrReXE5goxw7+xav2MPtcSmUCbSOs94
tfx8uLAqW2wdJSikZGV9E4VG0Pta+DOmL3GLCde8a0b/pxot7Sni03skrKOON3ZTkQnt12O4Af62
gFvsaq/7Y4d+kxRtvLbAAEoqAO8XQt9WQUGvucTCWJ5v0MI/qbU6qPWI4PLqYLCo3/UaxbiERlFR
qD3n8WL//mhvquBkxOmubwjaqZSkFl3CH5Xd0R7ZJ7l1MFVAXPWGvyWFSyZPJPPN3w9lmJB1PWx8
NlPfn0PpjUPa5GhwYbEXPYwptrgo7Y0rvQXx8P5QpxoIpA9I76ENI7NHoeGf3EOiBokPEAxV1mV3
meXtElmYsuXk5V2paCz2Vc/L9f6g526laQhDUIejmX86KDhgXNYgUoIJlOeKAD5W6ZqSHWdS64Pr
e6OR5/r4oD1Mvpbu4Pj+81ZmTP6zlFodwAkk4TUPSY/QlJceMpOKJigFdSsnQhCgHMZXXT6OH4y/
vBWAbbCQLnle9sKs8k2kJ5YPx5kezclbM0WWjPUsagKvIOqHTdfiTx4e37+fy0WcDiJMXkxbX3pF
rvnnRY4Gy0Xrm3XQtpRu3SFmFxG5IrzOTX0O5skkVBvA6raCC7p7f+hz748wHdvUseH5xtIF+/2r
8G1rNMC91UuRZNpKYbewJpdCsKvpC5Q2Ygc2xdDY3h/23KcvLMRFFk8WIR2tr9+HFY1PPFTCsK5K
86NR9I+OT8kvcnhrfZf39/3hzr2wgjlGt4hh8wxxcoOjWukG7i+Ga1r7QZlqz+EfyWro6h/MMsZy
w948S982LU7gTDT66Q2d53+epTN3w2vz692cwu772PJuanCmAGo5+h4/l/4SA7dDI0Mp/v3LPffS
gkFzkCUI0/LefDSuaOch0utAuJF1Z6MqvpIRU+z7o5y7qTzCpX2l0/j81eT6rVVmAXDtrIKp59cs
0MOlWUOFHFeGlcoPnt+5C7Kgwnl4owUtxuWn/DZURnoAbpCBCZXAjY05VF8dr/r6/uV8NMbJTApy
0HRYqOvAMFsgbvXe8oq794c4+3Lw/mGj4FW0UcL9eR2+n3pDbRL1Jdm7XkWdbh4J5aNR1g/J51hj
hiG9SIdNJdC6C8SSwIs/mtHefnoCBR4tFL4/n9LFyYxm2RKaUuWrIDJgPLX4M9aDkSkgoCmJRNIv
N+9f9Nv7yniQ/IjBtE3DPf32FMcqD/2RCgoy5S4sZ7rDYuF+sJV4+y4KeuhYzCjtLuT9kw/cj8hu
AIyngqQFJtRIAmQq2V+6Kb2M9y/nzEhcBLGjyIVtYbknrwkJ4ck8TV4VMLURTaE1F8DuHmSdPr0/
zpnHZLiWqRs8K2auX4DC3155RxaZ8Gu3CuaEGMH8RfNyImDLdYKo7f2R3vrQPExvvw11ssZSo3IA
nzJU1/sU7ksLKu/g/htsRsR7jyRostmPYQAM642yWm+DtDL84nBk3bYzUNmU7u/ebCijFbWgAF5Y
c3a0vVTi5YKhGA3xfBXmnAMthZiS4A5ty7mq3eYmpL0jyX/j9VB1VLCnzsnXlNmwfeAZ/eBCLUAR
J3MzKzh9PVyHtiHs08Uuz2dN+GXHPW3i9tkHNX1t9N4nIuiSl2Lu3GOXE/VV5+GXGkPszgW6R8/a
OThOsU1sOrOGkqiOusci5GCEbR8ZcwFF1sOATGGJ8CqyKrOBemMCKjqsU4FLaajQh/eme9RSrVuP
VmUF9LaHTdt65ppx0g0lPPcys9AygHwIYVOhQfejYT270biBepf73C0TIT2UVv2bi7T9g0XrzLuG
cA0yhs2axZZ/2ST89q6FRa/YfUzcl1RrLnvDFwee+kgKGP7zFfjHIXj/lXu74RECya4FZwPZC2EZ
fw6oKqvvB/Rfge+1eIeSqtgqJOaXjpDtPvSi9jKm9PqAByz6t8Lpdfx//000+p1gdObzZTenL55T
D43y6edbA+nV4s4pA8pc0+fegaOl6Pc82IaT/vjri0TgwWxErYO/TreO9EU5b05dGRR9TVcE/2lN
uRY2s5aW9cFpMlAbDQ12mDsmRfv3Bz9zneyrBBnEv7hRp7ZXF6YaZaeyDMjVS/aKJJxojJB6pFP9
19sAa5mkDBeFkUtS7cmESA2oiSojzQPT856nqRw2pkeYVZ0L8devKdsNBFMIozh96KfsKYkXs4sI
hUVXQL4oRlmYk+nNMNjIOzPn+9/eQEsXXJi5uJCRc5y8omRrytLKFZdlFyLQ5FRW9BDp6TTElzYf
3MO3HyCDsbVha2DT0D5dvhTakNjpCq5Msx5ioT2r2fuejuIBUskHe5DlW/5zf8pQHEsdLo053z65
rkLEyVRqCDGEzLeCWqlf2aAe8564obI/Uqb8aDd6fkSfrSjEKT660+XFki44f0ZURn/MfPlSTcaD
qMEWEkSe47g1L//+0bHxXjhlcH7o9v45u9gN5442dLNA67ojyS6BZWU3iaN/MMzbjY2FAYGjITYI
dh+nBYXe08ck4Y8Oes3UHjQCLQ9yZEV8/2LeTpWMAnljiX/WHfaNf17MqJkjESVGFtSCihaVnnWe
dj/d0rlLVUtDHUIwGNwPZskFUvfmLVkmDgTlts9seTJqWMytz7EvC3wbdPCQE6i6xshAKJ5Pl34u
aWI3E67ulVZZoBoxGEvaXrq7b2GGHHL6yAip3Yd5stUnQqKzTSQlm4NlW6AqwlqRxTmPvjk4QdQ2
/6hY/8c5/uyD8fzl8APDGevjn7cMSUKc09mAKD/Qkk0nPz1qI3XO9x/M2xmWB7PA8CAsme6bLWdh
KZaRqMqDEtgR2KM+0DPjwXPbj3Yt5x4F3ElUlY7jvHG52G4uSqlKJqJRCoQsYYznWx9371/NuRnI
YQvgmVD9KHa8uWe6OUadliEewujRuyxTo41vo2nyb32Kd+v94c7dPC7JYskAJQHC8M9H5LWJgzeU
T3TKwu/LvasT566ow+f3hzn38Sx4BRdJLgeD09d4bGAFzRUfT57Y3m02GbTYQvs7zZZqV0e29zrk
Mj1QLWw+WKrOzXm/aIsUjs4ceiid6rGwehhbWJzbUnuZ02gn0yeZzvd8iB+Mdu6F59hDNpjFyfJN
kSznGl1E71kgI4lfwrFBXJiptnn/ZmLPejspcBNdk+UImOTpgd/vzLGzKbkHXjfoT0mskz+H4pjA
PkGWZtK4w2NqeNW6q9r+Rk1ldm2T27WPPTSd8yQdGsup3BgqxN5Pqu8u7rr0o9Pt4nJ7M3MRFfAL
UynAkZzMXHXY6ESoFqw2o0WboFUvRouTCVVZQ+CE99xhaVm7MqaJUYrkKRv65hD61dcYRcfsyBbg
cGEdqCKRtDppEnM91/H+jTxzH+lpswXFHkdx8XRBzF1+A9inKhjK+bucjXanS8SUYY5+ZXp5f6wz
t8P4pTG2l0Itu+4/PzTTgBQBYJGtfWh81yk4QFjTX5opLwOwPumWUnn7wQ7jzEdnGHTs2NGwYr3Z
Yvc1EaB1VHF5qf2ZiDFtbaLaoY8BpkqYk3pU9aA2qDH64O+v1TCoYlKRYoN4ulRacCkTXGJVwFnt
WjkDqPc6v6MaH+Hxi55Ig4v+ft/GgEsZwDQ4/Von0xjfytA2lqoCTY/UGkc/qoRStHeD8ougcDhI
v3+FZ6ZNxmMPtYQTsFlc3qzfDmqkZFlxUnFrxz6ic2HVw0ZXldoIFLH/m6F8eK9QDXXq/CcLggQj
3RbkOAWGX5W3oBvmVQ2p7iLpDOOD6evcOyr4oBYfwlLpP3lHeyRx5UxlIGiK7qGLqx+2rR4gZ9bk
zqg7ryML/e9vo8B0YdqGSfvk9AM0RnptZjOXwWzOaPzc4VPd1Ru5RNG/P9CZiZmSum4LQeUZG8fy
PH97XhL2H0IKjoB5ZD/Dwtp7s3p4f4gF83s64f0xxsk74WspBk2LMRD0G4uXUh4bu7E/mR2suzAf
yPr+BUMbaomFKY0eq6HGLW/Tq8X+llH861BDlgmdXmtEAYfXiPSaKQ8S0WL+sqz4ziTuiDAb4sZD
qZf7okGcxel2WiODDQ+x7dGk0Mfx1jZqtLp4441Ps18gtiqNJttVRUOaGdZYshqQjt5g/2Z3WGEJ
LKGL3MQkFe6NupkOuY1EsxdxcdVrdR94BAUlVdasucPZrqBWRNYFQsEAcSLI2mGWRMzFNmJhHJiV
JRJMpWm3e//2nns3LezMBu8JvubT+dNRjWonh3cTmfCLGtsXL5Y3ltB2ogCvpsE8eX+8c184e242
e5TvaQidfAt2PJUkMExlAABkqTldw/I+DG35web1bVvNolZKY4taJmU6/2QYXMEx8GW/DBCR30mZ
QJ0cvFeVPdKEvkKQsu5s82tUlx8cmcT5canSckc5XJ9uyHxZKIAqNjWRapo/xyOAPq+2tDuMLoQQ
opnhjKOW8PE269UmB3FFcxuaIkzg/mCj8rfTQTsIvSNMrrXKdYgwlBdO7ul30sH202/EYnFQH5EC
Zu4cbfzWIDcF9s4mMsJ7oJOQNWdb4X5NLYKPZhltU37Pps3lDzwfxm36C4kxDmqHo4v/v5jtddy0
6dbVXPNJCfujR3HuiTtwr1288UwUC+H79zki0Ru7KLO+DPT2ZaIduZoGHYdr23/wZp2bi34b53Rj
1Mu+yCt/KAPPXvgL1BvWAMK277++57Y2jnA5rZr02xzvZNXQlSkrRXhYQNOJfDRs1RzGn6sMH2rc
TB+Yzs4ORr2SMwuM8zfbXqdmMipzvhUtdkCSVfO+t+QOBSha6jb54Padmwgcyv6sFlj23mx+82ki
AR0VFRb1+s5sXKj64fRc5fWPNkGzEDsf3Enj3Hux9Lw5wCIhcE/7NHMjc+4v+7R0zGNcXqZBclY9
HExq8ZtKaDHwKtWuR+mLT4kewhqNMDVEVVJeeZGHHbuypkcXSxD2jDAitv79J3325zEhUkaifuuf
ToxE0zQa4XVFMCj5Q/jRU2z297lAR/K/GMf1OCly/F0sc39+Hk2vTbFEjxdwEpVUc9qXctKGTdXV
Hyyk57atFKcQbejL39yT71AMPg4OtJdBi2ckbpC4DuVdXdngZYwbmPUPRe5/UGY59wL/NuTphjWd
LYKTbb0IoA/ugT/98K0ccbtzrKv+gzPHG1iGR7A0J1KaZGwfOQufnIvaAUTSPLoF04w5fW1j+XNI
fGfd54a3pnwbraGNJqAF9XKbqMVroBmLMrNG9AcG4xm2evwcqiUF0cSxgKsNn1Hc1vfR7FcbryRA
CAy6txvdwXvybGZNoiwaBFNaMwLQW0qblflTHyApuJW3GaX+FbTtNVIcuYUZ9CPx+oEsSJFsiY8x
7yWiaxZ70/7gbTr3FfuLU5cSB+/taQM2z2XTlPgTglkSME3eO6HV1rMt7Qtqps/wnYcPBjz3iBdn
FkIZl2Lr6W2XqRFNis1QkChfQxfX1XI3c/rdiCjMw1WzaNLf/2B+aSdOKrwoZoCVk9JKGe10jY1I
nKJLmheBU8z+Oh46596KjQW9DQAirvL8SZp401ML5eQvu4AXk1hTdPjKWyR9e20YUK6//6PO3Hc2
G4sF2scY+ObI6zuTV7SmyIPMj+BO15NzVcZsG6e0ap7T2oD8AYrk/TGNM0VMVAlUfZZZ231z9o1G
e5ZkLzF1zCFSVhFZOwSpYteE8NOBmYoVbwrKSTvf+lEdw+xuMpwX1j/pJ/9jPVKcmSsXXzhyDINj
jnVa3ictNXIKyBX4llM4Jb98DYnI5zu01aV9wZ1xD22KGhmLVQPIjyKyoZF5Q/hi3N8OYtB30xTq
n2OLjbfZzvpntsXlHsjJL8dUtkPUZ++R5P+YEGMzZfdby0njLVpha1ODXA5iR7lk6HbuxosuzCoT
95koxxs+W0xoZP/Mz7HX+cdcd7/o3ZR9cDA/d/10wPCgu0uH/rRwRLktzZtWcP15Nt7HyNKC0RmT
54Swyt37D/3cUAiv0RrgRmfZONmA0HRSCjZgEfjEaGyk8hY33whLxY/z6Pn9sX49t9Mvban+Ck6v
LIOnx/9Sc/JuKBIOB70dEtlBwxiz12wZe4AX/aZ0c+PCqPTwth3N4do0tejObDUfIkou97IEPfPr
B/0fvuEDfAPFF9387dm9oV1dkdO3/I+TzO8Qh3/+u/9wjL1/UZaj3WfSieME5vBH/gNx8I1/IRi1
xa/ch/8gjHn1/oMs1v/FxIYfF7ToQriyvb/BNTje6aJBF5XGlcEmUwifLgM/5I8jgZsoO6Oeu4Sx
z1dg/OadZjZE1s8F4Ha7jXWOh7aBrNtoiW001ITrCERpyTG4mh6J31FqRf6uGa2qjBrYyjcmrFJZ
aI63dWJlG6D98guuzBqMapMm3XwRJvBJtmUj4bugpbnyoawE/ErWqCnmuHgNmh8HaUqS3FohgdnV
MeH0iP2F80ktesE6DSlvDMN4O7uLB5Q83r3bW7C37BELpFOO5SU/kxMB+gWQVD5eVLKyYdV0mjhM
3ZQaKye2tFIG+SSjrr43wrmDNQcn1VhNQJLc7z0Mewg9vquZT3ofRsm26KIRZhfuNPtLrPsTnh9/
IC34ompF5gky/JQcbpXpsqK5EV6ia1C4sber6AVEn9DIOTs9zwplUSQpdG9nNn2rb7SYFuoB8jL/
ZoR9zf081hmmRkfpzirSsoTNDfbwbB0ajRttjMGbhUfUNbRfqDWFE+qug0Um+lbMU3TTu1O1rfQZ
XmnjTmQsGpHyPs8dpM1taQzjdiiVu++cmZroMK4qva9f7VT1166X6gT/6ZEICNI07rB/VZsB/99n
ypogtPN9URf6lQHFce/5O1n3XsqGzlEXdQGu01LyFgG8yQsjXX3Vdni0tMkP73qMhI+ZtLPPOk5E
er8l2EIObGviQuwfWjmmn7ymRT7sjwqHi+bvSFtIsAn44gtBE3hpKZbDUK7LA8lq7dEKaU4ZRv6J
HKDsrh/bsly5GmqDclB7zRjIXENuO/oTQOaaEqnm+803uzLCTwU9oM1IAOIhY4Xc6kNbXLj4NraN
tIo1fp38seqdcqU0I95HY+W/OlGmSFxDW3Pba456iXpKKRyCJv3anzxSSLGQakdOt/xXIFD1uxp3
I2Y6NT8JM39INWl+gVcgCZq2stcEaeqT4/FRWYOwduzIrEOUgdR11FgcakFcOJval3nMjK1P4j3w
iDhqX+q52ZK+gVQwHsBlyeGit2L7Js+afCcASEAsi8IqqCMrO1Qck6/CysWyZXbetQFfLFyZA3zg
NMsP5Dz7686q8NR2VXQjBrsKYJaKiyHGrplTiwiKSNqUaGLjuutlStJ0nH7hieb7cezERVfNedCV
JXlZnCZeZdRiuQlJATwmtZhvld32l0UL9alIJACAUHrupyltC1LJNSJSNTEmVwhjBfGeuoPqik8i
yMc61KAAJ8mxdCJx03kdqqBaJM/4nEcoAlQormTWJ1cAp9UDPI/hHuO2PIoM5502Jv4Xzp7pU907
7QWae3YpY+emWCPc2dwZRQxgS/fDA+eRYc9uJtroqe/toPXZP+2+VntUd9PzmJq0jX0sf5ksDq0d
XuHJKTeU/ADV+faIQyg6mL68mJDAr0NfwJa2uu9dOcCWzuiX6hRcV/gFq41hND3I8NLdmTEer3l0
1DcZ2t2FroaEnLAJwl5pDXdpZavrmMJmUNWduAunYfrcVcn8aodGf8cNCW/GSnbPszsZ694aig3f
SbupijENBuKn9kBjHbygXQVGOKnzPY+dr0VbikluJr8LYsv2s1fAch1DXWzZBJFnXtQt/Ii+NLEw
QZtITezdXmObP2czhtsNI5V8GX3Cf2ySMzFm/VUcFreyb/1rszKjz1Qr8v0MrmU3gubqV/qU6FdO
kulXfpv5RHwU5h3QmI6Fgp79ZVUZOUHi402uOgChBh/qsesiazNbfoFhamjHQ5IZEQj1FF+m52Ca
62A+dAr3qiuYasq8vIAHlh5NuBT3zlTY5lpvNaxeyple43TA1wS7oYbP3KRp0EyN+pYRazjqKf7h
MfO3ISKAr2lHwA8BJfleUbV+MOoUEit2lmvSNpFKd2rG3Um65WNTdv71aLvzVd9I7UVWnc6KZgyf
8qRSEYHpjXtZDsP0HTAZ0vEsUjbuUns4wibt92FjUFWGyXc08ZuQCqbU02Dbze1oT+Fmsvp5Lwj8
uWNlk18cv6u+eW3p/pyITspXTtsQjOFH3wf4Klsrmel2tpLqtdddTPipNpQ52zWkEhzdvtZoBw+b
z4C7JO9foAAYcJ7BxJGBO2vpcRElPNENAOrogmHnlJyEaxsY30+8jcQ2+r169iKYFluriopvIoq8
fanG8KozQu+i97BYkZpZH2LfCxBVmDlxeKxvBLe1+XWL2vcm9YrmKiNnZtvRB0NqobVXYauBrrAy
+3rI3X6lkYH8zGnVAXTJwX7dWNroYVAbujsZNd4lJNvpBzTFvFv5XcJy7XOPwWK02kMc284XldC+
HjN0H/DAUbItkzat3XkOKdrqXnWz8DKvKUghsUO0vcm8HENiGtre3oVHs7wTsNzXpk/MZ2HQdB0r
13vJ9JnKXSJerK6pAOyXoB+jCFKCPgpSNn2LaXAybzlK6+soLK+WB3hUGF/2c0ve6FQmG0LpzKsO
YCTx9fi367gkZQ5rw6Prtfh9XS3fKVXZe81JS9q6DpwhZ8mszeB/aJWQh2nWmzvXjqxXUGy40SFJ
z5tu6P17w07lrlSNuSNnAK0gtDprXQARuM1ChaHV7EcffE3p7gfac+tBF5deWA9L9LGlX+E9uGot
Zzz6rUnSUaKpHzFMhBZG1uAHQPPdwAXCgbAMhH0ZTs2tJBkLtYJUQRqbZjBSdF7PdqKth2H2531o
1O4zewHzYQQdOGHcFO5P/Cndl4K03V2Yyc+2yt2tlvp3wgRawPXphNuyT2kCkykPi0ebxsdB1trB
ATkH5cFyiJhwNTW/JrIu1KpJwuFoduPGrljeaPZEvJpWsyvSzL4N2ZvuDPqDF52TWelu8Go33QhE
a+masK7uWoCs2TSqfuKMU9z0A3XZdTjr1p71rtz1Fo7kvAUFqiWGG5hV7t24BmAKeGjJFzZoTrPW
UhBVagqDTqYhEIDMxz9uEIxwsPOI2OdKy28HJN4EMlojgceuDi2o7JsJhUw2fHJqchOGmZhiR5/K
mzZTA9+JcMCiUhb6zsY33iLdMolJZ1qh4stmGgLCWK5aUx/ue9IPHvWsyh8tkz0gbsHZIsJVqRuZ
tf7FnC2K4MgOD7orYYeTayX0VVaxgq28PjwkXV/PmzES6TFtF2w/4s+kY4vpV0GhiJz6IYrUJbSa
NsRkeBzZlXcZ9jbJyq1X4xyM1Z2jNeLKsurp2le1sfFJ2iW4TI3HuCRSEL179Hl2vIvUch4iB0dj
ZybXZQJ8MRfWschc42uC5ntVE6KxhpyAdxGn4WcDqvZhQqu26gcwtqqDjSPF/AIA+lvianeepFDs
x72zyWcjXjUq0TFulsNep5SwzkhpHzkiXCS5UWzJAX3ksZANP3kWhFJiAUTO5gabNEnkCXBw2/pi
NISGjT0WyQjg4ibLvHoti5wbUww+xFYU1p4QclW5FlTOWIld2UExjcrp6CX9TUzt4EnUZZ6tCeCC
aUHk5o5oP4gI2jivw4wYrLmaiDhCn+4Sx76ak1R8mVDN7VO4M2u4Gns/tN0bwuWytXTK7Krk9XvR
KPCarh0+FG3jBFILp6NtkiRFYHkCWZaQ0dmrWeaamBA6BIy7qWnntWxCm/QlElpk1UbXpZazsmfp
dGPrXBytI8A0bcE5Qdbt2pFAe387td7+u7Twu3r5tEbtL/k6S7XBosfytgkRh9aUAy1NDik9VbZw
oxseofUyS9sdHBooLeqVEp5H2DeY0837g5+WVpbBHZrmlO9ICTZOXX9zUtbONMvkYIxV/TqndAeh
mMdk0vnZp/eHWqo0vxdWGAqFA38tp18Pi+jJAVglqTPGBUNJU5VbvhFQFiWuvR/vj/OmgrMMZKHR
4tCvUx0/1aGBLJos7AbRoZPhtIvpRR6cbiTnqkzaW1VnQFB6P9YTHnrxIt2IEzUBbsQkhPFyuA5j
ft37P+ntI166Kb9azksj4rTf0ekt5VhOGQc1wvjUi3rai3TgBG1BYzE2ehTXr2PX85yhq/xbavh/
9aMP60e/3ub/j6I8Uz96Raj0Uv5ZPPr1H/2neGT+i3fo9xys/y4e6f/Cu0YMJwxQatF/xIpScvIQ
ovgOTQlqCoug5z8IUEpO/iIvpm+DrZeP4G9qSqeyOPiiuHWXWYNKpYWg5+SLUiPBHipvjItSWgRr
AFoGtxzUdp/sw1gv6Z9W8QSnIs0MbXhMRsTMHKohTNP+kfYLOLjSNDbg/cR/sXcmTXIi27b+L29O
GTj94E2C6LMPpZRKTbBUh9PjTs+vvx9Zdd4tpepKVm987ZQd00QiggB333uv9S0wN27mLfgI0Mc7
2VUiFDF1YVwRIaeqltb6r1+IN80wAZkV1+Y6rAlo6tLQ/3EtCNp+LJjL6Sv8cNPFkpURucQ+XM+D
b95CFYmL3yyy5Fj/uPxwSSwNWKLwbgceg4A3TWQjLYBqUY9feR71UsfpDCQvaqwDQptEsdMrQx0t
bTbPIUovNVHBD75zDL1+iPduAt/kFPvpCv4aMGJsoEf2xEx3YLaCKvXtXV310z36UOuRvMBuISGx
qq/AAmAQSVIY4xsrByS9UWRnLZGL+ZHg0rHiXhveMF2KldwOc9h9gUNW04NTKwI9hHmf7LQfZ+V2
pF4lGZkjRBB5/CKctLu27/eMbOeb2UvFo7ZsHgIqExegX5keZsRzuFM6CFs6gMkd+QnBmyRbhWOy
s9ZPbkqnwPwlE/FokUe1bFIfwvUGuod6NmhW3CfeukpNoC8nsJGieRbDCI7Cq4WSdyzmfCII5LT6
OFhM77VacSw0dqhpRSatlqkEKrtbtDy+sff82Ws+CmjS8tzplucvIX07Mtixh8uiK/GIaU1MT01g
TcYnW3TcufQ1xJC0UlIldRNQyg44AjkjAJARm6IZ+LRND/l0BwuvKqE6KpNyCDqEvI+JH/KI36zW
OMfR5vtjtXNfsjGJP/SzF34Yes1fJ0oKkI9Cqox6gn/abBU3KZ2pQDee03XtRzmSvnh0FrMsd9xH
mqVuanNbUk4KI4rqTi3v5gWEO3UhJpcrpqeFPC/rT+KvNwe+d87vB/bkKqStam1Tzsk+/tBhvJEJ
CCojMCUkz4mXl3kWdBoF9hKZtp55CYvQ4lNqVIn+th5EsXNi2pOFqyyQUOM0P3qd6G5JbwVuWmaA
uID49fVLknXuzTwn3gdj8K1bsNPFPXS15EWQewITr3CCKBWV/1Il+fDU2GY27a2FR1aO5nTP6b4L
Iqp+7jikcqBsYvJoz8BaCMGGq7Z7ECn5Rlt38HlsAKBwe8e09PSd2U0u4zg3MSrGx72yLehMTiAX
e5vxRIovYznx26V244zf52ymQOePZfa9mQigTEvTesw8RlgRvW73pRUVLXJJw+1xFusvX+SGIk+B
uCto9+NSlLsFEuszd4aXywcNuhzyph7jfWsaTfuRs910ASDDi0AsCzc4FQgPDjltpytXLLLZxFOr
j8mQ1fk+W3vpuJUVhM9lJsgL0CgRNXXPVTxMfQtCc2IZdtNEgEEEn7mMqdPg5hKqK/RjviyG8cHo
/UVddySG6/t5CvkkxWyz/C7lOIfvU8cs80tMvstxKg2toniw7dMyMATcLHPJvdRQ9MheNseUgjZM
uBENBwZyCIJi2jusKiC6FCqw6PVBzieDHw7EIe+xN6wvRafpaGym0WYNrRzqybQ3LDsKrEB6H6ci
6MVdFocsFEFiveYUjdat9AJyXBkvc00jT7IJjl6is0/a0mPScA5Nuq92HHT5k2aFsCDixuRr3dVl
VXnBZkqMONz5BdS9nSDuAvUlj9O5VT6/eVdo6zbrFnt6CvpY5d9cvxJCbZyZ0LZdaQ5C3JXsP4va
iB7G1imuRACJkjAx0zxJYS96jdgASWsgefyUTgvaxzQJbismkx/doY9XXN87H+0s+Xdl3b+f69nY
waGUWx6MNrL7RJ7sIoy39srY2ZQpogQkMDNYZb90j2BZvVVqmCkjfUokvYq907heRRJaM8cVi0x9
aprA/NC6jYjs0vxkVEO66ShfSNeqANzJcQqOsK2Sz0Ub+98oEeNNZWkq1MK77ketqF8LPT1AR0g+
ufZQ7Uo2qW1dtfYlUHH1yXJkuReVmcSYbko4Jp2v78OE9pPf5JDuAPIWN2mTFO9F1vqb0Gy7/WLQ
zDeGCQ0nBD6YZGNzNxRLee06Q7/rR794YFlvPmVhL98NDoW1b07ZQStIS2oGiGNmdXUY0jp9l7Re
8R6BfJvsNW1+Uuk4FRS5Ws4FwWB7POcEPeA2hMbn+yx7g10/suk0Hyu3bOQ2W9q1A2fWTzTo11sL
EAdMuNtXkYcq/rbxJrJW0qGEB+e331Pt623RO85RrP4JEMTiFjid72yl6VYgvWaOA9tWi+FKtWV9
CAo145Iu7Pq0UvP2iWs9ZHHdHExG31sAP83HLNfNyC41eKdqpqu7m0u/v1WdE78jndE7GO2SQ1tC
GYNdd6HsQxR8a8hOXbFgz0cEZ/NpNKwQ8Ug+7uZWA6sTDjMxBlhHEhC8xyEdlq+mWWRXjGiWK11p
cit+fSR6o6bgfIJzgP8RdoVoGnnJj0ciVZfkDxdNfJ66Rh9zEn0jc7TZhBxDI+wwh/oq5i3/zRT/
TVH2etV1qo4/COIMg84fr0pog/Tl6Ib03VhFScBjYWg6wRnj19/uTZ35eh1MJriQOO0J7Ak/XmeQ
tde3IWG/Tr6eMHxTs2ZXU/PsTjELxr+/mG+aFrcTx8BPI3yLd9igx02YaTGGu7qWzolUuSIy0j78
TWX380GWeSZCNs7iJnqUt0WtSkK/gfQK4sqbrduK7jcU5pCEOOwZV+2qivr1V/uH661DbIvHBHKO
+1ZdhhOH17YoXdiVMv7w5xZUAbMBTVu1nEYILuT2/vqab6pXfju+3Fq3Ctvhx3t7WJ/LxOlC3Tln
DQd5oKFocvhhQWUHriZ4yps1QsGOjHLgz6aRsX38+gP8/JAGa6YuIj5KZ/ETfqWuHEjnRe4x0mA+
N47Mll+zvv8/roKWJcSQ5woqkx8f0SIWYxWnrXdOaBUf57RKaT79Vjv2T98Fd2GApzpEEvD2Nfc6
WyjX4LuEqiVLJPWJPZyYVf76u/zDY0Jehb12dfjx/LePSU5WUAq+0z2LWKfAe7HKgMgfIWPNcWfd
ds3EhOTXl/x5/WJNZw3ja6EP4LI/3j4ycRitFZ5zNuqYnmQPL34xB44iPQrlXRXMpgAXvfCI/Pq6
P68sCINCDAx8WxRCb78qftOUOQM017zn7Y4JFr3qPLJXloyQ+V9f6h++Ig8HWifO4DTP3y6WPrAa
LlWK86Qlge2lVV8tbdc8Fw4PTL5WcNP61Pz6ov/0/dAEB/hB8Cz+5FkfzLSyJQkgZzQAEMFKxz4V
ZiAPFDq/fdNfvUZ/69Hxqod0J1BSOkhfVnLVjz9iTbMsMFlPzotuw2CTWaU7bhBBFpdmWDSRi4VE
6wG76n4aOdeNnLXa20ENU7x3jNahuKjdF/iy7VfUtjanzqUq5H2Qe4y2f31bfn7CUYfbtNVYkTxo
aet79jcXDl3xMZ1J1D6L0uZCaZw2zxmZUu0GZyuPWhZyrP/1JV8DT97eHZzh+KdCINc/edCTgn5J
zB53NgKDs+4U2NQPIKC6r4FGsBHJJl6f9yy1blVfqOdhgNS8tdNwujBnUsxEQSKqPaek9MCMoJD/
+q1HJefSDeJl4Ld7q0s1VSuXIeCtL5eAQ7fpZp+sxLDP0A2qdDMq83dtnJ+eTY/sGd4GWjk8opAH
fvwRVNquh36wuWiCIL2aGcKlWVU8plNDNf7r2/9PF6NvBCMCx/zPEK5gAQWYKKjbExqA+6yijWu2
AVWOazZUSb++2E/LNN8MdSOBhva6471Va5W5YTEXMGeg6S6FZZJ2PFm8iFSJv77QW1e+wIqHJIzD
g8uXw5b35kEGC59OTBVGThBatvcmNVwfGWgQ8O1gf2ivmmygE+IkTnAtR1kCyGsAym9UsW6DtZou
kgxP5gYjxVLUWgsiMF/ro2l4tLLoetmoodbux6hyiuPXLIeuqsO6/LcL8av3G/cd+xoO+rdHoRRI
deOXbXsWyxxsR5A8VyWj00Nikk/065v208vPpXgGaPIjQQLc9Oa56xJTdMMk9VkDMTsF2KIL8O0q
3DEiqq/WgIHf9Q/X3etvrz7iFNZDaH78P7rEn36laikhXmvXOSMicr5hAx7O2onDD68NEc8HCUem
UOG+r6dJ/GalE28fEYcro69lcoIiEvvzq1vwb2udU8Rd6uCDO1sWnaQFZQ1T7vYwQ6OzRYRrI/js
WXnubIe6tdrbkLjMI8TtJD2iuqhQJolsvph9SRdxydd+jYJBRWHRa/68+DxHuvTa7IALNL33SZWq
+JeIVzmGILNRmCC6qx/crF0+IOpmuzPYDA5zp+G3D5rUjY3wWga940RrrI1z+n45jaN4k6ohWcXJ
2N1u4JTmemtaefkw0m241V5nHCbCPe4hhxgLqhqY6XSxqwXvphImOOTMBGzsuz1xN45urrvc8cmM
KzBgbmtEAxTQS3qGxGtFzlC4hK/0llTMRHsF943etzmM9Yu9ZFXNOwPMhny+xiqsryNJcDTFjYz3
JZyatRk6J7m8H+aJP6/z8vrkAV9HT65Bux+hGlAVVQr83m5R/l+HzyGP6byExXquUQ3vmqwKd/5O
tzwdI6Q2gGM3M3a8/AQZa7o04PPlPQbDAsRyoobuobVbfhDRwN/a1VbZ5BcS7dgvdN8hHMFnN11y
0DnXiefV+cVvrPYrUi2+xWhn7vLN9qreudHKWltRI6TgzWSm/EW+uvviIj8ESsAoLtzlInOuB+7m
QEcDWQFcHYKF9h6Bn+WWPgidq26RNMIDlEr2brBj/kViMGPr8zLaFTOrrDfeTQSLLJHKF3at0Kwc
WjiysFvys8fB7S4oIGS7zXlc5D31KsJUa/ZJlCT41DkNg26JDui7wYiWpmrAdIvVWbokPEEVA350
K/6Y+tfOEFvjSRK/FLOvWkN6W+uCnlYAYWk5TKj4xQZCO13GpDcn/WhVLoIscoZ4wLAegDg2Us3e
8HoOoGfP07ckHq0G6dX0zSzPt+cr+JAT3ESA6tP3sFvi+2AZELi+tuDcoufD2HKyHp1MuC8pEaDx
rkXe0hz/fK1IBV0zHHlnRt/Ogpc10xCcuwv+xposmR7p9tKbF53DMq49l6dIBR6VmSxc7qto1565
nbX95zmtx2E/pfTh/xzNAIx7iV17PUggMqQfx/z8pbSytROrac9vGqzwx4nwliV63f58r6fJKOld
+dcugTIELZrplO3h/ZvtVRkmvKZlYzBpKGaHG+vEg0O6eyiS9KGtFB/EQr2lyVoSLfhoS02f+sm3
kZsVvpvnl6CGeXHjToX16GVZ5axBTOn8LTCYZOyyQAnnYbYausBy5mwMA84a/ZL9mDGArIkgoQ2+
DR2mOTlvcGf7TxzMc1ikru7qhvDSdGiMbBPHS0lv3igQnxW6pVsP/Ha09nTQloCWRIbeuDRNIO2E
OKCloEG29EM2/rnj/++c9DdzUhzQ61b9P89Jjy/jS/qDxP6vv/LXlNRynT+ozKkbfpLYw4v4Qzir
Q4ZnlzLBxs3zl9JeiD8Ipub8jv7HcbCwYc37a0pqESlthlRy7Ld4tCEl/pspKTr9v2/daz4iRfCf
OgcOdE6wniv/tntixiyWjPzVd23bNP2mWUoSkQaLz0mqWRleN06iHyRv8ZfGzwWCuNy4iFDN6Jpo
ckZFGrgRWcNoj02c91vDs8h5MZqdOw1AyV/zSjxyEhO6sXV6n2mMKRujYe5Tyynf944Qu8ZitikM
BisA0MdtSrgpOWtzflkyQnzCBE2JtIz+W0XILX54Z3TuUNwyYasKtOey7caXMGnmFx8BfrpNJLeN
NYKA7I1G9bT3C1MRzmY0n3shsxfyR+d7AzE80LZsfp6Zs0Zhk+R+ZOMK+jboxEInWKCKFqb1kEjv
weoMnPt10Yr35IEtvxOZvPpG//v09PoTIMMg7Co0VyRxsJq6/vYTlAAHMoN+0btF24Rmke+9a8TE
uTqsJ4PQAKE6f5OKMrxHRCnQfZKKQHYDpUyE5HU4LJKgPwhy9Snk1QfMSHCKQGH9lfOQ8VQpt73I
GdCqm2bZTe92qJxe/W9FEQcHxBXNvm/t+i4I9PuuIMHCbcZrn2PJo5Di4Mvwa6ZQD//tJfkHWQ9x
nm+eO8cEIbZ6i2l3Yvd90xBpMGwmsdlU75y6jJ+t9dcHoGJ9pJad7g06oKc+IxiqzMZu58iKmUdp
dMu+JTfsZuon83PD2J4ZMOequ6QiummsyaGNZ/6kbCG+4cpm1miI8Q72oXVtoyO7d4P4Q+JwBA3T
tPiQszdHHrOuY1rBl5SGNg75YHtbjCOkd5slz7TdmcOVudhfK6+/hmNrHbs+do9zoNtu48T2Np3m
fDe55FiaTSj3bvpcNMC3HKcev6QSUWbR2eOXhjiqkz/Tn9adhSRdSqLfXtOwGerxUua3/mDwMgFI
RAv/1SzTDAAAA3EODURVXwUkJVLEAxncpuyfSMcwLZqLFhHM/GDrV9V0mYjCUgxe0uymlLa6noNC
PM3My78xIyAgqBo1mzc2HHWcFt/aV7Jtjxzw0qui68ybeB1oB5U13Lg5A8wNk2jmekou2XHWMltz
1BNxMdKO8LPO4oaKNNmnRAcfR3d9N418eSiHEdusRPscJnlyjZSPnDLK0d8Ye9+sWdTuaCOA+UEO
gHkEzsT+8YURCeGeyeAbF9mZRA+uEWmG1RLfNuEy1X6P3Sxcnx1NpscowMW1XdsQNzDO8mvW1OvQ
RcRn1ZnqyVdOsy1kYXIOaT5OIU4h1Xvl+1Lxr+SDBhSYDXZ1KPjtr+sY5avZMVBigEuzsKzFZTI1
TiR/5qsSsUyykiRBjOVqRvPpkqzULISga7fprJ3bGYLM0x43RzYNRFORCfnw+tg2mQqj1yA4RALW
tdXU8XckoubHgBC/pzCz2qfKWNRt2qZYfxgrcQwglDD9XJn5QdXa4Eg6Mcra2H3vHZyZOmaXBzK4
C2DlzL8pL1/7Fv+9Xq23H1dYQAuYQm61HK6v9t/Wq1FZDBAWHV+EbjwDC4+PW0kr4122EHKurUyY
EUNw4zGbU4T9Ln795mbSlcQtZaZsL4SVcmdEAdc3yIfmJR88kKAhgtUkWjVez9qZ+TIm+ZUn0r+N
3zUV1gL4zRegVc/HgpVFk+xtxVgteastjr+XwsMBPGXWdKuaJNkrLy5Q/1SsM7HC1uVC+wXZIsnO
8wIcXGZsuleYe+LvvHtYacVMBQVB49obp/wsBYEbe1UE8WPhKwo8WSWkDf563Xzdj99+dp9SDowP
xmIMem9ufqlTvTije6l7YtI2Y9vG33ma4+Co0Ud+IDBrucmmFq+DvwaAlatQRjCIPgVNOpzrNaZv
DIWGPDPq02sgX+eV4SEcnQ7Xg+qrO9hE6bWPeOJ+JPqVkXk7tt8Htgl+otT53JJ8fDKXhaBKhqDT
fe+MOal/g4/KlcqLQaNmGer7+ElIi+SCwAjObarELqZluC9aGypcIadnxiXLQY+rdhhjGYBFvwoY
LIrpm/UaaCZKh6QspLfWbrGbcG/X+WeLUX8r7QpKf940p4KK6Lmi3XPiTIA2YX31Yqryr5h55LBD
qM3Hq/KYcZAWF47xc78tkXNFIQKdr2bTLvvMlPEzT97wzSnA98x8+lORoTHtUSXdOCaR8xtyV8QF
c4u5mg/yR7NZEUqO8tKPfpl9seuyPqlETqd8JKtMM5qNDKcQ13Ia2y0sw+k2sxb2kl8/CBwS3z7F
aCY5M6zDktfj4JtjA2t12bcwY/CgWSSiYP1CJvO6NhfjpA5zTPKZT5hmupGLTPYcxZoXDyv1wwI8
LyeSqT1JQ/mUXuQRqBT61GYuzTSPBiPDIp0k1b5T+fq6Wj45caNZvGf57z4jkRm+9UitjS0Mx9Lf
tjIAuIvbsbgZqs7dkRc08xw4lY0+xy7iYl9YcY2BZSn7Y5AY0xZNrX+anPL9NNaoL8iOZYhtiPSw
Rjk+0HOcmdX1Zv8VUyhLZF7Jra5hjhFK1JI/RgilX6TrkXP9XYm67Z5QQh0ZHOG+QI617EJ7frKa
ptradWAzT51lieuTFwIvPg9rRqJShNrY/wLrtNzqYcjPECHMI9qk2dh49qIOixKyvhEg/8MIEZX8
wD6QfsD/URSbpRntYFOnZfbUMjQgUC1XXnIEam1OUWmzGmxaUp6/GjhoL8YwrgccPdVnM5jYqtrS
2+plnU/YEt5kh1LM5OvmLHlF3XKj4IDx57jr2bZnKZY4CogSdVaBOlBj8KEnwhDZdRYrsz+TEZLO
UWJ5TX5loI7h+BPODwmIFqilSPc+w8BhXe0UAISZld2MDIrZ68Qd8zO6rDxYed31leHMOFNgiNsf
icKC0zyb/fKQVSFWLMvPpovmbHnsjCpEAdcuy3fh5cEp6BdjV/QlIViBF+MoMPUy7kBdk8XZeqmM
8Fj4m1HT6KDfxSkTOYzedqGbGxu3ic1tai/Fdx8cWVcr2tQux9Z4M+Z+FRVjXt76Pm0hUrLHiM0g
5M4QmfHw+iL9b2X7m8pW4BIVf1tz/kEB3FJy6h9q27/+0n8UwOEfVKIhIkWKZEHl+B/vuPuHz+b0
p4T3PyWtY/7hQfJDTg/Lj313vfh/zOTeHxQBAoswFMWA0YLzr0rat+AX2tC4VxgIMj9ey+63s2oN
2Fz1LMnEuZqTIjIn8QaO6wjYZuomZ3g2k9JHFOjWlxTK9e0CVWKjAsR1URX22c7yU3K0iWudd5rc
yTuJxSrfeAaqp9DXhylM7XNX9damHNJGbd2AWRfK+NDhpUXMuSf9WV4NxVhfm0loEUIpiusG8/S9
X9vBoTRDeYj92D84OT62KCkNQqgwMxyWVOpTzkDkpm8x6i0w+w0UWvSSSScIxJU/1eOnvPRmXDNI
0CKWj4HEQ9Edh6qOL2ConBHd5Tid+jVseKlf/LyA1J/bMe6wKaCScujSjoM37fN48u7GeAro79ID
MCPJEn2y5tg55sSkfRmx9nz3mzS8s7MqONWEVX5LJhGrSJaNdZ/KpieezdYXp3XGc5bT3tjM+ELK
yM7Et8yszYjc82XTFI2t8H0l3m1iVskVyYLGFzy2GrdZU9OSXFR1mlP1ccB6fcnGVX4og+G9bLru
XRh2U7kpKPs/r7rOj9rAngCozZk3OJqzHn43i28fVAx9ad1vhJniFXRDinnmCPpFURH02J7HJ3we
gptcFZ8L9rBjuKQdaaBp+mUx++I6NfWdsSTuOdddc9Zk1Fw1cQE/xvXJhZ2CVmy1xzEFo2kvNL9n
kn8kflhJBLSq51+D+YOR3i6uZovAbF2XHl90CjNoN3F/baWuccxcUx4mFRePKDbkU96luHPgAhCY
ME91vSuxl1pbZrakVjKrArie8uyRo+70Nz17DDGotWnnpDajuJbruYT0eLMllpDdsVhsFl9UruP3
NBM9R7FpHWpWBY3hJpPVfYo+lTPL7F8nVEVbdyF6U+igvGkIZqX5Qqc7ysvRMbAVzf68wQOXfIgx
L9OFwCn7WU2jQzIE0r+DXxC7WSO7XIlC9JAHsr63NceRW9R54UMSz+TXEXdBlTJEch62nnYJmwuH
LxzV8pO5irNJZDXkdmj7+eBwbLkiQojUwizsqvdhncUfjdJLjHOshMp2YeVbX9Votv1GmmN/GZax
jnfDnFvPHbCGKkoq1T9YfaU+acYNNHNG6yXXth5wSXbzpUXtFxwdO4cLqQP8aKmY201Y2jiR405K
/JmxZX+wB1NeKTTfn3ugB9UGFsKcRIQGA9VOquBT5pv+DaGns4mvH04jG3htRDNnxXLjyGIoyEhs
631Ar+KF5nr4HuzEZ8Mcm63XaPvG6r35m9voGaOhZdUVx+G4+pglfWuRX5jR4cFjrJ87H5TcZvaz
hiCcutuWxoDbruMIeC3F1G2bTj8wTA8xUae8z9ok35BuhLMLmPxEJWjazTKsJGunSbeODPvdAhD4
TNi5f3bNFl21LbOA+4B1u+57VjRNmEtkhOB4h8JJL2Igd7FOzXzaGmEXOzvH1+azgHu2WxwW00GY
lNJhRYsCd2tTnJLZVre5EzNhAkDTXXQAIX4TczR+ytNMkVxs0QJhMYv7U5xMHPIDY2w+gYhAyOcw
yj0qE+kbc+q5vXNabXypXZ+DD+HAA+7X2WBxWWS4qfF26g3ouAEEs1SfvHEev6lCjs+zU1k3NvbN
cteNJLND+pzJnA1jW+GmC+N8G4iGNFo5Qu4Uxigiy2zeJXnbbDFyjVfa02DAOMJtvco/O83cbQco
ew+hbAuMcWl8ynKWzdpy1GEyy0esuv2h1fj+Uqb/A4YAVJsog+cqCrvB2ylzWr4uqHbL3WB5CnJd
D+ihlgOafDPI7ibTKob+iqgFD84rRNsmfVqMBO7djCUwp+qfc3y6G6ltq+s+9oRTZ3fxBKBAhJl3
Z2Wopher0BevLMyLZ/nJPcvihB4rX04Y+T64TlVdFBP8S2+1sdiYaRZ/GCm4PtpMn/oNpdZ4lkz1
PgSVJ1ikwF9diNau7s1+Ku/xpWDNTkp3pWM4DEzLNqqHRewyV5PnbLHbRVM5p7e9CPu9Cgg029pt
Wd5mocnH9XJIlW0huTHMQnnVKWM3Fs2na0T53t0ydeKG0jVGzL108Tsn0N6JGNWRREyDyZMcYvnN
Xoz5rjKSvjyQCFsz7pzj27BumncLz/gp4Yt/aVK1nEYSbQ/4fPr9FKvlE9bcCai1MghWs4p5nzkk
wU5WR6ZPB4M771zWoz61lisKISJQadFF5Zjdq6JHSK2EfRfT53VYZPP4Mi7xqfYyccPRPSH8fHGo
soK+vk/Qyh/W+/lIxqh1HWYLXAzH8Ilm1cZdng+DvRNidB9IPJZf4w5LQToZo7HRasJe5JrdzNHb
nx9ErsdDOIfhabD69oOO6/J+sNzhyPvkzRtEAmRcN35I8TImyKqJYTK3XVbJMertUD2MNq1CChub
4zalxk66qXnMVOHcEYUS3yx+OJ1aNkbaxdCYqjD4YtZp+MVqbUHWK9moH9O+kJ/MMc5PbW00BzQc
RoCGmaWGx0+ySTt0hKM17mqfDll+Dzd8/NRwYN/mYEafRZ2SFj8TI9/JddFE3EkVtxBQsuyohEX9
rprDjzgpULMPJCY3qJZVb0VmFQgJ/GEMn1Mjzt8haGjVvadBGh2JfFTGZvG83MWyYSnzWnhdyj4W
WpWpNnMn0yZi4+fO14gp3mmVbMloCOa9LT1/34SeH0k6HnGUJSPFrqizq06TjHvsO0N+dBvbTV+E
xyseYZow3Z0eF2J7N7k3qcW7sawJ8+6hTnJadWceWaFz8poqrEUvKl6eOfZOT3luVF+yYRIfwq73
Hy2VENau0kdV+fOutFV58lULdL0fGD/X08UrlmcWwO9OKl+yznv2+7H/jHyZE4SjYXS3bv/swzU+
en5Q3Cur2I1OaVzz4zDe1cRvVwzZv9uLO2DXblQOYkPZpOymfVocNW7gB5t6bo763pFq0+gwSR4D
r9e7Et7zg8RCjya/Ht3S+LMN8b/V02+rJ3+dyf3Pc8GbuoLL+fKjffL17/xnMGg6fzDD89Bnrmps
VEH/r36iSvrDpLeDZxFiMDIeSiUGbp38v//HoeRiSoR8DTIrxspVIftXFeU4f9iIngGSCEofyKH/
ajDorNPHH7qkODeBnfKfjQAeieUb6dXauKavOMs7v+HViwqjZByNjMqNXOXl89HH7FXt8QDJjAfR
bm4SURgMBBP5tY3Jmt/4SSmaCPeWmk5yUWUFPsP3vjC2CHdllZIr6pTNfF2rXBdP6eKo67pdzK+Z
nUzhxiL/m5BhzC3zegga7ANpzfV7v+t8cWpVOAznyU71eEMPutpJNBscm0RBNPns5TertiOy+rjb
MPi7hu/XMAxsgiSysmoRWzXrTwMneVZpWZycYTJnTnKB9Q1hXU/658pNDAMMzzvIXa6MHE+mN4BL
xxOQEP9owE4/DXWZNRsQO9PDoIyDyHqxrUX4NFYTARBG0eENS+r1U81L9jS5LAd2T0Z0j3VKhhZa
hWyB7mBtx9yKu21fF7RtNzQzXbbYioEpkAjdYvqP88Xa8Mtzl82lp/QSqXt2sqW9b5sx865Gy3e/
cEfmq7wNs1g/kumwnDA6tYZz5etkyneZtjYYyrypOeigkcVOTGK8qcktT52CXtpMXV7tPTg9gxWN
jpSdfSSvQaKfi9qcSZV/BbwLW8cSWZxeBQAvmfcZWzwUSZwlJ6vMrXCAmUIegYcSgZIyeJX2+H6z
bQRUhMEW1qVtGTIVYEGnr5zqm+z7Otr4DucRYsytqMBC41UqY2vPgr9qsFD/+B+bET8MzCBysEeI
CmeUPYiqfJ3H8CuLPjulTljZBAbmDxys9c5MOT0SzD3e0VWEDZSmGY/llNfbucmBviKaOwdZXu+S
xFz2S0psfF7LOyttpkvn9U66jY1CbNMQnkpUqC45BwHH8sixuduRyIL4CGVrIMoPuugJfKzes762
LzVT4y+iU5YNIKH1XHb7Fc4VxEGxSWBd2puqDa1za3fjxrGTAh5EmllHp+o/yQxtV7TUjnu/Jjq4
FGFNAozcMa+SzCn35eQah8F2qq3P5W5AozUHa7Gmh6ruLKCYOadKx6LTVqpg7DcEBedX8D3UuOas
DZxyveo0jCZlWBdnHIi6wrlGZracOYWZmyUzgdb07EzaziDUlda+L5JbT9KU2PaOd43xAJ/nlMef
OBOE0O2XgarSdna5yqtzb/nNe+Rvt27luw/rk30HJO6/2Duz5biRLNv+Stt9RxocM8xu34cIxEQG
g6NIMV9gTFHCPDgGx/D1dyGorBKpLGVXP1eVWQ2WEsFAOBzHz9l7bT2gI1BuHCmu5pQDJS/tbu2Z
pIxTaHKGtsxa/1aR1XFd2Vn0OaoTjEPSwmumsnzf5k69mhIn2qWpynYYDwD7y7p9NQakfbXT+PeR
pcGkw+l89DL3cTb069JMJSG+oXPMZmVDapCcutN2eLJlNcSrNBuH45iYxjOR5uMIaGmuYBvkunkH
V7YHrtWa3zTXQ7zecTe22Zx2h77LvyDu9ddNAhYt0PpJ+ivmVdZ9TZs3Xhuuqr5Y3hQ92KlFxnuV
NfYfXbH0w/225WfU2gFvItY4/NUr2av8MOhOdZGNsiCaLk03uB3HrVlG3n60iS8Y6lJ5q95BqNTZ
kWCh911yKfy4f+gW/l7O/XloR3nLsq7uPGM6+gNdIjsL/b3mxrUHXES6F16j4TMDruy9os2Ib/zc
S/YqrMpXelt+kOuUPqsa4ZCzmSqLyYYuDqGT3nVF4x0mzi5Bxuq+F1pVFysxTMbe781wPXTzJ0+n
TzGNduSuXFcmpxTh9wpAlfl7lUcQjeNeC8aBSNwA54/9bHuDj5Cunu8qGmdrjpPDUxbDSbbNlP56
XtPpUO74RRtLtVGG2X2LMmj8mS3nTZXHLTJIw/xsoDG9ngXtKDV6881EXPtW5FF3YzRNfUkqgX4P
K2fO1iB4MrmtqjbaEPGuvyCOawKLgMm71NKqbj0BgcG622srC6DMt3GG/laq0n3GUj1rROw1HHTZ
ctZxNym62lE8BGXFzu/RxV65nnKuDDlHa55IE0qOMD6huq4vvcGOLyq/qSneYhV0UucgOPnx9DWZ
mu6e1AiZrqURxkFLejmnHNECHhsx6woBn2ZupqlfIxv8WhSJuQE34nOKNaoronvStWbK5oj7eLjN
XW0DeMu/knjzEsbOSRweTEfLrmJdyEDQL/k9b5XxkIIOv3Jrb7rXB9HihXRi/87yR1qFHrSzagwT
aFahNaxVnOjXjaqzpwLu1VPklc1N2efhY52FyWU/YoaMoT1+EgxlNwQgpbupUdMmnDq50gFeYx/n
0wK16gy9O5T5rGqSvPtPAAeAByZWWwYaUK01ppiKo3Gs30gIkubGpb9xUZIE3a2LbJgubXqH2Tpp
hIGN3DK5j93w2Rpde2UrXIrTWEA+SqnAL0QinC8GP19bV2GZ3OBIGtZOqvtP02y3e92aedF7JY29
VRu1yRYwnHN0IaU+hC7ynpWGZj1bRSGNisAbxmMvq2YLfhFL5n9GC2WXdNPfFcfI9n9ZHJ++/tG8
tNn76vjtL32vjn37N1NgtPmRIPJ9uiCWwhm5nE4eF2l0UEL+URybFMcYEjyyNhaDzo9sEf3fGSkY
H/kYC8ycWtMiuJWifHEAvR+752av0YKI1dGEMK5ieuqcbllFpiXTqTzi87cmmI3YvGJQZ0sfI1ta
GvbS3GiXNkdeeHQ8Sn79RSHhXAMpc47juTfSLW0S49wxMcxG2yLc7j9bS0OlOfdW1NJm8TsvORlL
6yU7d2EQmS/Kubhd25NtnrqlXYN2V2515RX0g/TyplvaOv65wwPZIntspmG4WPyy/Qp1WflZlwOs
Bz3WkGgjZr3LiS27I6sbPCiNpBbQxA5GWXTjSHu+o2fV3C3m7S0ANro4YTdutMHsLrKaqhBDPXNj
R4xotSz0egnI0oc+SccXJnhEVLdVyMh8RswreYvf4CKLn2SR9dOaDaWGDK+MrR+7VH+2jO/s0Uk3
SrcUz6pejscGMdrRk+0nSFUIZClAXQoIKsq1btbzQ9n12VoX4x/ZODbtylQZm4CmkqNMSuY2ZW23
vzPNpwSQfIef8iwtTt6g4q3WxfNFUyy66ZiaP8iV5y7aYQ9vF3PzG8NvETDk0fWQpemWIWgWzLGd
rltcfnt9qCgn4rI/lppITrEoMPt3YAzu2Rn7bUaTmLzkzLj2mrHdT0CdrlypD0c2xGnvCcd8gSRc
XaS+6O4dz8gZHMNx25RG3RHIHBveoWBLukJ3rG+lcLUAz3N5q3W6ed9NVveM3S//Nhmt/mCoPgkc
DkDXRWtrJzNxsYHTieNe0aoFquSz5XrFZ7NJ1FZ4TMVL9moYvBmGFx1xi2Y2Ix32tr0GAIj2f+zG
tW8qsmdSFg4QEPC1X0wzZa4gG0HPQptN8BWEdGQbi+ritmyVzoDMlx0OyoJYaL1SWw+/1YpO9Ysy
lHd5Nv9Cj6hPViOidV/qBaX4DL2ijcbtKDR/3CiK32ONHJLwqNrb8wrNv6ZllN6grStZU9F8ncEl
rFepHWpfPIZpxSqMWuGv5ODk4woHcn9ZJo7L/hXHFwnnyhUUijRY5NOfE1HoT82YjkfHz/RNbLX9
VeLWzEWqWqrbBk3Ts8w5rIBzq8fL2k6iB/Rg9rUnLRrmdbRTymWSorcdXXLOhpltdqAIFVkPrMnS
ZWgiUZnHID4CpwWNTteu1JjIMRo/mGkaHkhcag72xMt55UkBd44KgFMuQ/LikW2kpq4Bf1sytd/Q
9rc3iVbrV2THQ6ODhEs/iab/pokneV1ERXTdxJYRONIxf0cIC1qPZ3t8asPYhezn9dM9LTQTRVWZ
owRIRbynviwu+pnOF2JKdwhRekhbbUtQwlAvMJGuNbtk6q7BPnx0RQlo03WqsF5bUobsJAl0yLmo
XnOBRowatRivzNkteMtndpIFKUHTj5FqW3+TYiQOaRmQ5m0mIqUlm5bS2I502IpV7dXjrZHr4qlp
w7JfR5wHarnNnYpx7ZVgqjui6zWjAizZlsokKnyymiYEo5tR71v9PmwnY3I+RW5Rd3fdMgXdV4un
t7yYa6PV5nXnpcVYB5YysuG+ScfI+2JFnBfLdYwaeLA/FSjkiQfwajQjWzJzu/R1os0hsh1666bh
xUXn5z9Nsr+pA2gcLaqlf90ke3oBJlhGXfUOM/b9r/3ZJ6MZRhAZDS0b2jY9L+SGf1YChvUbYV6k
gP5IqT+3yCj/8Ori9lwQ9v9skdm/kfe+qEYXnMMivP93qoJFGv9PKR5SeQQORC/iS8RuhODgg4R5
rmbZa21PiqvKwRuVydjf0mfuHPgysv39hxvzF4LpDzr95WI+wQuUPb7l8HFpCf4ouozs0crduLNu
Y2T3z2d0zdQp/zFLOpTiCB3r54hW4ou/wHP+F5emxa97FFYON/X9pRMtE2PH9Ot2Ri78XPoNkJ83
u7yLtPrB9EZeoK3eLAbLcBlM//ry7+2My20mCcpAGAI8hC/u4+UNM4lKH8LJbV7AoWd6uMDc9K6f
64ukWi43Ft7fedk/mAq/X5SlYi0qUUFL9f1nLusy7KPaN25tEEsPpemZB6NwsCfj2fAf6872jvA+
uXgvekxMcdd3r07dJrtcc7gP0qEDADwR2EOrNQw/5nm2XnjNM/sObaWLSwV9EdbVDGtq1dYQwoOR
dFbz7QTyL3NYPqjsz/eOcDLawQQ/6qb1wQrqDSCeCRs0GI9rrJUeW8OY01nl5YyJK0+I0R4zu339
9TdGrf/hwUARhDCIYQUPBv/9/uY5mk6tZDeQaIQSDyiXk510y/gbFC2JJ2oe72wL7Jrt+lQIE2Tg
3a+v//ODCdrkbEHXfdbNx2dF+X5JZ2oUt46GTTBZHpjJhz8XKSn+Rosu2Ew+flaYnTxZS8aP+xOx
IpzcrtT1Xtxai5Fdq8nO3apEYIMLTRNPYmZRAOkYICMdQtoaKzMPi5aC/k2JcPibr/uvPrhJoIdJ
WxwC8sdVa9Dh8CUq5du+kzwklhvipzQ6OFKrZHGE//o2/9VD4rLt8Vzyb9f+SBkQdaonmqmMW9wQ
XlBOMR5Ii8yCyx428WXRpNbBVG11yWSMVY7RSJwKZD4RvXaQiyuRzugOHfh+4MvHaHP2c5KC6L/h
9zBJYAwsp5SnzPbKcSDQhjP934jBP0Adzk+6i/QM/CGvCk6NHx6RNI/C3pt8cRuGKcenszv8vG7G
rqifm6ageewN7Hu0XY4FzSyAhQRbrAHLy31NzyKi/CF6nannjNdRhHr76jVwG399s/9iF3RNrCCY
q/llEeG/f6Y0FPOKFFBxa2NJRpO83GZRwwkSeige5MIR+/UFF/3eu5W9hEhZHu9cHWe1R0n3/opF
Fxmpnk3t7bCw+c7G2dAf7RdyB2AS0e8jWcV08JSESYjjUVfojFYDGLf7pM9ApZnlBBetwj2a6uwA
Z8c9ggk2zmVNnG9Ry1uDDlgS+8dWuRXqKdM7nk2xnPDQE0245H/9qfgEHz8Wn4Tv2WTlGhjXP461
ZiQflNFTdFvxrkcsNM1NkMK7vJZmPnX0AmM1rFNXpV1g2FrurGFzhTGn0yhJ0W/opr6ecDQwCDDU
Ri86d6vmSFvyploG2yXhZyYAPjvEiG7OiGX1eNA+1VoRdYHuVgz0hwh9IA4VVM8BlAqeDHrUtJ8J
VERhlebVyuKMdgs0P7702gJ1VuFVJ5WGrgywDut4Shi0fRaTm12Lasq/6FkLkYw6ACz7NEOAJvog
fp3sanIuuglcGKadDvGxbxfmSpopPUo9hiw9Ak4BT1TRq7fdmJaFcl2tfkQklw7g4FwX/Z0kekKm
EfrexlBSrQo7ItOaWmVq1g5w9z8goTbeuiwgMuznce7oJTCEbg6GnBLtEAJuORpRDwmkVuEFbkP/
fhoQO4BfVxgL6SAIi+NcV9pr2aIyIqAzqusbRod5s8aOE4eBlw7+YxT3vHYz1gihPTxyTgU2QRYx
uhxKA/h6QEX57Srbfmk5tCXr0mO3oQRkI1Yw1u7e0E+TS5slCE2Iql4b5haTqjR3lwlC1vNmFjHH
Y7QFve4S7QHjfLpyzEoetRHf3jaaqiKma56M3sGKkvikMr/74pWZU60iI9Z36GyaAO5hdGoMq9k2
Pq5BCThs0PX5M6qt5IKT8BhgfTP+gNqJ3BpN9A4lbbg1ZrP6vfBb+zM5l/ZKOqjHWSjj16gP026F
gL8M9J6vB51mV+6aqLaDQrhYDTgJ6ma0CsuRUINJ0yac0d2rJXWHHnUS1Q+a7SXZpSq9NrPwk+d+
8eAyCdB9FkA+VW5QuLhESIadQC3Q0mLEDMYlWwljMOx6nVkJUTQrcDKTQ/oHc776M+4KDp0FHPCy
CdBoFd5W05fiZ4YnWWUZX1CJ3/NSjzyKIXZw64XBFBjYNh+wkRQEAX4a4c6p1Rm4VJA0SqSB67Ov
+IjPd2980dgTvEwtDo6QCBgyPfsNBrm1I2a+VKYf2lrXgb8NDEDqVXnmYeImekZ3F932rjczUZuc
xTROemOU6OCdutxjNyoG+wVEo/84GKB42jleCNgOGw96uSN+AKbTTSzbleQJ9dZFsXBsJmnzy3Hi
qC4p62ibLRClDAfYZVZii5W6vfyhKvePHT5+NDnKDUNiKvyCsKTFQLqK5pGJJoJhcTL0hRFGaBS8
FM/m5jQGb+oV5kv+RINr5oSYkS0G2y6AAyafR38RkRC4x0s9AWt4c94jqeFg6Nu8RF2ER/uw8tpX
xsDcSr8BtNu2Pf/z/NsWpJ2kK1Na401F2WnA5UymG3muRTKoVM11WWTNPooUkTszCCxlURlOxiAe
lJh9xuQgMvqE44aZpwwXFhIobQ5QBdNSPdKFsl9EMfGheCS5Uhar9hXA1njHjLh9fcNgRCnVp54p
++UMnvOX8qjOYbFIP5LPaQapaD0m7XR3LhTmTALEH9PceaHr6R2XgcYzE1X4ovh2X8mTc7kXLnjQ
Smr6SV8gyfQq9BMuKPgVLCO+O2P5bctKwu5roX6ccaegHijCq4WHYousfka4yNt8ygyYRSGJdy9v
GC5VORO+nrZh1vwdD1ENjO6l1sDuORc4/VKqLFPC17fDD7oFblrqA46AdWHla0vLZLpya4bKxHdM
EGoK23qJmfHnO147/IK1MaKR9rRySDd1IcI/ci3GOVaeHyER2owG1dgsZRBvni5ohlvPGtrX3G/5
jurQo7jj//oEPTeb0iJFAbEhR5UsBnAsmOqzMEHAOHzTJ6ab7oGPU12aSnPuEvLHppWG+acI6B8u
4DjeuN2yPO0yFyc9WrAxJFvwk1PmczcWbun+qh4iYngLbEVUaQ4tyRUwWI9gEf51NEKbBdxZGfes
gwL+OKrEfUgzT+abTurJziQDBd0ysIeXuBioSse64POfN4EsN8c7uHLcFQJK/KNDW/sgfZ6w2lku
XwyQHtLlqc87Ac1KYFo5Qyco9+VehibfamIwo815kXMfBkpQWlbh4xnVPCJAf2kW7GCm55CK3/i8
kc0T3zQtv8l5JVp4AdtLSL3L2qBG34gmZ/OBgB21N/4IA+/gVcsXlEqEmlujCuW+aIT/mHQzmpWO
42i7mUnQAdnh9dRAxhAV97Ba7Bf6f+LB0BZIM7EtvJpGTzwMtPvpdBlouhEhpz7xNolPJE9U86BL
MYxwTlm3Zww4HFJ2oKaCWHc+8M7DEmgHqvVBRRxRaTJmpERxpH1YqMIPoIj5WugWA+/wBr6nc8V4
fm1OM53/oF4ISaYX89lnu/aPgGW1FSIW7FB9z0lm8QM3NTEvQTqIfA6a5deJHT5FloCzqnvU/2Rq
R/4xz7Af6/NkhoFrzoRjtCTsIi+M2I6SjIfLAHCMqL1tbHNFsjEdT0x5C5kphKgyKFfCE7RxG9t+
n9t3YzOUDUFqFiAPDYHzizUuOwt/2n8s0c4+5OhBDhl5KNUGEtmQXxQ0ignn6GND3gu0JCyRMONG
M6QQpyQ9730jGCREfYJNnlIkWo7kZAjNuBlYE+cb8LYXLQd3lRrsC8vG2kQLuvm8dtEu81o740dH
N5n+APYT3p7XJyyTcJfSCNipUlrZldt7LBFP79E325m6iKOp8b4viGIovG+1qzK1LhrV7IkT8jek
/9kvkUMv5bwqnDNMGfGVODkWxDwh0dan9tJtyFqNtB2HkHh0gHbJToTXV6MvbNCEaGzyP1bJ8oE0
MjrrVYJ9ed1YA/9sohACxCIMcRIWwmuWnHiwAb8MwTJG99ZuKHnDALk0t9BHxps+rdjtad5e264x
o4WeWdT6Gb/VDWza5x3QyjrY3RVibzQToba8vnHK4GtzBx6b5QWE/CkiPA23e8emUEUN5gWpeQCn
S0hwMwuu4zEz5cR1mVaMdwXpFM4KQIT/6I8ThR+obLosk/JY3YbVaQQ7NaNYNdRC870SHtTqrlcl
Ap4W18mhZBs9NfrirrM9ZKO8+StWu060IiQfu6cIIc7Qf0SYj0YDmwSf1/WHG6s33PveG4trIFNf
Yi1EguCn7d7Ood+7KIAvB9DP3yKzRdhmyBBFFkfqtaowOZojr8eUzBS0+MlA+5mWp0+FMjmPOGK4
z0nNLlfZwzzuNLAGW+Svk1pFskJli0ycuJU6vTItpFVr3pqIR01j3JeiLqd1XtclYXpm9c0fc+qF
MxsIezsrrGmNzgO33Xb6hVw2/wtSd2lE+nHMQRsnHSeYvMwPWmXQhaHLBrM3DwftPkoNvp6mqPlP
iWBnRmuAk5cO4IB6ZGDDaZbNXypqHGKtxzsZe+CW8BTu8lFq614OPDMuq+BMCh9Mn0fVJxgEwGkD
uihEePyYGRX1gRUO/Kbj+WUSxuzbs51U2deKGpO3i18zKlje4UJDoY4jghV0PhhGelTWF3me1mx5
HXta5eB4Qgw1Nns3rvxjgpHzMNS+OJF57D8KrUMbNENWc8wMdAfLiVgdtO3jtlmwQH0RsVudofOK
K6/P+6aPIuhmRjlsbs5YPuzmbOp16HtHVDBJEYQ17asBK8VzlpOzU2GHeGkkj1CXs3iSUMvAedpb
J1p25nlGzrvmbBfvDTtOvlrKATNk1z1PXKeBwYKr4B+1twpD0iPReDMXWelZB9eddffAgQ15BnmZ
/crr+2ZXdW2/zRGH4phoO/sFsJF48DywmnxidiX6PNwSN4VuDiXI4CRRoLY6OWpyHmI61sGZxsV8
i+dhjpbt4FwyE77+zYmMEXx6Wehbsh9db+NMnbHlyvFD3PTjpzF25mNMSOCnuo+yoOUJYXfmtEMI
am70CH+cAqfNZNXaTYMscyTqyi+9jdmY496IbO1LX5v2K3Tt+WtOVQnMYGwpt4ecBBlnMuhctDq2
qLba5TRXPgMadJqgD8OcGa0sU7mR1Qi0hajGEyM6L4hSJ3li2hPdE1itSJ8ociRrra3vJs8mL8qs
w0+4b7MvlZz4SXYJZ4BKGbPqzVxqnFhzPRrAo3U6/ITGV87zua3wnwnP30x4YBCZ9I3+9YTn9FW9
vDIu+3rWjRxe//v/fP8r/5juIOagr2XC5gRUyizlh+kOHac/Zc8Gyg56Nq5jUMHQk6fl/Kd51OYf
cRBiPLE8C4vo4//933cN8vbD//8xbkoYyK5/aHvZDHPc5TJQRaB3kq7xoXnNiGVUZVObV27Yuo8T
FRV6OKFh25hzPZjiQspgrKsL4qKkWFVC0gWao3YzEEC/62nwH+1Q743PhH1kpwqzHK6yEe3m2qgl
g+EeGRVeM0t95tWJFTqamBjXMGPXvvIQPNQdjSeSu0q164dJ3PW8cJ5LFarrGdzeyPijXBSec+MC
KiRxb5sUVrZ3m5RDSZOpnuPG1O0cJjXVqo6RLKyjCARaoE281K1pgsEQj6QC731LzH1AqaH/kfbk
8K3yKcteJYC/6ySyVUErrxivwxAl3YowAj57URdTtgRxZO6hmhoL8azokRQzjeWfmksCwAVgYw6W
sS2nAxEXdhoUxTQSacwvCHqS6RDkQcmR+tbw6urWt9IIylOmrmVOwFjq5l0wxAXyrbCtsLYOjbuH
QVHKdWpVc4SLpqMo9foMTRlVQFdfmZnxqavrzp1rcoL1qpP7UNhJvytCIzLdHUFhWbR1GyjIekAw
RVPqa/bc8WSSJVDCqmJmfeDFW/U0diIZE0bqWF5ZZpvEy7WccTooKJIIFMf8Fe1OQXibnYTQWzKp
LJ+Mhjxp/FVNZVNsGWx7dEZNy3Sita3FaYgSdtK2dFtEO6xtAuHRdSMCdbsjARwqDpj0O26119tB
hJdGE+dhIK1WLQvHnemnAdTYamM6EKZQOEOuLjrIGrV+ElORdmZDCdCqgZE66ImhFZ8jJOvG/Mz4
fCqb126QXVHw3pnnPLz9z4b3P5K2mbjLf73hDf+1fylqBtvN1w/73vI3v+977tkNj8yHHc9gB/0+
0XaN32zqaQOe/AImh2L/zy0QRRybk+3Tu0YZ926sbSzBWfxxk642Zg3d/He2wEXK9s+xNiQuxHMm
vhQmWvwWqOze9/0tZmYRpr6ZlAWsD+ZMj9hwoscfbsrN24/7cZ99P1z4fhEgtUDe+Zw/wcK7Smk1
h7d5T6irXI1uO5M3otw1gcbd5teXej+NfLuUxW1xbSYnuv1xKAZebKSDDUmObgR5JDnNUMrfcCUW
aXMOu3hfCNBf42xbK98juPzXl//pdi7iBIZkIHsEX9rH94mRE1Y4OAbBpuXwAMriySN99deXWF5J
776x5RI2PiIkD/SOnQ+TmqbRpp4pkNzbYnggX+ix9UW17slJwDEiv/76Ykw1f74csAawgSCGFyT6
MhL9gf8ESs1yRtTte2sw5QUFpKjXJF4XF5mNvihX1ieqfokrOgKxhcy7SouVxAoJxSBreOchBkS6
bETotvAiZwfiWHyiqyrlSzRleVQBGPHTcmVIUS96cn/VoJM8GGlh/mGkww6JUUd+8EI2ajrdeJxa
H5QqE94iwJZnnmLYXYEZZ2bQ69P4OOGJOWIlGDiXMlZCr8yp/cEhVPUpmdwKJ3hD8HVU2deMIbI7
x8bmpKymWJHrE5FAXooVCqQQi3sv8W7acqv6eT6gkbrqU01tzaL4Zrn5XZVYX7DQ3HbY/zHReMVF
rY+/Rwomg1+kzgbZcbEq4NcFWQ1fJpM2wKVSBHabDl/xVciDm8bX9QRSK/HxsVhG0W8QGTqncURd
SUZseME77dHVRHiRxknHxMSlqlcK2q3mP4ywdYNJpOlp9mX00Dl0IHsPZaSvIsJ+sFiPQ6j2JMyH
m5R4mCv8Nus+5swWEuRwaUe6k20QuXfQZIYp8g+oqPpxm1D8P0iXo2BM8bU2PEi0NRFiOrl6AqtO
OTaN88kqXe0pBph2XVaCn+NBen6oRIYnqEn6PVUkotCmATxMwEN8GRayuapyzJdGKbNtMWBxRcGF
EbeqJrKbSoHCpDeYpOf6owWkJpiUHNdanBj9c5/oEgmhPokjqVXRQxJjFSiTSqxC0oeDWHJGWA3J
klijNeERaFtzW8/I2oumPYY0yJ/l7HUPVm9me6nF4kqMprMvStYCBtBk23fluCsL8znGzIGhLOmj
LafUcW+1iX+rA57YaWbdXDH2q256DiIGHIMrmr+1ZJ6Y69tmICGucmykk4nDCVYwiNk1vtVfEjGc
rUiVcW4SyBJhCDwKBgH8NF9EpINnMYZj+2lU0YVVhEudOdzWU/aJruQC0KSDZRWluqS/mBGspOhM
91hcifsSO2Qy+h5fe76fis462HUrL6cKJudKj+zquph4b7CisRUynYz0WzOU00tLSvKSGYaAmRP6
ZRc5xs4c/ThwcpSAQVpwHibv2Q2kLrlalJkVz4ummesKMNI2rGNa9JoXPntZV65DL/J3URgOlyPG
FnyvPbJ8X4t3qENDnn3Mp4alowMOe8SuHCfpoeTDxQwn7DhyDN+GqeM/VlWVIoVNysBx4xfIJU++
AMQSASm8g7ao7w1l/u7yvWpeHt1nlY653OVOm8l80VkVc6Qwa1azpXVBOChwfh6JXM6cXmmtrG8x
EOQB9OdXQrJaD6BExrwMmOAhxGy+AUN5O079tsPwvU9p1awqaBK7OePHRqEjPwEadjFjt4MW1LKp
tj252y+tIuyqimtn045bQHLmg01DlVFw1pSH0lXtTa/VJpZj3TskxWDudBGjnl0kpHHc8w2hhplP
YZ4xPDXDevpUCS8/siHNB0FEGuNe+7mpoFcYPi3aAd8EXaEQnIkeH7Fr7GJeAKBodBg3UUS3JS9E
eWoL75Ar41NWMMGllQgmg5xlq/HwuOApDMJM866iMPsaginBMd9u3N6wXnrdqjkPmOq6RoHur+yc
Z48twblOpnQ8gmXMD05h0CJiqEiTfR4+V4i/6c42XFknm5uWlcMDtNLKcfH3afmTGKSO9WK2bsGN
OyQm4yYVeZHSD7RzE55I3G0cONc8J874yoEBD70skUW15TojZvvRjm3YCD4x7OiP834trNHiRMDu
kTNa2PWzax1zMxkkZvlZoYL2tL2gsllL6X5xhQm0YOn6BJKBysFLPfcBYq3YAacuNkxqp7WrJmjw
mWUw0/DjfZ8wW6jGHhQq5I1rJxEZbK8o+t0DbhYl0y6fYm6/ItRRsHMFBoxXxORTjhYuEmtbFzWJ
A11m3FvS2TjQ3p+6KbN+H5UTn5zGmZ/a0gzInBySVVo3zakXdbfNipSVB/pjDxeoWeWESwa8PL+V
WWtgfmvo/UVhe+D9OBxUarJnSILkncuOyZuR0+pr+7e64j9djb/taqD5+6Eq+gmNdfo6/Ndz1WTv
6/vzX/qzvhe/8TaEkokC9nuW7T9qfP83FwoWVGfUJ4uHm4L1zzYHvQwqVdQ9DssStSWywz/d3UTq
In+0kcJSep1tLx/aGr9qc/xUfp9DoMnVpl6hCv9YMQrlSKXrUXVQTP4TTsSRfW0CIjnNOQjVH27N
X5T6P1WnXAvVNAlZiP0FwN/35aLipEv4jyjpahOmOKuJYUZPe/8s9pHLRPfX13sv8KHURvWr0wpy
0UnRxfko6Go0qrza07lesWSDDnrNzpSOyEG6kXigslumTuZ5/LaEkP764j/VxgRQwDHjgefb837S
BDOKbhnzs+/PTde9FnnB1CQXyjueZY9n1UFo6H/3kf/iFqNqJmrQoWfF+e2DWrVrsRcPnlscmkKM
Nxkb6it5r/T1/QX4H/3bESNkBKMJ07kcq5fa7eOhJtW1sTbaxmdbDJEf0PegM9YhnPBMwmnDP/ur
79p0Px4XxU/31bXPZxuOv9xccATvF9HUCpps4aj2PY3hDO9BSLjCPGOzXHmDtczBoLqcvJwQZxcy
1J1UdvlY1jXkwNjJ5nIVua17100G4NlG2T0D3zpuj7xfx8+T4f3NKrDPDNx3RzKXNqXBs89Jyedh
//D7loXvRWnR9XvbBSbwoBWGHV62ESjybVQRhVXISAwXooonWuJ095mqltF0Ry+f2ZxOVORF0jLI
L86TQbNlJEZEH2sJnA/KytkTJwjoRXyh4CIWm7JBuFEYOvdBZkuqEn1IZBhak5CJPBmEOp7HABpD
s2ZzntzVGrM20WHICpNlFDM3qrL/8JRZT/C65lFtvEwa6WVj2uONwy7hBImH3mmf6kp7IujKD+9k
YzQsuTCVjPkIedE4uREaK8RXVumYUPfiUR6vOstX1u1YTsOx1GPGwYDOBl7IlkUO1bIRNGcR5aha
dC0DDT4/k0jK4PnUz/0yiZ0bHQ3DOWZkVAh8PBJRb3TghYzS5cz2NerpYjlpUJY0CC/fUjEKFdbP
JiqVO01qzOA6QNnJnJD+QQgjddnkj8/kmDAUg6SBbOEsDkG5xielCcG5EyU/9fyiIDDSjHSWHo/v
S94zTjlHYoSLxqYnh/Ru9iRaIkk69ZveOMIAI82BLJGpShit+qPG+LtVjLzf1mpMOwLjExULDqRs
RM/BZAZNp82HNSZVt7t2IK2U6feUxRe+GyYF825NFh1Cf9/rN51lxE/oFP1Hr2Y/DfCrM0V9G51C
qrFeqtYjciWqefjP8qGpQT1HyUXxXSasjDGrtTepboMljgkmVOybHkzGECjH4JbydNfPb0m+UZWh
e1dvcdCxMA89wI8ao/qirR4spk/eIlI4339r7KAF9Z61iTPXDahXMSjK0tdP5z/TheDaCvQQ7Btz
vNf4rLex26lgiHx/28uWBQx0gikeUaP1vm3TMLwUHB/qtUIjGWRy9Py7BSsPTaEjl7FHNIUf/dRx
5qvtlVdkxngPEETH5hticlbbHLgBUmyNv0BcgNAPA7BcAt2hLpJ50v5/9s5sOW7k2tqv8r8AOjBk
YrgFUCOLxZmUdIOQRAnzPCSApz8fqO7+u+049vG9L+xwR5sixapC5t5rrW/1Q6odQJ3ieGxjujge
kVthficYCfGUJeMQXUyo1p/ZYKn3adHaCaBVv6b3aoEtz3Z4WphvaGk59GZSKX/V89rXXKpcamon
iRpPWD3j/rmxomQ3bwjBqPKWvWdxlU3gorBBEeyNM+sq3W12mdSRCXVmFKvnZ7sc64/aNF52bbli
JrCp/EmMT71utiHDl+0Py2zcEe4eHhWWtdgfokl+wYED/iSxemUFsZfON5OjTUfh1jFLDR2uiK/X
69Xtxvi97Xls2mXqnKs0sa+NDvDVH1exXAidlej52PRqCBHxJpavw7vHsA2bVxvjNOTN7Z0FQdCK
HpOph9niONGrVfVDFeKzeBmSWCPQ3X6tDCcDE6BLcWxBVlH27mz9y79U+g8HWWLwDz7P5fmRY473
skmTc3q0NbzN0Jloa+8H2lCNwXstCQxgqoq3phM5YR7/6PqcE+4WjUBgXvp8xvOZq69zTYwtkzYP
zNrMnzOKz98yeH5o1Zu3KNocix8OMrfx9AQ9NKpwWLk1uyF6s9OMnl3+GvGezl5XnmWx6t7bSlbj
SwnPdj3hGxzdk1V2q0W3csPsZ3UGrCjyH9a3NZ6kveuq/Fx4TXTBqxPfd32WnGLXe3aSpH0thu7r
Us7b0z81Xpm1xjAb+T0xjvGcl42RngGemV9GLWKOhnOn3zaecp6Y4HMnpKb5RFOENoWWag3Ed8NB
Xqk7d+9VZnU3j7hs9qswX8vEbcJ67gkbTthlQ0ESFVhdISR2WSuqrixuxLfCsPj/N5xY3QueKDP6
hrEmpUatbaJ6v8J3Lnygl6MIKKjVLogeI7+6Mmr8FUrFp8VxwSqKyr1zEksPM/5KRIcbcBWLGfWf
69nlLtJsoRlLpRgrjE1Xbz1cIGCnBQ8LUcQdaed+QWvL3Ku2OT+6ksVhiAO7f6da2ENWI7cPpWvl
UofHGEtvrKMMz9r2VhpjKJhxUhvXXx6z1jZ5pmew1V4nk5/GHjaPOa4UKyiKzWdafthPPipM0wYZ
yk/yrb51tjA02cj79DGbOc/7zaSzJBMGl4keZkqvNk8mWx4tyNya75xxmMA8dTCWYpPnsyQVI+lH
1wNEJyxvEcGfdcl44H88Ah0m/m7nUB0W+wtM7eR+UJVLLVejxEWNo848LDHGdoPWv1dWzslhWB3v
CHNt5VcEsvm+T2noCMuPaqWlhZERFoN0uDGgU9qHXz/Wr+6nNsm4SUTaVi724WEhJ9Ad2azN98PE
3fcjzmCsBU5LzL7AHDDalIIMJgYBK9A7r/6szLZJ7ky5teylZcPfVU1by1XVsTx9FG1T9JwWNpsX
lulJ3OYFGwodJ3kQz4JO2rwHypK2cnmir09+thODB+vSAR1VTTfjaILgs9WQG/GzclaWf7VOL7hY
LbfnuegYT0Wt6edmTLSfQ9d6h2RU3uzzM3PLSTV8JuYMiY929m6zt3gDebSOdlc/7maWV52zucji
Od1+o23NuxBnJsf62LiSA5PcSvUUba9oBs7m6/pRAlf0vIyasRH8B3PVO9zxfaOl7BoQdnGaLEAL
+D1xtXyyrVQbn8DpgqsJUpXEifvIwsSzOaqIxVuIhTE++P2Sp1psvGQut+X4MKtB+gg582Oh14R8
dRHlQUS9fDgoqr0UBolDqXncQRxc5edcdMnVKocJQ0Oy7PgPi0FM2uciWxuWqEn7WLs8WfIp0T7N
mpeetYFl79RvKYPFLY8s/ShomB1tX4zqY2dih5W+VVk43o1Y+ihoEWRjl0c6tXjj3tBjetZWo/Qx
87SneiJzHw+F8VgJHjHsaeERZ1OXUn3HjYT6gPwnPWaAfaY6goVbl7Dm2qkO+QSqgKfCzwqUsFYs
d94s1In3NReDsdXvvKHR72QJkXEiDG73S3lk59LuuBtHT7M9gm/kEA2zNlG7WYg7oQ/ilhxM9cCr
zblczcWZk69kKQpO3NEsAEOlvYu94nbMBSAAflV3+tLExC/skRWaaV3rqSSNjKGSCySQ/AJxObSn
e6s0Hrn5VTvwoPpPctLybCHSA04sYW4CNqwcJehY0LL1B/QzXhAx8hHeo26pJCxHndQGN4IJHYIT
uPcXqq55giTb/vUj4OYM6N9ja2on21ra5rbHF9mgbfC0Se2Od+Q6Rbz2EZn6/n7JVZaCU2Dn/q+n
023q+NtUAtKegUOyWDBYQfzj2L9OZuZx4jXH5sN/tQI+M/0u4p34r7/PP01ruH0NFhUgxnFlMLj9
fVqjFnDAPzg0xwJsIu49xzGesVLjKRMz/iVbbKPLx+PwX3/ffxr9+b4kZMkKM5kKJsW/f19G8gKo
0NwcP3zjg0ZdRNnPxbxXFCHQI1hWy6NtJzyL4edwy/3X3/2fhEa+u2cyFfMB54f4SJr9RReD0sr2
xLDro5IRHvvV7cxn4A/1TeZsre7QGPhvfctsfTjFf7liP36E/27s/t3Gbtv0/OXV+qeN3V1efCXT
9Hcn0q8v+n1j54nfYCCSmzTJc7IY83jz/JEz1zewjG3z2TH1LejNv/p9Y2c527+xCJJtEds/t3WW
BexeAqDHr2RuX+f+J4q8lJuk+pcPrkGp8gbU9wx+Aizd/7hD66acAKRttGcMsCAVRLEfkmlAehzc
B5lUSX2SHn4bf4C5IXd5R/XhSzLI7L3A6sRFaNY6FDCyLF4aYUEF+PEMyay4QbFJs/vBruAhdqnz
Wa52dU6MuLgZVGaG3nZxwLiflmf0HhbQuQfbasqqS9a0Gr6kpKlvuU40NCkuxiFW6xTEa2I2e6qg
Ou/zxJXEPUKA3FycOPM+TWoe3fvFlA6KZJpcMrMexM76gLHS4eamX6eN0Tp+4Frrrsa702xo/MsA
PX2I91pR6hQtMlrRdVKqFLfqtUj4RDp7lIC1udasBaiLm/vOCRyyoyI6opZZHYc9NDA06gpAAEA+
UFyeKaHecYm9ulRsjMqPCn6fLUmnclRbTNvTVTjC/ECtoO5T/64UHSnrLk9SqXQ/Rz5F0q6ymtO7
HLuV5JU9VqxCYNtqpOsGT/D0T9y1FYi8WSPWILfx6jcB6S0zAQ+Cvlqv2fsaLUsvocWU8SLDKUZI
5uQXU3ww8znqrk45aCcdU/w91baRv3qa5SsUanKDSUWHizYdYrxXTzmnXOpbvc5Vn+ntwSgU5lQS
jl9BLSLtFmNBzmVJwhSn6h5MUH6BEmcd6l6Up7oexkNeTe3gt1XN0nIqxpOL1dIZEwTasqpDy07i
O2l6FcywYg5tkBqhGPD0Z3ZcH/vVix46/O1vUaUNJBkjyo9WjsS7IrNf8rqMH3AO9PcqmZwHqG/T
Z4xec0hBQnTummR+4P1Q7xdaAl9RZ6L7wqwXQHGNRofvOE7AjcwIA3vqXD0vj14TrNtHfKoaXYAR
tGJOF28/OZ11iWhxOmikhtfQgBK5vDaty30rKuyX1jaqJxiUOdUNURLPgWR3NQcAI505qMlOnqrO
tEHeD325g44+nNS8dgdV5PErKxLrxltB7PlGI9Wz8AxMcy7Vblk4Qpr5aShhs0lxMEz7cV1VVMvW
ZFuwbtzTJOycOiWfM7TUPhuF5QuKoy4Gl5MYyA43cD/qxulujGPMsfNcHzneWG5kC6817rzuISns
6rXr5+owRU7zTbEAonJ5Cth/uGde6XK3NJgMl76h8GEp5ofI7pNzJebuOTas9dNorWW599Rsfs8I
kd5oFC5lzHeWc1bF7O1F1vzAgBEdWfy2O2CP1KVGTvbk5e74Sbez4m3J1/TNUkO6AWDd/K3FXgu8
lE+YrQ3dgaWMufMcNezTBihpDSuTsqniAFQSlLdXybOae9RMctRwU/laDZJ5mhM+WTNKwmw9va/o
DEZPbuYuAL9s8S5mVZVQr0Hcj2tjKLR22dVqBCoeQXPi9zKAICySINb0AMqTOpNqpPNnkear4D54
N2jdS7p2T1mjOe+zBGiLRLmhiqQCmoAjc82ecSaKm5It2IXrZePbWU+MJY1Pnuid20V1XIDrsX9a
oTiGstPr7/YI/KZRa31vRd76DS88hVcGXkFsHqrBox6LlzgRkg60AvK5KtsFydWLb4FcjJ8HCckJ
UGJAQkUP1twwqKuduzNpofhrT935j0IxyfRTeyFWonbSVnOYTCMIROqtjpbmmC5GDrVczJmtu8ht
hOFhMDU+cSLBGdjO2r6rDY2Fhu7WD3nWY0tvBoOYyba7nPoUm34RpQy7ZLAAVJjbjrRWguBVHivr
aRoi91uuSm5rYzoyB37E9XBRLI9CI3JWT5X8OsqOeNVWUQiQewvZjlvSKDYqVgKjm6BVKwG6yCNl
shhaf3Vib1z8eKQJAHrB1rKW4nUoXaDmzWKQvQTTfYX+nfMWlXUw6PP3ljPv0WAaOsW0Ywb8oXEQ
ZyigktnqMBBmvGiDmQYe6sN3UXfyZ62J97RpzYuB6A7qsQVNxLC/a4kz8CGHkgiy0731rDy/QDK0
Mz9bvyfs0gCDbbHreX6p9e4JSJEeuEaXBFXEEJjS9rxPMXeR7129h9bo6h2QDzCSolf9kTzctcin
eC/GNAq7qjPeGHfFIYPBtefz/j1bK/exNZmFkraon2MWI76RdM1ZkXmEkh7J4lbWGFpkX01gpfX4
SIXLkvp2aQ8HFDXaxWtiNpVOTAViR/fezr2GqN8YBdce4b7GgAHO/IQ4UcCHBrVsmLGLXJb3ZaTJ
fUFP3cmA+RXovT6HS6+nF6Akjk+OqD4MI62SYpyHz6A0WSW4deVPTv5l6I1vWdvkwcrxeJlYBgKq
6lVCEBBvV9XXlNCUCSEAa+5/GkDXdqOxjE+Zbssdnidu27FLetetXaZKLXpKJ8rXbd0ZDsqzWn6K
tLvDdWIZO2oDWddid3LZeCfaSY03ZHiTQFbqW6eL4gvlI+M+Vm7+XrIR2JFf43V13S+JW/zo8rQ/
sd51At3JcXtI/lcEWcRfUK2OOP70k07wNITJYe7ZBBkXkKzZdy+jt3YoEu1AjAoWKGHwh4wA7tns
s3SPCbs9sdtvdpQ1ekeLjPzembl5aaqWh9xMppuUrnI+RzP9P4OhaaFOeWyA6XraWU5ffR+kIqEh
imfMQ0YwLol9VJPFJkTe0t7XHCtmVmYBz9zXhvze6s3DSI2NX0GsC2A7H3hEa3CoifmnlN0kCbak
NF+5YRQQW3O9vjpN9+Do7KN6qspUCSobimZIDPbRxXlwzrBL77Gxu36LPOWTVTJpKWHhvRbxPhLF
rVVq2qPXz+pQ2KN3FEsWh6tVPmh5db90abKHGkJGudYgdxbLgzeNRgjSsDiwiK3DYYUiJ+KamF8y
4qSYLLYsmmPdacNs+jzbnWc0ivS4ZphVPGn8aCNb20E+K8mnUWhipo3kIMsTzgNrfFCm4X1Py6Vl
Mcbbr+61o40L/8HWYOGSOkm21TCtAV4znuYS2REqnEaya3XP5bA8FKn8Qj/Qy39nqf+LxRl3sYGD
9H/PdDzV45D8v+BrVxfp3wn3v3/pHx4IF9qWgRqOv8D4NR79PlC51m8sIcha/P/B6Y95Sv5mMjpj
RsOCLJgDGPH/CHqQAcGTLDeakcGUhqb6nzggvE0U/8tMBWAD84MuNnKPbbGs+AfX7JiaeUU4jFZB
rvhq52EYVUFVpewYSd/v7coUYwB90H2g74v9oZlW6VXZcx1OkDIpmmVpSRQ+td64aS33tW1WT1Nv
R19wQbAMRhVojo5a5bHptrQePlp5Q3i/Dp28IjGl5hyeAuMcPqiE6c+6EDhIrrlRw2JgPW9B6msL
klBeGlOVsizkl3KOojlcGcB+9uWWL3a8RexzrRd3UANQ/pNIBFo9T9pObzWLJqulKglryYoAiJWY
yWma+8afIIPckneH7DeYNBOPRO/Pihj3yZtTvdrNRUtHWskPFbIFHX7wXQz2p6LCuBWNBMm59rZp
wh9cLLsPLWWOKrtjvBkolqSATB5TcF7OzloJm6W84EeW9+jIlYTXQUVp9L7asoWRaqj+jUIwRiwi
Ff2b4BL3Vik9f4TQiDS9tXyrMaqem96t74Ye8PDN3M6x5MBCJYfy7rg9fjf6JQGAtlQnrknjPsw5
PxcIDX6RmRFFpa9baUT9VTY7D/SjNl+M2HXvYSMp+ghRl40w8hzg6h6VbXvHLXuyPvRTNmVzlxut
dy8x+zOrUqN+7Pn97SfgAZfCTnnyJom6gCYBbfihEQA6rp8Mo3UfNITWK4gnNGoialjMaXAuo854
jmoCitA0rLMGff80j059l3ftpD2tolx2tpMZZy4WiqwmekuYSlP2R3IzA39n0PLUerXfiHy0n7ux
Nt8afRHQMdAG7EDGsBgMrQQROSRQ6FxYPA9zEydUEAjvyezS+GG2VkhL3sy0FEiMlGY09z3bc02a
4ZBo6qu75twDe8O7NI3lxPtx0TGjzlmVHgHQDOsJldhcCD+OGnl/ui0DZTrlztJnt0r83vKy4ZTI
XILcUM34SJJLctnCVHrfuJph+UZn2y+VsYjbhEuMosSuEFxmQKHXK1dmGN7WIcbmiQypZZmCFqLx
i0CDITfqfmatPOGs85jP8VtaEa+PpiafPOzYqh0OJHcfE8w2R2gYOJnPg92M+qloWcK/mU3vDWeW
NpKpnbfPJyr0NGg0lCyYeXRLhplTfRr6t6Qtr0CO4gvFlrTlZBjCqW4yrbIW2hnaigOGn8TTi7R0
TuV1q4Vbh3UXodbvdZt/HCy9OAEJV68pF1R6tJL6Fu2v3fXN8JiNBhM4nFHbp4eUoHzOe+jVtqPY
PvLx1p4rILuc/x3LhVFaZRMAZ2pCat3op8pndiAD5o53YPsmXl89JU0/jeYYLsM832iI4SdY7DJc
vOqxXt3LwDxzyrh7cU+u57MiDr9zCAjtBNVnPjHLAwhu7V2uPGmKCMBrtB7wRkH5Tk1UA5JVVwbm
p2HtMZHH6kAVonwFkbng3Rgp4APRdIfg80iNiOlP3crL1mMgjkUb+1PBNOA2NjeOqg/6TFY3etX0
P7LFueqrGX3G1KiOwBKLp4pl91021T0bCqRKAcT8nv4Oa0/MH0UpTSiKs9dr2rq4LxECgoRyrj01
TQa7Lb7KyJcNHt7VTZi762ci6ZJyCOdubbrbQeURhgY61/Evd4c2qrp9BqTulru3urN79hQkUb95
PG0PVWq4uzRaoj3qXcYAIOm+Aqt+XOs6DYppoo6sTI2bpSDAPTrxlxrmRBgbCSY6Z6lCUM01ne91
94YHXB11sE8vcHMH3hhKOyBK/Rw7G/pHki27oVMGfBUz+mLlkmDcHCWQaDJR4twh5HMaSefnR6sU
8qZC0tqjl7JMb9gPHSikFWeXnopg1jTnYWwS75ACmMGyjag9SMGFcLJX57r0LbTXidE927ltOnDl
a6NXr0XhtmQZwcgfE/ICbvutqsHR+Cvpvk+NU5R7Y5yo0UhNdw/byTvUcN0/N0Ts3risa7thgpZe
q2q9su2CetKSGi/RyR8s/sVtb8/aXb9BZLGf6AFJSe7v/WrDRYoMmhfmITfOcs7ii5eXrufHlWzB
eqSjE+SmVYORsdneCMX8JlEWg4ml6NXa2tfXMpk7X2vAIjh15B6cxiGE3cVF2DUMKC27zVdkpZ4l
VF+1YToyketW92hHWf0Ankq/WhnpQReLvA1LjrCf2uszvc2zkYijaXabcCY0XE1O9sNiMfZjLLut
Ow7ud8BkrKj1EPZyrhxO7CBbWlC/MjVeaiC0jwnLknfIu/Gu8Vr30kbmF80bf6YgUD/Zpo0neiF+
2Av5AqtFu+UzlQc0PWJ8MHjOrUsbvcSdOMxW9iWyx++u2crDWgvwTxGLVStdPi3T4oVDUZuh41Bv
SWmdP1k6vBdKXiDnNz9iEPdAxDTUN9fKjhNqWR0QjBc7clzGPRaybpf3Kn+oDPsKpqC6lGs37kqA
0AsKP/NSoJJONbveKNdrvAwRXJr+na6X56UOuUpxv0hXzMfKmmiOAeEXoooyQXvbwzWXYJMSq6XI
W0Dihtth7ZIqom4rz58102aHiBf8S2I66ZHmMOcHhonHcTJ+kgch+J/it9Kcz+BndAY5xPM5152z
t0QriRM6YByLWEW8NvStjGfw1RHPzqbZQd2g4i+e6KyZlxLkYANjmaEns42XVC35peA9z2hlG3uj
6z2qeoYkIMJy6KaiOdfD/CTWpN8bK/y6Ar8O/qb1feD+GQzWWD9F7oz0yuBEcqO0lpBs5cRaBnbD
UvXlnmoJhFLN/R7F5ieKwKLPeiutOxB0BQswyb5g4H0lv5dmaZzSdewpxkybm6aCj4Ug+MMpVcC9
4L3HcJewby6agCYSdXSbiGY+0YhdiozvT66dHLixOI8o0DGl3Srb69we78zKie5pjjt3vOhUBh1S
tkDJQsG1dBreooYb482caTA1MtwRTfaC+ct+jOZkPDQqlSSGzap+HBO8RlmPjkpxhWSh6wuO9IvW
9nbY2+vrkKU01Yl9a1R3tTPEgVDejdnUP2GMHVuzZNOt6XeR6u+AI+IEGKhC7x3s7eWXroDevfbz
s+rH+8YYWMtVt9zWYCjaK3GBgVgz9Rdo4MRZoIXxMWdFT4uGtFJJagkc4qXK4AvZZQvB2e58c3HI
E2l5ud6beGx+MQL/K6L9GxFtm94Yt/7d4Bd+zevhb0La71/4h5Bm/yYEydbfcc32Jlb9KaSJ33Ty
0xb2BOGYaGZ/CmlC/uYJvDmutfU/s339c+4T5m94ulHRMDejWjNJ/idzH7iBv8992HGZHnXdwK6P
Wgsp9e8isaf3WMCjVruBDjg9EHPE7CU6mpyKNd85DeWpOkL5o1XY04EmknVn8NA9uYbLrSav1TPl
nOWN1ZtlYLSDe6QmcJJ+lGVVQPSN2BNAfIom48e4sUhyDJMfiQ4WmKhe1ZjfKxg2xLVjdl3skXyq
qoFn9IKunnKLvIicgFQrCvNpqADtN425VbbG5VWoqX+uLI87tjOIcEEie9e10afS/SWrs59Wg3Tl
ROPD4i1cMomRHVpFEahvZWP5mGbreK4bl0yYg3Doz5QvHFjapGFWULCwKNs5lTGFpVm2DmfRRd5+
gN4TUJO12jihdP3a2RrQECUopp5mZiPfmVuL0UKnzmDFJbPTG8E1S7byonfusSjMx0YngWoNnnFL
PdhNFc1lmM3IGrE7QM9PiF61rRvtBxz6AW+YekeJMJ4z+n98wjwBEkAX8GKVNyuOxr0jNedcZugK
EW3U/iicZj+bNMoe54rcLevTjSFbrE+t5ORXS/LK2Gq+qFLap1k40+fKqCl66FuPZZ1VR9emW6hB
KGqyS16wBQF1KImRtT5VHRvicZeq2tW+g34xYC3Uxait+9HuM67lFUV1gS5rwTAiBiQzpNblERu0
S1uqp2s75aIrMbRDsD2UZo+n25G0aZQVl7HUEM7dXFbDowaPhFMk1cpk8N21tyZMAqm8OHlHe7bB
VWyn5euGZpw8HrDoRvlVW1Kr0UKtnOeYNWHDmECSMivwBgHUqTcDCFPY1Dte0ExztVZnJ6oGu/tc
Q2d77FYe+TmHdZ1qVGN0XFQz9RCBojhUbe068R36FSbUPRYOfVwPgvvzdmdk5LNflD4C39fgy0Di
p6qhKKGgxuVG6dflL2g/KMyN4a/SaoHo337g/Y1CN97qjfmvPvD/y0cVgPlRC5BvDQHpR1mANpL6
3aVbh0CSb3UC5ke1APai+TY3iKqzVmyZU+J2DWvk28eK7S2deo6kpiDLm+Q1+lVekC2mEZRbp8E6
KRsH8EfVwdgmbBaNoarOy9aFUG+tCMhyFCSorSuh+6hNYJFMuWe6lSnIrVehTYQZFlvXQovt6s7e
+heGiSYGfGyUMvAD6Ler3m+xMDob5q29Id16HGwiIPCrtnIHp92KHtivUvoATR4y6tYEkWydEG7j
gEEGC4EWHA/AQQwNjKmvb10Sw0etBNQvKiaMj6ig3g/clZzqvt26KJxW+IkxyTsvm+Ln6KOxgqES
dOjWY/HfTej/aRNq6Zun438/EJ9/VNWPvv/x469BMOvXV/1+GrrGbzbxkM008nGo/X4Sejr9RtLC
feFidqZfE8fHHytQ+zd6BeAuEB1hfbqdd3+uQMVvHJBAcoH3SXc7KP+To1A4/8C6ES6WEk5B2NeW
rYNb2PxUf3EsOUuHR07J6qTRmWM0B6ClcTbtqFNTJl02LB44oBxTXQaTXGfZo2QaPfWWEFCdY1uK
1Ad0jFTOHte49mABnrmx5zubJWIYxzb5ctVZfDbs+RPPK8A5iyWtr15cGSez0Ymne5I9VxKLHUWP
72PVDKfJ6uODZGIK8Tm3gYFGENAOPx6WSQfE5qHF4ICY+71kTRMUlYvhNFvqTwKV/2vV9eVp5MG4
11MbDiERBH2Y9GDK0vjO6DDwVUtaPKPdoTsy52FstJhKPiXG2B7MSVvPZHm37QUmgG+R6zQJ5QIN
dW1lF8e3dbcML3k2uPQ2rfrjqDoTLqfzgDTi3eoZopZbEhLFwYf2ylh3XOn/RTRh+AAt3h06nsRH
leKhRhJ/qJsaTwBm7T31bUx/jEF3leOd4yoPIYHl9+SquY1H9PQZi3J3Be3y/gg14KnbihVVK/RA
X4W4ePSGnsZ+1Y6RtrI7BCt/LvqqwX/QwjfEsojlQK9vWztxkl3raluNqxqfKbwUOxPH0SWOSnkQ
jVHuzZa2Z33t14dmMvtbh3JmPx/NZ3su5+8L6+ddr1DrIyfvH9acAUUtdrG3CWWFyPYIxGnmfBu5
z4Ou+6KXaX8wGsbQcYoJlpte9Dq5ab3nAWi/uyklsrcsE7PbWCKGFZwQSTDPQ7lzy2IKU3bsR8bV
bo+XG7CBvhXDSWlutwcM3yRavrldpX7CKvD2KzVRLrurstrxuREPYlF9cVmy5gV5Kntx53r5qtk0
JPjVKvVbrQZM4GrMiHWp8yKnXtLsGhLhBC0iQAfsQM8R5XZ3ljHVt5j6XhJsCYOvWaI9umOdP8x1
C9WoIidtokfdiDZlvAcVlHVBygrWOY7amC57gMUoBx4HNzrqCMKevcY+q8zJY9PSWftENFBqmRq3
VZxZHpfRZem0elRCoz7o9I+aUC0sfFUmPtgY84iBu3Y21xIEsDx6kixcAiz4trPNr3XROtEF+umc
3KANv9nU0j+CxD5Emmtopz4dRWQeioENiEP+SlXed4IebbqLo2XlsJz7+3403fI7daqM3BSTYmUa
xheJ1WajLiUsCorceRZRn+28bjR2dNZ7Z1U7Zul7UQ8JoYFh/tjMWpnh/F2m+NgILjMvZgHNcw6l
ngM1DyuQR+RNeun2Gjb2jOpOHpT83supWfeRnaEloB5H+ueVsMkQ6I0WX9vFgZ3CPcNsu10vF+Oh
4ioZvWdRSwUawrzPE44TUWhipzO1886VOKw8vFy+R1QrJ3C/WW71wcu+URK6aEe3mgBGyrqgmR24
B2Wn00fIaRuNAfYC/SBsApkzh0fGOwXeRHwykgHjRNXCQq0ohX1n+z7kB7boE2LPQstFCP2Z2wOe
iMjbVXID4SO5YpOgKBZveow9mvV6gbFF3wiUPPs2a2gO+o54f08NCAHzDOtL6lX1HfEEs7bJNraJ
Ndzk+Ln0sAadQ5pxduIdaq99R6h83kuBsKLrxQTdTvI7ZpEeLc9kec0b7u19x82wa7GblJ46ZMKy
bytPtCcwu3zuZxmFEh/BEJgjxKzRMJMD1AL3UNM3el+ZxWXFpOX4nSFrCs82ege5yn2tBlCq2A8c
PlRgrdtwrEYDy5Jtbrivg9SqbPuscs00YjvddTFk871O/eiTUzTZzjb71QiIyWm+rVXVlWAEfaaT
Y18HG/lJAplmI2V5N1gILb+geCzMZxEfho69GbTFsdD9sl+X7+3SfuOM6q6ojTZOX8id6YT+5Jt6
qz/FqxHtCQi6L5Ic1oPAwsLhABWzIBF6Vw8urnht0c8TjvjvKyPr/RIZYe/YMc66LDqW/FGfcsdI
QyI67ucJf01Nyspsjpls5xtnddZbIfHkxC31cI1aMtZbFtvNtp6uMHf3LDvAzA/6mrFOSvB+ZBPN
uRlLrXvbo/81yb1DX1TNy+rUw2mxp/FgdNV6AMEmKWAzUILWXiN2xqBy56BBZWEHAvsmtXjEe6Yl
Q/RFihf4/k8A86Vv0qcAjz5K7pslpt9z3VraMi8+2PwFsFPmExdRSp55NK7ik2W1OPkn6TVfJ9cc
bpl1jB8ICvVeDqu1y0G8HO2+td7oZ212plfHYQONZE8EsCHfNBTXXFft68jn8JY9d3ePudW7YNOo
AvZp2YXVZHpgUJyuOUCLQJqFfaQj9EvrivSyYEl4i9ArrlFkePwhvc1NoFyxE7mQSerSguc9g+gN
Uj759xIk88Ez7e6r61TQb+w8tNjpUj8iZ3BDpWufQOh7D7mdrDcGs+s31cet38ylvsuBoZwSPX6L
uspmw8ZaumCJ6wPMt3ZIwRB6dYP8RBXpO4FB81amqX5jaT3JJ05/IhcwX0LBlpj0pDG8aOZI58kI
5Lj3BYE1D2sIGc/ZZpQkIR6wU8fCU8UmmJ7S/R/2zmRLTiXLol9ELjD6qeO9h0ffKDRhhRQKejCM
zuDra6OXVfle1VpZmfOcSQqFt2B27d5z9hE+8NzCsxIezSRN1Q64qdXYw87FkSo0zS3t0Hbc+GbO
SqBUARCnHhkm+U/AWAPsFzgWiVZ/7jyyzB/+U9//a/W95fw/9b3+6P5a2//+jf/udNl/c01uMXK5
PKCRqyLhH50uqnh7hRDA5qKwFpTW/6jvsSbwI0E6GaCClQr3d4mDcP9GpikIA7JxGVau+Ld/Q+Jg
0T/7a68LC7rrCCbtONFXsYVYLQt/KvBpEBsjSCVcrxCi30bD8Tds0z8DLcrbxTIQehoWffqqKR79
Kbh2+Fm/eWPePsnGeGpN1Z2H2aM2AQd3ha1jnObY9uLD2OTpPWWH8YG1AyKQ15jt0Qlin86tK5Lu
niTw2WaxzQpKA4OGvn9aLBWI29BZzOalK1uBiZPmRmMfZAHA8YqQltSoyARnSDY3OvO+csDaFrmz
X8hoZqohwU63L2VQ9whs/Zqh/zkNtUfgCFrufuenptPtU4C58twTz1EyACDKk0OD5vBCZwHSvHX2
mxlt6Jx0FE5LYzWIwJxYBwfuUMLcAb+4oIqKOfPzZ0oEA06A5Rdju8UQ3HzkdRx8rrBff7sIlADt
TqWNOXrweddtDSkBWaY9L6E7FLoRFyKjli4aQMpc4txihDP19K33xAlwyFqaHFxx0OTHKiEjRNcZ
cCwiwHrAQzrYTVBA3ucRq1lgJ+kx67KnpCxhaOshv7Z07I+5mF7zBv12jlZ/Y1VhcqSvSKJWWyXp
W6YzSoJ5zE5YE6+Noy4pMuq3LqnqCOHsvV1pVPn1GCIHSbyfvY4nXJTT+5Iz8RRtGBXaPiW6gOHf
A/EOrfwcBM4PaNpqZ8fF8LQEQ0c1bVQHavhXw66bDQOH6YBBGTG+qA+cPR/HJXv1SgH/N+svS9dQ
ixXJLWWdj2S+f2+qDnh7Ux8LggdQ3dpbvVRkyc0oiCXdwz2BD/dpUjVE2hevktQM+Klg34tq/IWk
zbsSyRbfTyF6dZSNBoX2ENP9iknmGIqDMzpMhwECidz2tiNe4YigBFqxZL/eEPugrkE/id3KDTzh
RshAmS3uBl8XJ86uDX4gfh0P1ehmP4K01WeNBmcnW9egszs7CP+TX7EdN3euQb53n+mnuprLA71M
lv1MZkdyYTwUtKa3sZuZKqd2wfvQbj6xLqR7pUS4T8iDiNzUCA+jNwHFLqoTyo1mi9Ydp2syZEC1
dPaj4dCL/bSudkmCUjI0q44y0AZEVQNrcxcDv7A5luCrumwTCP1sAUDekIPxapTxaVnwpVedBF7X
G2/uHJsbu9D5OW3dMDKkk33ZqHm/Q1Gi59jTSqNWZydrvdXlaBY31VgMFw8DLYAAFbRb21mMrwbP
CFUqNjB30xCqlWxVPjLMwdFsQFIyh0ckQ7iVS8Ig7rGiVfVKq81uJfjCPRPeYBdz5Gduj/2TPY0d
vjetJTnAqBbneoCmirC059m4sJCix1P/cyDYAej1ON7DQ7WwynNZJOFYWhtgc/NnK1lUd4nvzOeh
z+qj6Kd5QifMpQU4bvZMHUGh4UyAK7H/stoW+FIyxQi99DCkX/TnQu61CaIEk69WTrewhrv3jsoa
8UfqpMveGivzktZhdcB4QhBPa4gDbnreWTFBHcm9A2hyVgk9CVysDMldhuErkmp1fbX2DrV4eWBA
mG1EsHzTlhO+kkqub8vcgHNWvIklM4EUFA0OSKQrRuvc5qYotiC380ttZJ9xF6htJmT2SrYagmWP
jNqroMuMnWFY7O1iVdY9iq0XhOcFwsnQRsXjlM3ZCvEK+fZ4MyIae3Ts0HgqkLd/CEzEDDXgLnIy
gIw9JCm3MR4BsYubWu9ROZhXL4aJ2cc9Moe+72/LLm12PE69x5g709TgrsUE4D1Uy2jvY5Lcdih2
UmzM4z3WnIyWbnecLDMFYrUqOdtgIaco9uqHyZ7f66Fxj85YhT+V6B58iqBp0xX2CF+s/+b91oua
9NOFPZ4cUiUw7CA04XQl+6+4wTmeG71xmQc3xX2KQrU2wQnBssiIHQhWoavFehDMtxni4bvFMMcr
ARs5HoQBC32txUZ32EFHX/xmaiSHNHQ0BRrIdUpzgrYsdQBroliD+2s4sGotNqkpOLW4EuEenPqC
gtublLtJrOlxCBaxKQI0cM0q7+W9hcdW64Mxt+EJwEGMlETTxPLC6ue8SoXN1bM6rPJhyvIW8caq
KQ4D0T1jy4JhGRQzPOAy3IIiOZHCjI3KkF+69V8gNjS7JUQXbXYyi+iBgAtxGKGktU73w1DpM+Ez
nwg/rsxXBzwlJZCXaZVZCL++A1hjYiDgi63NOd9Pq0x6WQXTxiqdbiWwY1KCCdtMaK8ZAe95IJls
I6qC9a71vi+rBLtexdhp0X8XRD5BuifwyJoZYsX2NKPqz60brgFYJquWeyqKr8Erw72Wy3eMkMwq
fqu+89mNiTewYsRDOUt/ESY/KmlNkQkf4T4mBCNKV+H45AQjm7vAoGEm72imv5BY/HL6rNyXLgXD
qJ23Sg3khxUdbIWAh1oUFik56P5LDY5gtp1jV2IRBVWDih30XP4QklFwMn/r24uejwHZ+1DF5pbF
tGHVzsY3eLBsGL39lGUevqeEhn6uA9Z1Lyt/iFVTX63q+sGpvH0++nOE9rne4wStboQlpl0/L040
2vOPLo3nzciUczOFvIYpLYqdiUrktTPFcl9A+eYDpfED6McfdM0HJnn5Y1/k79z2RY+KqQ7gcLr8
rm0yrxjiE5nXU2SUIXFXBGvdu32cv/u594Q/dorwmNw6oumO4FgSkpXSXO7cjqAAWH2p84Isb4q0
yzB9JkTCWWJPcKLyE77pccKwsnonMm9E8Zk0ArWZrtGU8T2vtoPmjlSo/mgu2j/62g2+T0Vnvg94
NnIZ93eLaRvktxOkd8xlb2Px9kZUn7muWVklA1E3JXiPHhiNRNflijCrxzYI3cdpxqAQsWoalBhC
ish1uvKrU3bACbrLE75T3L/NZvaVd5DScrllajSnR1QdJInjVfG2xI08ScKNImZrN+CN828dCKsf
ZGqfyykllS9v0iRqE/sTsISL7iwTP7EZYdhbHHLBN0Y26JOcVk9PVqQ5hHR31j/N1f0jf/uAVkdQ
zOJ5HVOjPIS1d49n8hKjifDxsYtGHy1jybmcvdH/jBMfoo3ofMzubvbmSuVcrSFztxjlyp3LKC+S
jVxQL7WIKJvebh6V7SjyqPgobnUhAsSFcYN9rSeJYbuQYERck+5wVK3eqsRS+T5ePVdri2oneV30
RzzjkNM+qQ6tX2ZvrGbFG1vc8K2ctPlE/zo+mrmfnUx3ouKNW+/c1iM94czo4mIzgxl/TQThJZfR
mOnrLak6h4bghkjNqdhJhmNnenAjyTnaKjbaqSUO+sTcMQdTD/2i+zczWIZPGBXjMeia8NLkeX/n
JKl6aWxXFdx/DYx7u/W2RbXGplFdLa8hbNgm5/jQTRjWWGEjzklwfJdQ2h56QDmPuyznfrgwFSHA
KVj9fFMcLN63pFi9fiTrsbMGgxNyI8KGBzIByHrnFI5HZ6hI30d/8mj0+cNTudRAkzBPGlem39k7
7e96z3QAeGy16BKJaw3EJMiTYOM4cDI33WprNGMdP9CUYd5csbyqKnyaKmpjdGbDj3o1SBqpn++9
fkku6reF8rebsq/G6tlK8avBLRKHabVd5qsBE04rMVVJW0bSWEo0x0q6+2k1bqL+VoRYLEy585Eh
8Jhbw01VLwMmmbwmekcn9wKi0PwY+Llq7nSSMjwME222XhEFDJ0oFio0gTOI02EQKF8/KTczlGmb
wm8n56kB9VoAFRlmhr6qO+ZhCuxzIsF9uZTaIUqty60dhlry/ewuZR3VAQa3BivtsU899w0McDVs
lymR/lEV3Is/ANPFW5OWWXIDkjhrER0TtrETQTJtPUF8fVQwiGX1gY98M/aGPA5gqh9123MWsFrj
sLheuh372TgjJpQnxTW5HXo7u5E5pORYDP5XpRrnp1mvClGVoc8kCUs+d0UYZ++WhVq/csIJWZ1X
b4JuWZDmdUHwi9FzcvSGihLcQuIctbTFX5d8MneZx+q8C7uy2Hd0Iz9MCuvLRMt3U3I+bnxpHoi9
Hs6LaPsHKTP5LdVO9ThNlnteZDZFonLk1k0tQB9WWpEsVOBIBLpLddAWHfK10YoUyQe3jtPSxuc1
vnRUkTukuiExk1a+S9jrKM7xNWqh+t1Q+ifEjeO24eD+iBgg3KvCFB+uo50j9Gy5AW7bbkqkHBs/
a9JDltjjVjUrWSerPL7eLp1+lCGWYLyHdzYRn59mjdGKV8K0n8wWKcR8bK2ypZQakpuCIy04FWAj
qKe9di9JeN21aHAJcCTvgozeLN1NcZXuwpJtPNZG8R2RigSM61dHI4ttPFHsJPXk1QE6cmRfhmnM
eJjWYKXYoYsV+sZdby/zo5xAq6LNv+oC8aib1AQYJJNRkn+Vpr+k9JxrHGcZC22boN82uHc7Fv5B
5kh5IeYuCtSdQlHDpjPND3Tiw9tRJ8UOcbp3LLwMmnSJK8DsmuacmdZ9EFTjpusgMgJ8wV3pY4Oo
m7kn6gGJ/m1htGSMVgwsrTImhbQM7fffnW57WkFkFYC9d0N273hkmbLQEHdcbZmbRo6fJpDHY0Co
xGmu1DrXH3BejzDmNrpOVpc1YujcT7ytt5Qf0DzT3ci3tRG1/gaa8pIm8BKX9rPOy29djnyIMY/Z
7ABPQw/Ttr0j7kRsSsh85zwjW7HAEE1qJkRbambLjFa2bgm6lj0vcXR7g5Wx5mrp/INlFn4kFL1V
cneKe/oPprkdHFz3u1Ga423XU2/nJuOkdm3/6KCTp7Aln28B63PE7GL+mmqOaHmfj8fK6YftZLTi
Ie/RkxRS/exT3Z/9iihcEwzVmb7WNk1niZTBg6ojSETCDTAyG0yTfZK1PzivUYrNdTZvnSWvTvUg
RyJJxm5+Q03bbej3XG3sMa+UUs+Z0baRr3r/knp4cVq9UDg26SmellVXOhhqW4/D99Bqr5NFzG6a
i9faYMnLRweKmgc1EOpe8JZq2DX0tXF0mMHIWCN2n5emgBe2FOJCTvUN0UDvvfS749ylT8qzvqDg
U//NVEd1IuuntBGwA2Ed22PtfHYYVrdmouwtOb6v2g/sLykr5EBJHXhYkDEDRwAxB+TJXvUYzD0a
ribJ4fLJIP4+mgMSXz2OUJrDeXpssfyiEQ9i5Ms0IKa925G0RPGPPtQpNf5CoIiPNQtWv5EEjhJJ
guWbUCiV9gZ3QrXzzEKd0X1upiVLNEedeMtXJf1rkbvybvToX8PmMVYaY5FZG0/gL9+NQWl1u8FM
5a2wvODEH/gRWShfIhGPTt6weAQZuEFpFufZZXO17OlnXEhG44VRJDuIPEhwfZhcbqnPS+YX3OrW
q2JLikoLx/8g1l6grNFwhmtGlOWtSLeeKg+Fz0G4VMJJJ1gSPK3g3OXNcPTH9nsSLGfNBR8xnkPK
nBjXOMRssJSggPDPnqUF6WKyC3/nF155li7tP0yNXQQYucUkqkUUO+2NSsYH0GmfTJ254uPZxeVS
P7QORkUaM/6pdnB/+0afHji70EBcKuMOMd4bcqzuQngd+THKy6KktCFqmzLZZU1lAZLhcKbcoYMb
m5h0LvqGRr77iRI+fBgMkzZcjNMzbebvRYLJQvSzvWfkCdi5t3/E7mg9TYFbbD2N0SSC9zD9cjt/
fGLtw5XpuSryzXY4K3D4gYl60IoN51qqwKDPkmVip8yiOIZefSWssCNly3aGrcimEBNHYlXoa820
OK9JAhbgpX2RzfKDMJvm3UWOssYhLMtPZIYM5K25MD4ar1J3vlkax5wNTwEr8PUxKHKF5IwjEqqT
PN1C7kRL7CQ7m1zeH9RZ3FqJrD4ypMR3zWTH16VPh59G5n3htZnlJkyN7tzShn5YNBJAN/OnOpKZ
OTF3d4d7IVJnuVU6aIBG+lVzoAtaoZDomafgi/f2VpNZPt6WTG8lJjsm6MssoQggj3TM2Li1MuWO
kctmcCR553lO3BcqBPepJbRhD1+rP3If4JxSHbL0MHid1hRjmdbiKTFRU3epfRdYXfxRaTJi8yoO
IosIlmxbrtyoyyQoam4YwBH424/phRqi1/vEU02EO9Abzk7N+rPxelPm0O0nvTaJyCmb6IVR01Se
tak53FDeTY10kX826lVJp72gbQzw2BOfYG4Gkx7fLPM4mlkX4I7Cu79FfG0+jzyAtw3aYXkbCqY8
3MYxTSMa1Azx6rm72oMcbnyunpZB+IR7uq0zPMxSqi0bFqGjsO+omOap31iiB8il+rUSYpV5rwrP
/w49jFCiYsj7owxS8F2GbilaA1KONolRjhFyXf3kDpKsjtospIemA66eFEb4Wv52GpHom2zrhADM
LT21+XEmga2IbG603dKuRnW/4+CtBVs0JWglt6MtvybK6x0jgofZoKxfOg+IW+H1W1cOJHhkcfug
k1G85av+dIuNtOK87lr3XdtYyMfbMXjsXMV+ylrW3JdwRN4MJxvOdtrSl6mYrl3VbPRvcEwJ/62m
+SBkQKDIMHb2A8oC/zFkxo8w34rDi2GkBG4T/HLuu2B8EsKmGarFwF3a1CyrpJoH+KODLsWZRRwH
N+XksGMRwIU501Zhkt/S4QdriQXHLi+5JWZ333uTyzdd5bu4V0lOlFZ3TxAY80FGdGK3IlWfTfIp
zjkaiAi14vxVEk75HlsdhdriMT6k06Fu0xCH5ybJs/Zt8NxmPxnsumR2sZlxSW057GQ7M+nygzQw
WgG2qy4q1v5pnMx+JxmC3kirBt3HkNq8aZZmeunzutessiDIsPQ5kaecmOWkNx5k0cpbFzkREb5W
suvGRR6mDlOHLckzARg89degrOxvdG8NNrFJPpvUdzeKDM390FP908706dIY6SMepjEKwmSkaU9k
QyK76jr04U9jtFCGWBVckNTtt8a8WNdw5Nawc5FiZiCxObWCe3hG4E9ndzx7hr9MG6gt0GQ4dQxU
jBH9ZnXu0nC4Yu0vbkgQ+kFqF6kg8QxVIZg/krlKI+EA8YqDnLaiFVf0ytT8CtEm3vvKSndSMMA2
uNAPKUzdaETueyo6kL9RU9SzoNFG6JCtrS3CIASXbkMtay7qPSuJBOCosBxnpT1msha+hcBv6ANb
YUl8hCvG8lET8oixgs0md1fnFEKf4sbwUR67jG/osaJ4npt0b+FH2xBHfUsOF/9uxg+dree7qa/p
A4/Fa9iJb3bCYo1gYpc59rKlU/IR1khGQDpl2wmsIMBVEtYgdTZ7YRXOcXKA3iU55GHJUcFx3Sgc
oP4kyXIHQQS1RN6+EQCS33sJTkhDHCms+sO4OON3QzMGEYAFoLeZe3OhQtatgaNsZKPGu/RREU/8
MA3tA/bSct6YTcDWThSpwnNi3CFKnCMMP+mprU1x44zGp2P4w7URNWlkrP+bjDEYjZ7Q+dZPmEuS
St+MUuqTKtu3/4yt/6WxtYNZ7J/JUl/6j/QvU+s/fuHvU2tgYn8zXTOg+fXfPvr/mVpbqz/DFBAZ
TBD2psNo+u9Ta1wYWCZ8C/34/4yrf8PPTNNeTRSuv4ZQ/Tvj6pWi9mdDPqRAuGumTSLaOqn2/jc1
sMERRB0VzNeQseJCIwP377yvPDDXVeWQaq6hEtGDTeSFsQxW53nGIobw7v53fKtaU2lxJOn7fBhA
0WeWfkzn2b1nle1Q/pFBmsVBwT5tDpx1qsojpgoN/qzJFxxIXwydFyqlsKIzUQlW8WQa2YTNMjbu
wooZxRmxPJ1G9HpWE3zZ0p9JNprAHOjxlPiDlcWnGEpIDrE7aMcnOfIhPxk18riddFLh7BICDRGm
MHCkIiEBOzJ5WrZ5yYwwqQRSlcRZcG+oyiHNcSqz27iqUtp4LGTRVHvxc12J9HnpG/vIm2q25TIY
PybC3p+D3KFAkFWaI010STqgS0nUbrJPm3j4CC1YHqqrEGxm1KaRh1o1CpsRhyx08gUD2DnH++f6
7EsF45/dNJljexEUyWQk5qy8t2lSkJSoyaMieBXZ/vxkzNZAqKKZFPk6aZGu8A8iW21l4x9BjHBE
Y2uVzzBAL/Qj6JJMXaXu2HMLtlwhqvH0nxXhX1oRXGAZ/2xFeM1UAp7ir66tP37p76uCD3jD8fgn
FCOrXMVCSvIPWgfyFkAZIeiNNXvkT1qW8G/sLohLWAU8T7C0/GNx8P7GoxG/4ROEIQSK6X9ncfCt
/6NV5+k5j/CQvArkMevq8ScpSzB6JEPNiXUMAoZMBAg0QaTM0KWPNrc32WRjv4i/z3UAvp2JR/pi
0vOJHNNuLlmaDLd242UoQZlRun5sxTvloyhLZxYT5dXlc1PPcLGQ8Z/auH+OgfWvEq32w6QyUtmW
dmPyAmOufhU9C46sJmRaIwyNTzeuCQtaQa7OrN2P2oRDSDFM18aW1DQbpv3ha+81xq9C+/oFC3ql
fyHwD/2cjAdnuuWEsFMVgKtE5xcTJ0tw8EaYF5PtJD0SSmNwboeeRWcr0sZ4NhwXJTLaunEHNz7B
X0JLvauy1tn6wta3ltKME4o0+F4WJfrPrh8DPpZGiKOlpwRyo0XbqPDWpU3YzS4OJjCBVkuOVtwV
P5xqqS/JlEk8mIuzdZVTfFN5h67aip2tAUskKhnwvQqRz6u4GE2s0w3ZgTBFec+E2/QPv33sLIrG
e9+VKDY6uFqp2aVI4SExbdplbP1X2WVjz2kJYPFuUWA7NjqPSceIw4SICMKienHXwl1p9wY4mGeF
XvBjYBnlJFZO8t1JHPygIXgxzYmUT7mwVoZ3E1rPYeHSPJvFZD0nWQ8NspTrlKG3SxOISdPjVIBV
sA6IOs58tqzpqAQc1DkApIzmIkO1kKMnprcXi9H7uvLyx9LK+V5jmkzeph1q/t+cVvyOa8+FfyNr
TXRDCGIvcnu6WbkTUJm6A2TpfnRw7YPGBlidkNz9ynwYAC0exPDVGkA1bxTgZETiiJSfkePzNiro
wYeJ/DRQDH1on0ixcD8kVJbu4PTYpDdKd8slZIjB+6wA6pKlyM6Y49bqsEjwoTCgcfJLXyyEwjO+
5QVMCFcTmgY4xaLf0RggA6HSJPEIWszFCJJvA+0DyqLQ9cRtPJZTvO/62ExOvRwBZycMbT6hdKCu
hSaASAJ3d8YnTiLXoWTC00awosZu3EBW4AccL3l47a1vPlh6pI2LwJwXqUnzL0vr2yfHq+Cf6JSv
ZenA+1OsEkphSN5EPAjzPshGDzA3z+j5Q6H345qYPpX4FjZ/4HvzKYlfJzrCQYTjFFWWM4lxOShl
OR/mzPDjj4gLzwS52woEWBvUCeqIwNp1HpKcIqGwsYWdMjtT3Q7LPXT4VmQ8fmKXvK25QpeZMmh6
42AyG6+/X2XAppscy9lBnIPFhxfrSo+rzED1exuqktF5WXQocjtv4ntGqtQuTyAommLflOtXKhA0
8Jnk64Svn8MVo9dBUFANfw/nNZ2DQxWzGaNZskPRGFwQYdXCO5hKVig/b9XRqUxr3mfA178Yc3BF
5p6xXlPWOqZLXCOoDg1jXJJ5rEqTNCILHWm/6KdtH4oFVKc3PSJD1fdjPkMj5kpjYtEMwEjKtK5I
FnNCedMHQ0RHI4DBIMi92NAxCndDBZ4kmlXnryy3+PKbsM+XyejGtn3rMU9nHGyl6uQ7bYiOk1hO
IsfIVUyac1DtQQeAoRsT92HI+u5nbkBmohfKbQGKWz8FHoNYXygubKEmxZvhA7jxTMfg3SE+sBHt
ubBE+kmV9tYNazqAfGSUczp0fWQmof+zJUfa3ll1E9g7KjzwIaIDuZMkuXOCnsPnO+s0flW+zwoy
INPmCavpjqGOswO6KvA29va0ES2SZKS/jjwRQ28fmjJI00ixY8BOkPVjOTbMmcaC7JaNX6TihTOe
vzcmNf9y/Mo+x9D/j/kYWJ+l6y+vQTJofw+4Nr9p6TP+soHaPQ+uO59khbBrzkvUIZnxAqpQvVIs
dqQUFjQbyzAg/cJiPiu0URJYhJirpLO5NwNoQXViLr+yOYHZY0OnvRA168MKyH0EatUS2+/ANulu
TqB7mLj71mlYVHGl9nK37jStISm6F16UxYt/4yYtJl9V/XLdMIUXEYBHAOHQArvodXCLS+LRqvAA
7zgOYMwtgrGzbkqOve3D4tigpUzUVqsZAR3QuEVgKa8TTtlNYQzxfT0qVpPZRxpnyOGRhgWH3gno
YR92yL7QE9k3kgQG8RITo/A6paV6wjRyn7pj+zgLPBJT0lmPMUeUp9rnqArMsg/uWogUxww/AR2S
1PyWiEkTgxE8L4nw3gZsq4cG7CdmhKlu1kRGWcojw+H1xgc8I4mdHaS47zpwBx4DU+D4ZmreTM3C
DCcmvfYBsVPDaM7HJ5wra9PloISZBfX4hcrJZEycxun0PUZiXkaMCl2gDBXqmyNwZYIKDcspd6Pd
NlGgzf5ZoEd9zwS9a7ZC27wbcodelmnI0+gRm0K/J/+u2d4voHqH216Y39cm41XicqC5N2npwTSO
+xuwCfl2JCbraQ4N5zLr3HooLK//GsG9fp9DEqY+cByU4wNs+Ti59GopTklZ0JVt1TcxL/FDmlqo
JD0QGpSCnNB7i2AMHKr4L2CRdrZxp1SP20vYKEKw3vwq+0nftCtGJnZnBkJZP75j4Yq3SUWaaShD
l9CRCahkUafAPEy0oLfYbIqrGaNW3aZ0QB8cLABb3xnA+VclFiTH02e6RvX3bOjRQTbyJR4kgQem
eu3ZEnfMd9zVu/ZuieSUk7tzY8yu822aaJdwz82KdnlnYVdM00uXOJiXydC5Dr7Co0U7tPBFj2gB
jNDGb6QmXiPtHd5hQIpt6tjlFgzzQEdyNm49YlHAe6Y3FfkvR1FabzFdu01SerQQReMw3+zXJj7d
H4tzHWsh3rkUsT87RYioJHFab4NtybH2UA5MvWHmbj8EiePdBygbnhrlMHtXMD94P2kfFYveG34P
7lMxlkLa8eKZLQ0jRcPHsrWMaP26+7CvqicUkWONDyQv96LGhoJ0O4chsspdachhEWGEld5Xq5us
QBj0bCo1XubONt8MxS+OoDyurEDjMdMdydN9FT7YeJgOsh5S/ioceYFt0z6mLq67CKTJtBsawoA2
6dRY58HJhwe0T+ZWxd4JNw/81yKZX8yujFGdVsNrOqTfEJvQ93ct6NQJ4bUvI+IsusIarU/b2WdP
VvqoTfQ7TpgG2AWJC6FvnU+4oioT5VrgD54iJSN1uROqvoikJmaZfi+7I1FjEBH8qjxIRGCvDKiN
zSi1eoLo4+8JcYjzHdshwJSc/GNwnbi+UKKZWlmPKTLDjvTo1NkuaL4vjYNfa2Om83DRyqHVKoQG
McV6Cv4LNGzks9585u3gfQEgmXZZ4bnLMQ378qf0/fYYqjDelWtpBRSHiM5xbkmatSoCWdeEZ+aX
kmH0iG5uCIbrJC2xjecSEu3YYgQlt+9S5NV4u5DOZb+wvxXXvi7xxkRVqKv7vM/sqCtcYCzkAnmP
jPHBarpGuOrAcsqCenJ+FJYwkz0TIcZ/o0ktiKukuEvYZJOx1DfMxLod4udQI3gL6DVSBlxFiWFr
U8928o3hLEKVxaavHTvhezJYzeMSTxCZEY3v22KYb9zOdW/bOm0VCaOtsUWhSd+9KfuLttr5ENSZ
vrfcvntOp4rBQ3uRwaK3bSjauwr4+k9yL83D2LfqjD09PqgkeKVQm/Z+p7ajr5yHnL4DobdjURT7
XFdJSaN3max9Fi4QTidHMfBvypqxQSW85XGwTflDFxVBeSx5JUYAtP8bG3ci/kt8igWScPSUq33R
CDEyGimBUQgrMnf4Qe/yWQ5zjeFR/WF/rAwWt1OsvQOeOv+xwScpfzsm69/uSbs2P/oplFcNTGCT
BVwLp2JiXEEG1kysdZGnjBaE45pvWcWf1LRRaCjuG9qtexJ5NoRcREif3pYUzbZjqyDx7xMh23t2
v1NfsYNOxz+d5O//IFb+ORtxDdP4C8fStFcvOLEAnmM5jsfp/M8H4wQR6AwGQx19pRwCxTiJulkq
npfZ7z5DZWWHf/58Lg2///WEBCUErsDQbmJtc1fTyZ9O4pB5ZppeXXOssb7eIFiX7x0L80dh9PgX
RTP8TEvTcW6TMRjsk1Jw+uaog0hdXdGlkcaBxi7ceW3tqLtKrcmFhrfIsxJYwMaUFMmxaCgAnaWO
KduqNf8pMe2QA73TL0+CUDC1w2ynjtkwUGYiD/po3HHqn6AWYq9YegusZFSvGSHfF84TgIUCzYEt
iUn9yuyEswjsbeu58m35PpVz98klU3+R6lc/2UB/4Wn/TqLzhCnBYIKFJmaZ+Jx17TQ5YFnGf7F3
Zstx41gafiJWECQIkpeTmUqltXqRVbZvGLJlc9/B9ennQ8odbaWqpei5nohewmWVSIIgcPCff4k+
rFY/9Psw4+BwfgwyWfjB7lbWDRFMXSLUjINWUH89noVL1Yqb11/CCVYqQ9v3lASpQTBgA86cvPSc
ChmDd9rP3mLOyx5pZeS2YbURP0Fq/zF50/yi57OLC5GkQhlAI9A5nV1BxwmuJafoAAOHV9wEcO+w
puH9HJOt+jTgbB3XM4cQBIzN19cf8+XVA5vwWLhjkggM2K/PpxoplcKnWw/DM2ucOzURTpu26UL9
SE5mTaqFojHrcwiwppJj2+sXF3gwnDw7ELhjE+oifBdd4ckgT5lHXlPUkW0gIH9txilGF+znrXNX
ZT3HZikUDz/KpSav7xju0lWDIQTGfnGAmCPujjf0/8ZUbxlTKd7/H+/uRbrL32n/o65wrn/W9Xj6
t37jm4H6i36Hg7WwQ/f3KK37F74ZOn+hUyE5k9IsOCa5/Lvr4f9lM+uxs+JvHNBHbuO3Vs/YUpHK
AsLIx8Ec4Q7/C63e80VcMsU9H79Q1lR+m3jR+wBZTXJUDOqS4r07HGN8PVF1h3UhdmGrO+DEPwbo
/Vu7xtMFfQdNvBT0gpQwC8wfi3jOUzdOU3qXrucEO7Q66fkaDnj0Eql+iMnbfWPBer5p/L6eVIwX
shMA5hO35TBTa88JVF76daIespALuFkm7noPrOv1R3u+aBwvxavmXXukRrBFnTxaB9c2HnIhL/OS
xFakfB057isfsAInu9FwTu79HC+8Lnoz+OofnpKZhPMZzTWwhtMIqKnNx8W2OnnZO6ANVUAFSAZo
Raef4Jdy+/pznqxPxwdlBkKGBgEN8Fk7edC5LvoSL1dJ2obiQljCA6VNmc2GMGof3Khysya5wHoF
KGzpkrH/QtQt4X0zdlFb26nCq9fv6OXjK5B5pRC9gvqzZzyfVPgqIauLI3n5lHN7hK1sAsbP/4/X
4rTvuZBTBRPnZEKRHEB4IsbGWLER/TlI4hJ9Xc4fj5HBrz+WGcd/74FmnJXN7kenw7e9wD4teFLd
kA1XD/JyjJJfTzCYU1pvvM1/GjsWIXG8GKvUycu0Rw6c2ink5QpH4TILRraWQBHTK1b47W9tbc9N
8J4eiRx04VAEMYSnzj9BhLPJih/zZeak7GQYhoF2Rxaw4xG7C4iRfsDnlI80DWeoHhox6IhV+OsD
+w8zGOyOZc82n6p0TidM5FDGRCqXlzOWcBduXgkLnWAYXDVWzwxtQ6qNPHfY5pd1MEHH5uMFc03P
WUG6w+t3809vQELMgJvAm/ZPDeHzIsTmBtnN5TGqmZbXtDlC/7Lp3gps/6dLUX8GNM7ZWl6U0HMT
dHXnt+5l6jG84bHnQYIMS31gwODXn+v53sLyjZiLetEEanO5F9O3QVGKA3ZjXcCdofa1yAL7WrkF
wdpHCBiSWfDGXDa2kX98MeaSkGB90xPk05F4/T9fCJp8lY4SuBnZiD7P6QWAwvZdTxN4skiN7ulr
4z+8zu+TIIP3G4Msl7MGr7Yqok3BlTBcbtn+jisI5n/U5Mvq0HWICI4m+BOK4xuDRG/y+T2z8eMe
ZcIFSLSnDXoajkiTO5Nz6cqLvrBLmDEoPutUWXtonfkAq79c5pjwWAQXILVZs6gzEuDUh44T3xG/
5R6BQVh7Iy/Wj2Rp6McZXwloPAn0N/Bki5UXSYRAACUmEE0Rh/KhTQJyQBWgvp3xr3WQI9CS8u8B
FDm0O5ys/apHvyaqTWLonzGAG0Dd5T0Kd8Lc8SCgu7hiVbIlkr0VB0GSGJnCPia+uzJMIEcXHSx9
ondSV50XVcs1Akb6mFnQtkYfL0fixFEqN3TGkpoZ0kjRfF1QNK3nVgRD82ICk6WRGJfdbukEudk5
Bq+PKALbr35TIbgvhSnKQRLfW4626OdQDaffxBLyyvzVVejGpmCK7gnAYe7pXD3keG6syAQc72ER
Yf/4VGKrcfQeyiV3fjRr5BxoFLYfO0XEJ7g21PA0xnGRNgSM+SlEygerlWaXBcB6KWd6NQSpWlt3
loxoRG77Ip30PHJd1C89bDurdsSdpg1FQwVE/COw73rvjJjmN6HkPR2ZJmLu+se8jB3ouVhXnq19
BDQaYDd1PzRIijbQCslJiCp+S5ktAjYG44ZXE4eQ4y4HJdy4rKjCpTeXdJk5CMDrXHxo4juZgDRu
iKFc/QvEQt3BwtLkKaPdplHyMSeZYQaEtkih97BNuGlTtLQ7gD2yf2HIkieWZY3e0vxekCPaEbG/
jVkvrdGnO9jLkfBhh+5zu3U938QLafZFVSNVYwbHS3xWroG4SawSRvviER+ImWZAojcNA9MjPfoQ
icplLo8ZBNAe9JYDrh4C439C31sE7EUaw0IjDmZf3mjYcO62wdjoevWLNd6KtPQeSEjwHpQJRuA0
1IUkZy2i+xS7q3NYEQ35OydW8ls1jtVdAHf3GsJnsWsRaohNZqHz3YvU7i7SooZZU5g2Z1/MM43Y
Fb2B3UfqrijWdNpgogdK42O+eRPY6CpKmUAyLvMwJGinR/ToWUSiVetyl4e2B66JXTTwsjFmYU5C
18cL9oMmXAKANRrKn7XX6V+BXHGFcvzhJlQeQhXgdag6Q87KtF0LFq7JbsDdtLU0XxTRBP0eOyr1
AxoNmjL8Ja/qnvj5PedaH7uDoQHRzWpi2+qhvsGsEW1rtfbJt9i1kPURknqNwwZoVLVEl2LRfnse
9JP6SgK13mMluX6Dh1RfuJJwQHK/5PoNoCo/w2ZjBVMZeY0BLPNtnk/Vt4zOl0YiAa4Lhu6fm2IU
vGJue9yfu9I6a6kBTVpAuceSRpuFCV9s9Eofh7y33lWQQ99lHVbYizcsP2FXT/iDpBaWsnX5Jc1H
ucX7GlFClRKsQXI8GHz34GsCKMj3tnaRAyVzGDuxL5uaXxRYN5LuLss/Ngn0gToUFTsT0VoDgLew
PfBShzsS1+bNN9MVlW5woItKCGKVjtNGogbKkf6F0Q70PHkHgbzHLRoiwVovaMLLevgMpxgW9lj1
+8HLUd8m9o8CfeGXsEgdbN3EvO8tNEpDwX2EkS4/sCutWH+wvF8p2U7Y6du8UT92siuY2tV7Ww8N
NumaSW0pKrKHJYIxYDkZn0Tfc2I4qxuNHl/NEQU2hAsa36y2+jHubBakeoWBsNgrU9bWY0iXcaDt
HgyzhwURoZVEdJJDOW5K8gjXreMRohkJOb8vIGFuj6nhug/Zj4PBQ82IhgtuSVeY3ybmBluRVLME
HYPGDb/4vTVzjupRNmNRP67ibmwkn/6QeNixzOSdHDyRY9vfMG23tT/Sps6Lqvjq1G1MPUeW9ka4
tVOjYEp6nLq9LAmaX0szSgwgfLzfC0gSZ1Ump59EhbdElOWW9zexb8jZk7A/FBBykk01x+mwgSCR
fO9H/ZA1nnvmyTQm444mWv8F9vZgfSJ3Bdpa4CTBzQixnlQplI3JNLX4nah1vwTGAiuM0TSQxTJ9
Hr2u/Kji5pdT4JWAv81trh19YF3FV90JsaKTtO4eY53Ej2uaTp/iwefN8cWT9zbmcbiRMek7mzFJ
jc9w0fsXGPX39W6eYGHjPM46Tp5OH08HHc72pWzr5brttftRkYFgbboSq4GN4i0QyAWecA+5YSYa
R2j0awCtt3AgituWnt/HMg3aLZF7/Q/osAUq3tX9XodqvNSqwRDAi5wUf5LAJSIigWw+DetEY7kt
WC7CyEP4E8iLZRq/RxC8P006zj+IYbCviWvxvuWTyuNtRxOEvZL2z6YFxcdFZ0mvu5mMICucQiTj
Y9w/OOnUXIJpYjsH9H0plI15oyTJskMVRgi5RTELV1s4Dpl2xGXN6Okr906h3jyMFbbHTZoQgrgM
6wdNOt4mHOPp61Dodjiz+16mF3M6z94WYy78RoIIR4UbNdtTcx4mQ49xQGVdZSS4f4blh3rXyqEK
bBzLt3PolMF0M7HD/xJj218PTTOewwxZLoHRSuR+YYISDA8A913C4naOm4QgU57KwkIp5o8fYmec
MJnLImLtMOjsvuazdrGALLyrOXVYRul7hfhsNWM17fBjHCK8vWrnWvsLhi5L2JLpERS+ZEEU2Kw4
aoj2odWi32pi+Q5tJmz9QsGLGPz0Y48Y9fMglv4+gORxNs4wUWFk02jxcUSRNp1TTGUyf+c2k4/u
JloTNEco9zbaXogptUYUjJKhej+unFOwBPY7eptReuvY8L/sbrLwFtNuvEnd1t0HltvRm2kqb4/8
HjvU2knD/nxg7v6KimT+uwlc/YNEaf9xUpoYOLtRA2EqhfCKbVYXPiEdgVv/IoGmhaaWEMhy8HXz
y0sQCfdZiUX3mvb6wiX6sN7UNdbYOLK1y0bSLsCJEHGoRZbAmWOrSKMhNg6k64Kjgg0vDTsnMPfg
Mh+we8A8avySqKWGOhWv2S30D9/eRPCnbito8XpTwVD4kFgubw1QXSBYbYgWHe5n3HPQVx4PNf+P
hb6BhcIZ5iz/ny2J/6d46PNnPM+nf+Nf5G8n/As7MPQS+DLaNIs4uT3RPNE8/cVBEQonx1H09Qoq
52/uty/+ctmkoYNjxO8CoXJ0+o2CevwVHmj8LfQeCWHwv0JB3eeIu7kdAcUN3FyAvIO8npwbA39c
ynKw5c/EXpvsV2E4LDYSCAhIeqd15iz3WQGrb98vbsEq3pPy+GPG/bq6wssLW/B9Y0l4Zzk2t2gy
qjCySZMIClwIP3d2aWXLFkKPWtWGQLB4tLDmGFtJtkoxLBjoEI7UO7eCUp3PKsZ3dCJFe6DdVGRD
zAlCcqAh62QlYCk4d3sErt5mhk0WdlvMFTDs3Vdj1uPHQk+eFOS3TtUnoA0H09A12kz+C0UcN4vn
p2rU96LW/er9bPppDCFWx35CKkknXTe/DmPoUNZ2FmlV/mpVly530gfz7iA7DB3PU4kpnj//Mbf+
AUV2XtySD5/QI4Ej8IAzwlPA07C7yrrv4kdaT15+jZtUnF+scqA6xB1dpRNMbz8lnM5EtQQD0TRz
QzM2s5s6f6gxsiAFzh/YtC9gZ/Z2crZG8YqxQDHzKs40J9v1PulUZM1nas1bdbMSmcuPlaHs4T6g
ixowrHn9oU7gPmALMwexw4bIFNIWcJ4Pc5TkFADUST/tCd+oTx6UpfpjWUT1+v71C/FF/YGSSC7k
uh5BzgpmBIMXmMH9A4NHytuGK4Xko8vbFu5ZU0S5JNjV5gufXT+Tt1NfeyZkQXmFpbeNiP3xY07I
XPbr9Ts5waPMnZjIRVvQScZ+yJDJ/7wTAcvHDudMPY5YTKkbD/cejZKwtHCNuoCMiDfDfzvIADDA
Xx74tU2lfwrfWoK4UHYv90cxtF2NdGtpMCHHUYw09OmNa5nv4g/8lqdj4ZICb3BWPoJ3Tl4omtIi
hw7gPM4ixo3op4PuIUFW3gzMO8hSZoiLRRnVyOvD+mImGbRYmf9gFsaie4KHu13Rd2GW9z9mO8Qc
CkuAIhg/RthzMLqvX0q8fIVQAGhEKaBjFu9T9DKra5FjVVY+9tiHYECNeUD1uSDxtsXjEMP2uLmd
wzWyy6s67Spln3ljkq/3We83jbspCxZEWDMwecIPZGzQCcN4yZj/Em3cBcthmKQs30JcX7wYD8c1
kmBoXWB0/6LrJcjLAqywqx/VojvuglTCPPs1isXyvtR1qVDkRfgD6uitwXr5Yjjvg/HRpXFARU+X
rcgS9tx0nvV99SzBSRrlQ0pV5QdNQvSGcBG+FsiuZe4/LEkRE6zWdl0XNtvSmp3xLi3XCZEb0N2q
v+Nmn4XkMipnufTKRfbB7vVXy3dxMoG5QR/TWD4TzL/IBjhZKLx4arpy6OrvSZDSDNoggNTre1LW
OibVSkLjMhIEDOh0Y7lRytfUV+TNWHAgMGHBuiOX8fKDCVhmvxSGEPyGNJL5iohCSLJjnhZgGTWs
Lt48xOpLH4eclrdjCWlYb0YO3bydCkYg2zBhK1g3bBLURCzRFuwzLugscxF8iJJGz1/XxZQQG+wb
cK7aEXfhssjbK6Butndki/x00yYTLCIcP7Lyp5qQTomNix3E+p7PP/S+EIPM1OyQlXKPoslCyD4C
d+kvtEaaDF0xTLz1ftWuP96NXavGj33GP5k2OA6zgpi85Jp35iRkC2LejyYSbCAjN4UPPcKTiIep
MeHEo2LBQrsiMWXKHH5SoeHiR1Ll96XCgXlO9AeNZp3NbGmxAtDbHvJXvJxlccilLYT4/PiKTJer
oYlq1I0bYvj/tQ1SbzxEwHHpdSErQgsn0c/VJZ6By3BB4vbMXJoDuAXLDrNqsVwGI84tREJH2uyZ
xOJwjjkQ2KN75Kp4LGED8PsBvAxp6rSpaLWqbGejkGdAPbti+pGAYxaxovRtqzwjfgU69VnqN0uZ
bfsGnf+/fkfbtIDHpKLCFNoy5Wpk7W6yeozBQM4cl54bMOULcnJ4pvhpVDGxBwhGF9KQiXeYJo31
ADyMAcaTSEi9AdK3fKq2pYkUw9IsPmfqHQu9mS51qNm13LyumDT4/2flxwrJre/vcYox06XBCJ5v
aqxC8A8SGLCvXMByUd3/AkkTkb/XsaZtfWHJOcX1u5zxLt3WMzgljCsWRhF9CkjHZkzIXSCz/h3k
vxEVRryScxfsMjG7/N2CJsc8RBY2ar5u3Wis4rOaLFzu2HdGVoGzbsWBDDcuWlPcSee2kj/FAae1
8SLsYa1mu3qpJZ/CkLkBf7Ji7bN3QRTV3BLehuZC05CZe4HxiC05Cgas1X4s9NWYKe6qlDyMKnC5
vQz4wNRt0Qg5/Kanded9garGH7ahu/jcViZDM8btWDKCwzwNDOeKTIPfVFACykOm8V3w97GtzBQ1
pfV41wQV/8vJt+AD9jPN2kDpuFJlyCnlO1+6ZTWLR4Iw4SFr3c580jI0v5TMdRzIyaWhbgSvaoQ7
3vk4+TIKnAmbfjmMs83R8noEAeYXth3CKOx5qMXMrMa3otO7Jg9X4R2wjUJyscvsuzDx0nDcCVpH
ZmVKCuyu92AUew/Pv8bd63yJpY19LpqVXTzazfreW5aZ6R/0mIbi04RlGgmb7UK3+0Z58Ac72L26
wNeedEc3va1J4QRIoFY3bxgIccFBFse9HuFi2tMVB0DtWhRB27noe2u6zKPe5x5pe/JuWkk0Bfqt
XtCsIvgzW+L6E/2nSFY3NTZm6MGUnUps21iIWW7OOMKT/4juHZtHjAeo22eyvhyMUg8RoVteHG8Q
ecpc/VgncGgyzAUpQCukMfp88Gu7ZE4SHJiIjhQ+is2wN5MH30czEzFaIIM6XyIzL+1h7plDkZu2
eXyJxH/l71pnHDpxs3ouSyUpn4zSjpgtgfJkti0xtDfAyA5LLnFLmGaeVQIaS3JWL+XE7wpb26yC
gKYhM9dO8e0byRNsMH3Bbqxv+TvdRWZdyu2xnD+EEFCZSAlALMtTI2fF+Gnyj9TNyCjyLQhH90yo
se1cDBF5++3iXQYLOP8hKPqVGydDY+DSUgB2NnuWS7ajcWl8dvkSaIcvL5CF2WS1Hlqm4wxgh/jH
D7qF9WEJEkvezvZC0OeGJcqTh6bVFY8U1DRTSQZ1TIll7AqWH2XQchr5fQ5h1TeDM9WtW4fnmGgF
bXgWJ9kEEXTI1hVXrQCT5V0bTVWEQh9PvE9RO/PweDYVrPbjQvepQcqCNcO4r8vE58POEL8yeQK4
jIzg72ldppP5u0XWLhN3RQvPnaP9M8t9byEduheEDTDGrt8Z7iiVaEwEmG/FKV8uDtqej4dJIiDP
OynLLghhTguHHppY1DermpBF2OVc3IWOE+I50nU0iC5UhanSXtXj0PxAAky0XReX+Mhg2+W727pq
0vZbypq77nO/qotHiZStQ7yHG8zDtIpiul1DDAY2aGXoDDauNzU4qGVV6DXbVrro+/ZoBIPxpmsR
SBuphF2KK7dgW0U+qDE5a3lHRKfWc9CuGbvw2EnMlvE/MyX92k1LAd60FE64gUqx6K8w7gb5SRV6
kfE2awkHwRupcJao3jQhzx8xT6NY44bMTlYgByymdd2FaUHS3D5yVqRNMx/HAPsvv55sWxDKHfox
kiAKtPUuxmmiZuODG3jREy0ZbFypHbFd8NzFZ1PFug9NO9AYjsPK7raxV8QH5JN6R4j4tF5GYWXb
52ISibNH3CHoemi6Wxj9RK5nvW/yupSfh77F2+3cRgjetGdhbc/z3axnrGIt+kDWR2nJnuDMilmN
uZ9S3efVhwZk8oGV3zXnuOPEK0Db6Ddqhwy7yM+jVGcIaDD/wNw4RO/kJFu/O7pRizILqscEgfs4
73BSWdqfYea5A2JOnyghWhG9p+1zHVWtRzBBbnuFOo9KK1c3pHdYOXl/qqGsTX4m8KYJ5dvWAdE+
9Q4u97IqOsnaJWelc3iY7P3v6tteoPmLj2Sh1PQOJhxR2ZYagn4b7zPeHU0jd000ddFIPYUQPD8s
o+9RjUX2xAfTkePN/K8sBKTpeefOo9lWSAg3H3cbmPKxYwPnc0ikMitc6dmmwkwtMjiifbYUU4x6
y+2bKbhc29iiJCX2CaPYay8pM3YZuo+xs57TXOV30gKqTfWnemLo3B1B6thfbRc5lkV4PrRlqr6g
HYNGeC4ayyd2I7Y0WEMztB7LpNf3VPZBbjFK59LxqIInm9rNIsB9aljLsiA1mwbhWBG2LG7Z09IZ
RaVW9xBKp6AkqhzO2da7cihtHpS6BJEfsoiyMwtiWTjs0VPgSkoT/Ho1A9RUvtk5acDO3GkXJz7X
HsgUqddPo/RgDGzrKJz5ZXZWo9Tc9IiZuP8+zMw6mUu/4EecTITcURU1vegewi409WqIgpPuth46
9Z0mS1XvlZP51RUyzpFtUTcYvrgXVeObkgWFgxkjXVdKi1+D1S95uENpOQ7QNmgH2wJyGYpojEzs
zmP4WcMXUyId4R6FsQC71O8dDIYZ45jXuEzprQonc/fCjSwGErQ9C2uSxXH6/EWeIgNrgt/NHQy9
hSPu4V8jsbZ8QpuhQf8LPlQl/Ma61OhFd7molgCFN85FDFkKsYgzSzlH3peiE2BPT6+RDVOIe45/
g74L2mjmiV3aJ7yjgcYWpjsVdga4AK+w5aLw65jTQ84PCVHl5fQOxqQa73BFMFWsWBsDPnUdmtzk
XUPaJb/LJg2XEnxyFnOQD1TLZCnB68S8TSc6r3qH2RhVCiksppofiWnsvAOmYv0YvMc9y6nTKwV6
zv3gQGm+A9ftbB51zCky74pemk+kLVsDeFVoEFCnjtIUaqLgaJy2wkwwNxrS1jlvHZ8+HNri4+6a
jGPMpjnUE4Xq1nUbqkDldqbe1MrMxwixLpW1zQhkv9D9VfyBf25+mqqkW99PReCzXQrMb9nDkgRD
PgBVNcSmmCc/mJt5+jxyjRHOXTFMNS8Vco+ryyt3dsf42xhMcQrrkuwEn6+6ZS4U5EFRE2R72Ukz
d4vKCavrEgkgKShx0QcCkQl6J5eidqoX3u1gjSXXqtaOR7CNBhmwgiC7bBcivRw/0qpIu4exg9iC
E34+NHixcraU7pWchM4rzIUd5llpO+YQSFeSExtdVPNCyFulvOTgyXvWi7culy5SoOUShtAy05ty
3DZ/GBMxMyjRU+XTx/ZIrdHXQcfTpjM5Bsgvn07EwVqFFAZzHGPogSazdflTzJmlOyNDwpp/4ANP
kIFtEWG3dRMIWcFuTLq4J4NKNe5wh0uki/bZmgTjbxEjbmp2hb8YkMgszCHfR1nMP4zpoY53UR/F
vDVdAujS0AysFb5DR0AANUro1es9o25W3FW0nHnftXTSEERwfmA6KY/LA+1Fq1kqG9ZkdWgIJ9XJ
WYX9OhUNNJ6Eo0qO+fiPp0+vGgtTWhVWiT5+s7TwTtudHkfk4cj9JoMf0WRfzJT07WCqbm00E1XL
gKzmxO2FlmYgJ+GbT5zTctxcK0h/FK/LlMXnEZ7lwwc1+2v/jk65KLANdjhTsLFhaR5zCNQYIO7h
WtT8mlDqjrUqaytTiTqVwyoOM+R4apzzmCb7uxaWBYsUBf+gtj3IlVOchfFoToFPB4siWs1N1ys+
ophBt2qBHayDlROvHIOMic4hyWb2T0lV8UpTMZhbHyoMFMozLE4irc8IRJL5td8AjvCD68KMgrdl
FizNa7RwRMt7ot/RwxMeTmcgcav8wa2xYg7PyFM1Kwc5hqbQLUVuZuXrqNE/YEZoJyBb09DxPXEK
sBJ5B+EqLKbvc6TNOdPYVSfeziLxrQg3/dDxvG9c8hRVA6YKOJ6iSoH5E1A4PUeRl6aqAlsr/d1T
k+nePE2NgsRBtq7Xn+7lpbAiosZ1TcOI1tQJsuokcbOOoBPf6WSb9alW0iVQfWaxZu16/VpHNPBP
/FgAHfsCIrwPPf9lV6q3BfbqRe5+n91y4CAzJCVeKjg9yITPMIGtz164qppFY6ik1wOijEUbYOys
Hc7doBCmsxFy5DVrz9PK/Lv3UXWxOSKQl0Mk7xUOvBN/ev32XwwVbhbQl/H4cTmOkyn6/K3MXVTq
ePK9B52SPoCbr92ZYyGbK0eo1y/1Ys65AMNEkyo6QYgmTvFuyqjUwZC1eUDm6Q7LIVqCbLoXKywS
h0N6TPLVGw932kIRvBj8rOH6g5o6LwjEHfLSIAa/f8AaxKxReuZjez+krOwfYwcxxbKLQup9iomF
P/8k/cDublntSu8NLvPpMNM19bDNMl1VPjdxOiMnRPLjFMbuNzAJjo5YGoNSBSR6sgL+d6PsIBTh
abEL52qAYydtQCIn2sAVmfiGut5HQtoU5mieZpzUDiQFm6rx9Qvi+vWsf+J4tMECGPCuR4cP+Oj5
DEL0u7KYLN23rqJPlJx1SL9Y5lgUF95r1LVEZJMqEC+wVPzcS9gZX7+Bo2Tjzy+QUgsiqw1n0Ue8
47nO8zvglJgUovErApntJa7O6GUR1g7qkYTZ+VPZMnaJKY0RzZn1+zcobiH84HhRKtz2knfT0+CU
GVwV8CrPWviKa1Q+nBZWgqXYEvp8qoN+F7jaCkghF7lmtfYnz2yW4zLUCLiTyObDJziWHnq20/4A
eCSmbiZPBi+VKjsLKOYdjdJwJOtkV+eWqa36EZbWgrmM43OK6aF18s5Uk1Lb+D0yUfbipmu4Lf8J
oO8p7Vk1Ib+boikL9LHic4QplqOMfE1QG8hLjH8QZx3IpDPO0J7IpyFY/eL14T/9rFn3HFzZPGhO
0O9eTO2Bk0WCM+LytU5al5o1brQ5AoWrNhXAb8j69Uua9fvZC2epDY89GrRJeM6dzHEaZQsizGD6
GsbKYIxDGqr8GmWXk1s3dk+MBNymgkgWMuAhDvEiYGGbu3n9Nk6fHCI43Hmy0zDN4Zs7tr//6NBW
iFQn3mXyNa+BPy/SkpSCz04+Od2V0+s3JFKnK4hLcea7IEUKsRlqk5NJrvBLS5Om77+NWJis917m
m2kB39dUVq8/l3PySfPbA+hKyKR8Om+ua590lOJptouiGp3PVa9xe42ALzWO3cConHTTbGJ32NDw
Lvk/H8CGeTl7bnjPYc0jKdGkAQDBcOQx/ftmQkANjrBKU6inMScUkob5KiCTJwbWmi0DAwSYYPER
joEyMHFe0h25G5Gg8HBW7rEXxTFMbpaVsTTrNQeCfG7f4d2aLsUelmosr18fhJPxZgzQdLo236nE
oOZFx9SDph+Wapg/D2VmduaoplVBAshUc3J+/VLGIu3P+WzeKYuXgnCh2BZfCCKwBgZTFTK6C2R9
vNaAa9BNjjGe2ZpY6lmCnnrvBSQdRoHAFYOS/v5TN2Kcn3JAsBlcT/oGz+Qs2LDSOWUfgShYeTZY
61XPp0pgX9qU+XS+uAMHpjP06RyP05VFbdz/bvzRLTJNJKvIHL6dNbBX/m6sS/PCVy/jKti0UA77
T9AEvDmD8VpeYt5kJqhapo0P2Zz3rrvUAMu/W2h8kczdjJ4H+14UgXLAgxcY9NZv7LfB89fn+8aP
zrGN55zHXogl3PM9oeUJxsBuoh/F6Ppfsg4i+t6hPXpQedBIMP5E7+Heh5cLUSnRrpGkb5d4UN2P
cQoDtwqGiqZp7G5CazHJz4luP0ecX3vIuP2YbJNgdA6kRX0oabX9MMxaFISdRXYNvRx1i7dBfZnY
aX/NjpSY1L1kzHcWDjF/r/SRRwyAEBCTCR3acgdqmN9bq6U5HBDPPG37sHsv2ZXyvSws95ok9hG3
+KU9oyde3Cf08C+KwqFLkDUaOK/OJ1p4WhTfYE14OL7gDLsZ1tYW0BA7/85hf35oEnKRNlGnEiCM
uO/PcWbHRs53h/vUdRN4ULYlKwx5veZrPqC5KKym+6QkAfdgU8Mhm4dsT5tgaXAno7m8nacQJizZ
RuMFfMozPYWwsoMky/4eEAGCmkdkJmPFVN+tOJvvKD8t2MCWJbeYjH6QerG/O4vuv0G5xlpz8HCi
mlV5mft9eoa/cvqWhOfZN8aEoK3MYuZRKhit7imdpgb+8VtiJR55X/P70EGjcaaKGg891dnq8+tf
9PMP+uliPkQ5s81Tw51WJNEqKe26sHpEglrCEZrtO1GBr+Jokl+P0jWO2HFdfqBFiPvz69d+MfOP
jwlXh5YNi/gpD2zw+rDOZVc+tmR0NRukXMgxShfL5Te2ieNv+vc2fHxKVHkQD8JQGGXcyTc2O2Xu
jHBlHsVE0CU1D9vFpubAgw9NUvgfK6eMjJzLIli78MIGISEBQedYiSpEphraF2Q9ddupLryoLHLL
2G/RDYArajxdKV4cXZXNxtFCfkABWf0qBze4qoBnP4zO4vwdZpxTN6IWNpY4eXzrImlKNpZfKtCb
nF6cQAd0sLtweSTAQNNKGLq9iD37wYYivF15f2/UQsI88rMhMWUAZRDjgnTSOS0JhIWvjQyW9VEO
ZvCT1E3O3TorDvM6P1QYRH91rXDeDU5M06NFOHqQePlUu9engPfiNnxD1jR8EFQRbOMnBZLIo5L2
QeI/xgONA+A0XCDngPS2HYnFq96NEs8dv9QEluG4VdLtqctDDW51PTZq1JvCj63bVcTyQDQLwFkX
hd9KLM69bZdb1+lS+VeLu5xXbunegYEWt7XFS8OlG8f37apn2i5Z3UdbvwmNIQqH7z2e6b8WlaU3
rk+yOQoU75DGdXNLkEVhko77ARP2ZPiMQjH/YFUBG4SaxbR3HT1heQ/f/W4qwgQlW2vzAKR4hBjf
xLQA/KzNaISwJ36SnhVcpcki/xag2vgN5Tl5EK8Prhm7Z6+YsZWgCz6bFDzZUynuACTMe/ejxzaV
3o3Vutl9kxL8t8sxvb4Rk3FHev2K4jnxlQ8Nf1XDuoWPRJw5dLXnm5mwnaIr2Tp/ouGRF8BmVokJ
4mJdAlQSTGLzLe1cL+4eG2TP96R+6Ks0De0P1hi6+9fv5Sh0fP74lJosn06AQFiJUzJgN5VeH8RV
9TOeaTBwbq+jbzUWneOuLRdv05JJCcJR1thuag+scJclyjsk0GF34CRhuKXhiRFMVyv/S6qL0UC/
QOiV1SfXpPT0h9bFp1QNCRoULIflBuGNQ+wjOq+jGXI5bDq8U7ZBuXrNucWw7LNcW9ehEsYtefJx
BOyT5f2CHKrCfT1t9jHWXhhQijS/KmnzUlG6KO43RVtUUErItTobaXreeyNHU2qR/pN2SG9MysLF
tdyHLsNMpF20VaB+793wf9k7tya1kWUL/xXHfofQ/fKw9wN3+mJ72m177BeC7sZCIHQXIH79+UoS
NtDdHs+UYx/FiaOZpwaXpKQqKytz5Vp+SMkVRB2KV3vqSrkVBF4/A/twu4tdBL8jHx7QPvaL1Klo
80rHiuVpn1G28v8soAr7Zvi0VdOrsEJR7ee/znP/w0xxAc0BXYNJ6VleT9eohK73u/XCscgP0Mno
rh5AeZRUDfnJOFPZT4dMiAOGnYdyu9oh3mtt481fPcYLExaKCMJmHeQqvEMXExakVLbJ6PhbzDZW
WQyqH8Q6FMvgxg+snPbZrXuPAk8xorttNozd2f7LEkbBmHlCn9Jf2OSFBYueCbllXIegL9fOV89h
U+y20X69Wni2Yn1ILDW70wKEW2wSu9fsi8VbxGPzq9gIN9Ngr6u3eWizkdlBvn/v20sHQHK426IK
VOjfQM4nZs9J/PWHv3jKZyGDbYF3NVniYKY5VF6YbLtBkMJNjGJB1jvxPhJZmBnykTSEFhnSTJq1
XVNTyg4WstCpGX1bQqZLqxpKiLsxHJ3ZJ9MNvBvF3q0/avDJUSFhFxjBSR5gbm9l9xEZ6zTz7f/7
LO7LePHvf82fNn44oAEm9R/zU/YYprbw+683WryN0nz5ZjBfR/lZu0XzD5t+C9fqmhb4XxN0KzB5
NutjvwUQU8j2aXlwlR+MNEeyfRj6FZIOfCy4EXDG3xsuDLPr6kS5qMaAZaagrP4d2hlcx9leB5qM
RIttQQUB5p20/WUcS4ARE+rb2s1BMQ3vMPbBQuWzQaQpvU2Z3VK5QVB3w0rpbR1zlfRYh4cvyEFa
kCj66iTbxp2bGc0iwzLpbEYexaE+1evsNvLCyTLViytKuhDzwq1wHRUhovJhBmov9DrXue+oIIk2
1oetE+8/rhwQgr0iWnXGapxEiOKtEmQIs5Im2QM4riShluLCQUHpx531eW6IOE00z/3lrUVW6opj
PuFYMvsDtbB3sMwPyLXQ3A5R/iTJOIVyLl/37cC64hhOwoMK99JLngpT3YHjo7N0Q1tiP9XD8naW
et5wlyuD/VZ5FF0Mon+wM5zBVzOit/MwptMEchVPG3dCM/zs4maHwCt9kojGMNin79I1nWMdb53P
Uy3XR4G9cfqxGacTfWNx/42a9bCUAXzBcScl9Nl3treMBhuUwSbxmu45KqCzHoW17QQK8Hdp6SqI
s64PCEODlC1IMtCIFgObUEx9AHSIdvhNgQguhbmrtW/fLlUXLnN9c+cijYN2sz12N8UkNkSSI9CE
nHuUQk7nKQNtpow7KDuBqyg/mfm2hDlGvES8BlxRoKQelAX9h2bHGgZO8bABN6Pv95urmF7Ea9qg
gWjCCBsJ5ls/iEcmrA1gT9DZREzA7iWmNXFn7lVeRkrfWWtxzz/MOp9K3UdeVylMyqkIGerFfj/S
DFo2qfiWUy1aru7tVXyYZqqzHdj2LoHmUTVHGixzg2zPcRpkEuSTjjfeFxaE4hwqhgjUf433kHck
HWcKlfuG5lo9GRRZuuOAhLKzjiSZC+51EASd4XqV3NNO8wkA981K28H0ubWMUSf0laFKa/DYRu+K
NMjXVZIbY6AXaX/HTjpU3BXqlJQRkEAn9bt16d6EwyjIUNuhPRaJNu8PN1pFo0LUZzUPsfk1p5Kt
Q2hhQCvRU3NzmoDX+FoaB7VP7/g1gooPh9LYU1V0II9Ed3Vihh5qtAf0FDsgpvo+AICB7cXGZAmg
bWgsS4QjUHgBCpH+CUwCmS97PxvAdLklRimTMdGAMYw4zY1A2QKX0lcfU83ybsHKbUa68+C5mXK1
9yBUIAfVuQfECft8YUGSaQe+f7fZrp1+mFkKUvDLchz7bnqvhHsQAba7viO3YQyy7HCLSw1Gzmq9
G2qzpTU60O85AIZrD0O6LHq51lHe+1Z6GCoHaAjUzKE13Fxrg2Wurwj4VtZU1dJZ3/ec7USD3jU3
t3DVd5Ri0NGW8cfC1LEiNDUDzWBns2A5hLG4IpaN/H5mrpSP5YxembyjAjCAYnsEJS9iFsUBncvD
Ovyw7ujlezo8lCs1z3Zmz7WsJTrZnfVyaMXObrDPN1a/gK17qJfZesSjorLVQdPetTo3YcQhNgI5
1THWD/7WWgoNjGAKHYXXK5wtgcUBe8aHzJzQgYWohq58g+kPkoRdZF7FW7p+V1b+QXH8aRFurSvn
YMOInpp3AFUTCnDQ7i/dPY1ku8AaGPBD9LTEfSzy4M4v9+9navE+KICcKStfBS3TWWyMQzkK0A5J
cxupA76f2eF4B7q/FxphOOIsl/Y3kG4PytkWpURbd3qq4c+TyNv10Nf7kEUap0HqA3CT2x24OApw
wopTDjU/ghsgTJhSnpXelpo9Qvxk7gIc6Dk+KiFbcE4fZtRb+xsb+u+y0yNfjvCqkSy2RPsgE8vZ
WzNd6WMlUNWrGb12o1WgbYfrko55tDbR1XM3zmQJ33EUaF8tK7tZgQOaZub+k7PL0An0rRxiAd2a
Foof3rvu9nNA7mwQx/bCokG8vwUV1wcJdg9o8Nqm/P82drQrnzREz4yi4DawKaAqKWrzs5BMGzSu
syT5BmJHGfiuMUP1sYjGBgHTAOpiusN3eXADtCwdw5bsQOA/cyfBCto+ffnVLR33vjTKCfyj6vXB
WhUj8hDJKHcCWqcd7hgeDvfJ1vDfAzK7WalsQvvObN9b7wDUrVUvGKWFafaUjfkhXnMIsvLEvy6T
bOqlCVSBW73T8/ICbc8l2wtEydaXYL3/czcr6Not7aeo0JCM8wIk3DkUj8kBwz8TzpCV22zdd5yl
3iv0/PUSjq88+O42BuPfz02NxpTZHd0S0XBHi/A+8WntsIxgqi47n8m2r3qovj3pSOrhC4ti6oDJ
xNf44FOgX5rgf/2r5dZAmI0m8eHO6Zj9InU2NE5q+tg/6CZolp0+gkcWTg0jVseevfq8I8szPXSc
e1J818jXIxLc8b7pndgmWxjM4DcOUAmILXUEzN8ZqpDWXzkx0gygxkLoVCNiVyuNBjuSKXr4gBx3
mH80fNpA1szZTuIitLzr+AaQ8jyhQ+FTjpaozVJMrAwt+oTZt3HezczU3cU9ewn0gkUWrTi86pME
hBWwVDu2tNlHvdgJug8EiVPOtUMq7XhveiwO8Y5DWqjNzDvoNWwr/QK0MjyEV5TTMvROV5FDZYq+
c9jSlgE92ukhTesaxP+Z8Lp5EcG4OKyUaP4oFml5t8hI9mRHvkPx6fvID/P76J996ecDvVn8igYO
XVH6RbxePVP1wD8bIgD4kBdPHAZ0rWtbFok9US4LCEKbv3cEeSRKMYTbNMxWV3WnE+O89vo/f7Pa
jj//zs8evTbM9Onf/+IALs6TZ8eVv/v6htIFtQGaBkWa41ueWcHtchvOMcgxHD/nhv99KzxyUsjF
LPT86IzyUxPAgV+xwcUIJ1PA7ZoCZiCyCdXFnDq1gcvJTFhIsMRVV33D/74NXj240pAtPRHUrimK
KZQsayOQ/Dk1AkwBRBAgQjTq5f8rM+DVt4cMsn6mmuD4u2f6O17A6FZlHaor9U984QxUVe3iJcDE
cK4XF9ZpmxFIDfzaQrgw5MlCULqu6DS1LBgpq+t8DrhqF5AXSXJHMLpytW4hIFNCsuNXvMHrRrC7
yKFZoD9ABzQ/9elCABjYhTBKpGEbK7VuKqAm9Is+8XUraF2qjHA6krN8yQqODnEIDtMg/1pd9dxr
kU+E971epFJeAR5YELU0rFcXTvZ0KkAiTYEUxkda/qurda6RHjZpI4i8JMAhTRSEq+vcCIgIktAE
aqtiK3G1zgikOikeyDkFp8tEQIOQfsnqutgdVcXsCggOQULbvAEMEdSRpd8ehCustbiV0wVgQ5VO
RQrd1ua3b92GgCqHJbsCDJ30O5liplE9w9liTq0AvrqLC2AOCO3cloUFlA2ojEn9/JrTNcFbURZu
Xv/i/R3coAM5CAFIvThatwY0ccSTtIJBBEh114Xovb4uNgMIs6D0AZZBlFhdrbOCatDQIGsFo8ta
V8BHNJPhwgoqatIWcrGCc7p1a0GI3Eq+vw6VGm8OJ9qPuOfUF5A14IyEkit5g+pqnRVgfHJrN/XP
AyM8Is0I+IPjYZFpdWoFsRZsQgbIy2or1GZvU3RIkVPaCsijAxcicWB893unVnB18gqcpij61p/X
UUibrIBEhOzuqDt4fwFkspvsyUVo5Dp4DPInZFhqv9i+PVKA4mX9gt2lVUwTTFwv7g4OUtt0x1F+
bvbI1vkFIIUC6ikVKQBUAOTNDnjyW5+uCMvtwmMIfgkcd3W1L15UCGUkrcCKcJkM2ODCK1pdGyAQ
mlbN27cuQqAppEnv/fO9QTfJm7MIFGKh6sL3n84BdkhBbShSKPXntQNqkVcESe7KxklYAVpFg92h
fkmRMDy1gou/oKtUgWqkXgl12qpNVuA4I2sFQ+vyM5NWJxCorotokTgBmBRFlmbNten1yfPJZg0M
o+sI5CYn5xdfn03BFtEYQPv689YFCBpJTtmQ2RALvmolaBzC5VIwuuw9OufU1kWJ4OMU2dcXBUaY
6OhgrX9jkaA+9QQO6WRoKYUSUu0qWjcJ2NI12aXAuQnksDgTNA7xYleoCiw2pQXNat370/ghnUPR
jS5AUBrXQXdW18WJiU7TLuAbnW2zffshLVbSq4BTAHym9JE39YSL31+k0omOESdrXGHr4mOho1Vv
0v88NjLIl1JgRSXw5RMjfY2UXbA2Cm1VENqmDREnJR0PKBQQKa01G0FVRj31heSTIcUGn0zEUF3E
C+3Kp+IL5PPJGvlk9KIFtuQlX0BFhf2AptpjMbp9HpGDrvRaIEdEEVXsCbUVLj2C2yWlbtNx1+wY
rbMCD9aELBIegX4AWkr572JDAG9hse3SOg4ngrja5xAJ2eqH+uevL8ICE3oOmrnrt7w4IMAuRHRk
cj5oTpOt2xzhYpFHn6iUUAX/A4QT1XUZIWMlnAVu8UdyqV1uESMIPUi55BEhEnR5Bpnjei6Qhznd
HLBNl+Q1R4mmltOmzRGKFNm0kYDiEf+5SLO+6BBtKiucIuB1qs3TPvQNbVCiyVVqFojEiS40OY8e
4WIW2AASIQOCa6DZNlq3LZA+kq64Mxeg3ROB4st+kZIrnyDEgaBIddWRWYtWhPAIsulkncI7dHYc
nJoVcbFHOiKcBIHE4bFeEq2bCxBTSBeedVKFUOu5nJ9e3CNtpysialPI/VZX++aC6DKU9AscnQSx
PHxUr+wOFQhDVHKaE2b7IgWCetk9ktICWHWMQBmhui68IyvCIqRmG/mxYloWKViWYPWR2iPIqwLG
ZqO0Gu/4PKVmEy4BBm0rIAUkkeg3kLMCx0gXkj4oSV6MFzg8AUtSCa6VxkzVDX9pj/iFL33vBOkv
/eCp6gHxF9lLrSKvfeHYA/H886b/QTQ5CHj/2RdFD3d97x8tIv85w7FW3QknHx67Far7NP+8ecHn
tz671/Gtjn+c+It0nj4uYfmlf6RsHvPtfEMjCSJ8D/PN/LSfnDWIL/7xJM9az7///n8x8Mvqfq93
yPzauKkPPcT5A1dIeukHTtdIZsyz46tXvSoVGld25P488L9FaeifPXUN+pYeOwqidP4UnT51jRyV
HxkSjsfcp5nzbPCqaUN28MEimO/m6eJ05Br1Kz1yw5DwJvr2ph8Fxebh3Ow1sFT2LiOs7j+d/Z5E
eyLfLjvyeBGl3vkjg9QUyHjZkSdY3PeP41TTW6eGc/zDiywTv7Qkp0/z5dkEbCB7sg88DQKf/uXz
FVl3j0kPHT758wsvUuPspEeOdufTooZsyQ57/dw31Sgo6YEZoHhcl8dpUM2LGlokO/RNVPjZMzO7
VceP7Ni3cz888x4NEEh+XMSY5+HTqTmocopKv/zQWTZ/RGF6kedncxreFIFZkB7ff4S5eH7eZljj
AeSHZi/ILulj6iq7/NhZ5vN/HJ/5pqaI/TtGj4r0cmhRGZQeOgrzCx/SVNtkR367eEgvtZFpXxPF
C/mht/PzfYu0j0iIyw+8ezOZb+Js6Z9v6w1y93eMf7VIs8WZp6KwJTKYv2Pw28XefzzbxpoK+u8Y
/EuUro+PWZ0P6oKc9NAVs1N/nkbslGfbTpPU/D03eJ06SjKYf7f0zy1eJyFln/rdOiAiOT/VNPA4
6aHThXfZyV316sgO/H4RhlkZbOcXxwREUkUBW3b4u2X0tHgzzZ7tbXWPiezwH6ICirGXJmKTUf09
N3g+EZsSjuzw91h/AXvwWUjR4Erlx96fnyqb4pvsuB/z+fI4MYRPaQBPssN+WqQbdrazkeuSsfTI
Piebi+ndpJplh/48Z99BHPV8acL/IDK40oMvsvzNp5cevs6NSo/vZ48RYm5nkZteZxylxy4jaAO9
oxGqeVJn8X4+8kuZpu8EGs/zT0d6kJf+2XlyTXzjMVjM0//8DwAAAP//</cx:binary>
              </cx:geoCache>
            </cx:geography>
          </cx:layoutPr>
          <cx:valueColors>
            <cx:minColor>
              <a:schemeClr val="tx2">
                <a:lumMod val="50000"/>
                <a:lumOff val="50000"/>
              </a:schemeClr>
            </cx:minColor>
            <cx:midColor>
              <a:srgbClr val="002F8E"/>
            </cx:midColor>
            <cx:maxColor>
              <a:srgbClr val="002570"/>
            </cx:maxColor>
          </cx:valueColors>
          <cx:valueColorPositions count="3"/>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163287</xdr:colOff>
      <xdr:row>0</xdr:row>
      <xdr:rowOff>149679</xdr:rowOff>
    </xdr:from>
    <xdr:to>
      <xdr:col>29</xdr:col>
      <xdr:colOff>0</xdr:colOff>
      <xdr:row>37</xdr:row>
      <xdr:rowOff>108857</xdr:rowOff>
    </xdr:to>
    <xdr:sp macro="" textlink="">
      <xdr:nvSpPr>
        <xdr:cNvPr id="3" name="Rectangle 2">
          <a:extLst>
            <a:ext uri="{FF2B5EF4-FFF2-40B4-BE49-F238E27FC236}">
              <a16:creationId xmlns:a16="http://schemas.microsoft.com/office/drawing/2014/main" id="{19EF7D5E-ABE9-2109-6B5D-3DD01FFEABF3}"/>
            </a:ext>
          </a:extLst>
        </xdr:cNvPr>
        <xdr:cNvSpPr/>
      </xdr:nvSpPr>
      <xdr:spPr>
        <a:xfrm>
          <a:off x="163287" y="149679"/>
          <a:ext cx="17594034" cy="7007678"/>
        </a:xfrm>
        <a:prstGeom prst="rect">
          <a:avLst/>
        </a:prstGeom>
        <a:solidFill>
          <a:srgbClr val="0404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272142</xdr:colOff>
      <xdr:row>1</xdr:row>
      <xdr:rowOff>163286</xdr:rowOff>
    </xdr:from>
    <xdr:to>
      <xdr:col>28</xdr:col>
      <xdr:colOff>340178</xdr:colOff>
      <xdr:row>36</xdr:row>
      <xdr:rowOff>176893</xdr:rowOff>
    </xdr:to>
    <xdr:sp macro="" textlink="">
      <xdr:nvSpPr>
        <xdr:cNvPr id="4" name="Rectangle: Rounded Corners 3">
          <a:extLst>
            <a:ext uri="{FF2B5EF4-FFF2-40B4-BE49-F238E27FC236}">
              <a16:creationId xmlns:a16="http://schemas.microsoft.com/office/drawing/2014/main" id="{BB50695C-22B9-B629-338D-6F4E7D5B8C26}"/>
            </a:ext>
          </a:extLst>
        </xdr:cNvPr>
        <xdr:cNvSpPr/>
      </xdr:nvSpPr>
      <xdr:spPr>
        <a:xfrm>
          <a:off x="272142" y="353786"/>
          <a:ext cx="17213036" cy="6681107"/>
        </a:xfrm>
        <a:prstGeom prst="roundRect">
          <a:avLst>
            <a:gd name="adj" fmla="val 1799"/>
          </a:avLst>
        </a:prstGeom>
        <a:solidFill>
          <a:srgbClr val="EAEAEA">
            <a:alpha val="8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a:t>
          </a:r>
          <a:endParaRPr lang="en-NG" sz="1100"/>
        </a:p>
      </xdr:txBody>
    </xdr:sp>
    <xdr:clientData/>
  </xdr:twoCellAnchor>
  <xdr:twoCellAnchor>
    <xdr:from>
      <xdr:col>2</xdr:col>
      <xdr:colOff>489858</xdr:colOff>
      <xdr:row>5</xdr:row>
      <xdr:rowOff>68037</xdr:rowOff>
    </xdr:from>
    <xdr:to>
      <xdr:col>9</xdr:col>
      <xdr:colOff>530678</xdr:colOff>
      <xdr:row>21</xdr:row>
      <xdr:rowOff>95250</xdr:rowOff>
    </xdr:to>
    <xdr:sp macro="" textlink="">
      <xdr:nvSpPr>
        <xdr:cNvPr id="5" name="Rectangle 4">
          <a:extLst>
            <a:ext uri="{FF2B5EF4-FFF2-40B4-BE49-F238E27FC236}">
              <a16:creationId xmlns:a16="http://schemas.microsoft.com/office/drawing/2014/main" id="{98E7083D-3680-6C2E-F7C4-ED4F5331DBA6}"/>
            </a:ext>
          </a:extLst>
        </xdr:cNvPr>
        <xdr:cNvSpPr/>
      </xdr:nvSpPr>
      <xdr:spPr>
        <a:xfrm>
          <a:off x="1714501" y="1020537"/>
          <a:ext cx="4327070" cy="3075213"/>
        </a:xfrm>
        <a:prstGeom prst="rect">
          <a:avLst/>
        </a:prstGeom>
        <a:solidFill>
          <a:srgbClr val="F9F9F9">
            <a:alpha val="5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272143</xdr:colOff>
      <xdr:row>1</xdr:row>
      <xdr:rowOff>81643</xdr:rowOff>
    </xdr:from>
    <xdr:to>
      <xdr:col>2</xdr:col>
      <xdr:colOff>435428</xdr:colOff>
      <xdr:row>36</xdr:row>
      <xdr:rowOff>176893</xdr:rowOff>
    </xdr:to>
    <xdr:sp macro="" textlink="">
      <xdr:nvSpPr>
        <xdr:cNvPr id="9" name="Rectangle 8">
          <a:extLst>
            <a:ext uri="{FF2B5EF4-FFF2-40B4-BE49-F238E27FC236}">
              <a16:creationId xmlns:a16="http://schemas.microsoft.com/office/drawing/2014/main" id="{192EF420-0E7B-BB58-6801-91F9C90F493F}"/>
            </a:ext>
          </a:extLst>
        </xdr:cNvPr>
        <xdr:cNvSpPr/>
      </xdr:nvSpPr>
      <xdr:spPr>
        <a:xfrm>
          <a:off x="272143" y="272143"/>
          <a:ext cx="1387928" cy="676275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329293</xdr:colOff>
      <xdr:row>5</xdr:row>
      <xdr:rowOff>1</xdr:rowOff>
    </xdr:from>
    <xdr:to>
      <xdr:col>2</xdr:col>
      <xdr:colOff>424542</xdr:colOff>
      <xdr:row>11</xdr:row>
      <xdr:rowOff>27215</xdr:rowOff>
    </xdr:to>
    <xdr:sp macro="" textlink="">
      <xdr:nvSpPr>
        <xdr:cNvPr id="13" name="Rectangle 12">
          <a:extLst>
            <a:ext uri="{FF2B5EF4-FFF2-40B4-BE49-F238E27FC236}">
              <a16:creationId xmlns:a16="http://schemas.microsoft.com/office/drawing/2014/main" id="{EAB7C510-9C2B-7317-3375-14D353E854FA}"/>
            </a:ext>
          </a:extLst>
        </xdr:cNvPr>
        <xdr:cNvSpPr/>
      </xdr:nvSpPr>
      <xdr:spPr>
        <a:xfrm>
          <a:off x="329293" y="952501"/>
          <a:ext cx="1319892" cy="1170214"/>
        </a:xfrm>
        <a:prstGeom prst="rect">
          <a:avLst/>
        </a:prstGeom>
        <a:solidFill>
          <a:srgbClr val="0025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329293</xdr:colOff>
      <xdr:row>18</xdr:row>
      <xdr:rowOff>97972</xdr:rowOff>
    </xdr:from>
    <xdr:to>
      <xdr:col>2</xdr:col>
      <xdr:colOff>424542</xdr:colOff>
      <xdr:row>24</xdr:row>
      <xdr:rowOff>125186</xdr:rowOff>
    </xdr:to>
    <xdr:sp macro="" textlink="">
      <xdr:nvSpPr>
        <xdr:cNvPr id="16" name="Rectangle 15">
          <a:extLst>
            <a:ext uri="{FF2B5EF4-FFF2-40B4-BE49-F238E27FC236}">
              <a16:creationId xmlns:a16="http://schemas.microsoft.com/office/drawing/2014/main" id="{8D91079D-C2CE-4406-9E95-FC94C760FC38}"/>
            </a:ext>
          </a:extLst>
        </xdr:cNvPr>
        <xdr:cNvSpPr/>
      </xdr:nvSpPr>
      <xdr:spPr>
        <a:xfrm>
          <a:off x="329293" y="3526972"/>
          <a:ext cx="1319892" cy="1170214"/>
        </a:xfrm>
        <a:prstGeom prst="rect">
          <a:avLst/>
        </a:prstGeom>
        <a:solidFill>
          <a:srgbClr val="0025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329293</xdr:colOff>
      <xdr:row>11</xdr:row>
      <xdr:rowOff>155122</xdr:rowOff>
    </xdr:from>
    <xdr:to>
      <xdr:col>2</xdr:col>
      <xdr:colOff>424542</xdr:colOff>
      <xdr:row>17</xdr:row>
      <xdr:rowOff>182336</xdr:rowOff>
    </xdr:to>
    <xdr:sp macro="" textlink="">
      <xdr:nvSpPr>
        <xdr:cNvPr id="17" name="Rectangle 16">
          <a:extLst>
            <a:ext uri="{FF2B5EF4-FFF2-40B4-BE49-F238E27FC236}">
              <a16:creationId xmlns:a16="http://schemas.microsoft.com/office/drawing/2014/main" id="{2568BB19-06E3-48E4-9842-AF9AC91DB663}"/>
            </a:ext>
          </a:extLst>
        </xdr:cNvPr>
        <xdr:cNvSpPr/>
      </xdr:nvSpPr>
      <xdr:spPr>
        <a:xfrm>
          <a:off x="329293" y="2250622"/>
          <a:ext cx="1319892" cy="1170214"/>
        </a:xfrm>
        <a:prstGeom prst="rect">
          <a:avLst/>
        </a:prstGeom>
        <a:solidFill>
          <a:srgbClr val="0025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xdr:col>
      <xdr:colOff>0</xdr:colOff>
      <xdr:row>5</xdr:row>
      <xdr:rowOff>40821</xdr:rowOff>
    </xdr:from>
    <xdr:to>
      <xdr:col>2</xdr:col>
      <xdr:colOff>81644</xdr:colOff>
      <xdr:row>7</xdr:row>
      <xdr:rowOff>0</xdr:rowOff>
    </xdr:to>
    <xdr:sp macro="" textlink="">
      <xdr:nvSpPr>
        <xdr:cNvPr id="18" name="TextBox 17">
          <a:extLst>
            <a:ext uri="{FF2B5EF4-FFF2-40B4-BE49-F238E27FC236}">
              <a16:creationId xmlns:a16="http://schemas.microsoft.com/office/drawing/2014/main" id="{BA215326-8549-3217-25CE-E28971619F93}"/>
            </a:ext>
          </a:extLst>
        </xdr:cNvPr>
        <xdr:cNvSpPr txBox="1"/>
      </xdr:nvSpPr>
      <xdr:spPr>
        <a:xfrm>
          <a:off x="612321" y="993321"/>
          <a:ext cx="69396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Sales</a:t>
          </a:r>
          <a:endParaRPr lang="en-NG" sz="1100">
            <a:solidFill>
              <a:schemeClr val="bg1">
                <a:lumMod val="95000"/>
              </a:schemeClr>
            </a:solidFill>
          </a:endParaRPr>
        </a:p>
      </xdr:txBody>
    </xdr:sp>
    <xdr:clientData/>
  </xdr:twoCellAnchor>
  <xdr:twoCellAnchor>
    <xdr:from>
      <xdr:col>0</xdr:col>
      <xdr:colOff>478969</xdr:colOff>
      <xdr:row>13</xdr:row>
      <xdr:rowOff>163286</xdr:rowOff>
    </xdr:from>
    <xdr:to>
      <xdr:col>2</xdr:col>
      <xdr:colOff>288469</xdr:colOff>
      <xdr:row>15</xdr:row>
      <xdr:rowOff>68036</xdr:rowOff>
    </xdr:to>
    <xdr:sp macro="" textlink="proft">
      <xdr:nvSpPr>
        <xdr:cNvPr id="19" name="TextBox 18">
          <a:extLst>
            <a:ext uri="{FF2B5EF4-FFF2-40B4-BE49-F238E27FC236}">
              <a16:creationId xmlns:a16="http://schemas.microsoft.com/office/drawing/2014/main" id="{EF2FF959-64D0-4A70-8A3B-E633D136D551}"/>
            </a:ext>
          </a:extLst>
        </xdr:cNvPr>
        <xdr:cNvSpPr txBox="1"/>
      </xdr:nvSpPr>
      <xdr:spPr>
        <a:xfrm>
          <a:off x="478969" y="2639786"/>
          <a:ext cx="103414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F2085F-993A-4B61-A798-634F0BFAF45D}" type="TxLink">
            <a:rPr lang="en-US" sz="1800" b="0" i="0" u="none" strike="noStrike">
              <a:solidFill>
                <a:schemeClr val="bg1">
                  <a:lumMod val="95000"/>
                </a:schemeClr>
              </a:solidFill>
              <a:latin typeface="Aptos Narrow"/>
              <a:ea typeface="+mn-ea"/>
              <a:cs typeface="+mn-cs"/>
            </a:rPr>
            <a:pPr marL="0" indent="0"/>
            <a:t>$18.5K</a:t>
          </a:fld>
          <a:endParaRPr lang="en-NG" sz="1800" b="0" i="0" u="none" strike="noStrike">
            <a:solidFill>
              <a:schemeClr val="bg1">
                <a:lumMod val="95000"/>
              </a:schemeClr>
            </a:solidFill>
            <a:latin typeface="Aptos Narrow"/>
            <a:ea typeface="+mn-ea"/>
            <a:cs typeface="+mn-cs"/>
          </a:endParaRPr>
        </a:p>
      </xdr:txBody>
    </xdr:sp>
    <xdr:clientData/>
  </xdr:twoCellAnchor>
  <xdr:twoCellAnchor>
    <xdr:from>
      <xdr:col>0</xdr:col>
      <xdr:colOff>604155</xdr:colOff>
      <xdr:row>11</xdr:row>
      <xdr:rowOff>168728</xdr:rowOff>
    </xdr:from>
    <xdr:to>
      <xdr:col>2</xdr:col>
      <xdr:colOff>231321</xdr:colOff>
      <xdr:row>13</xdr:row>
      <xdr:rowOff>122464</xdr:rowOff>
    </xdr:to>
    <xdr:sp macro="" textlink="">
      <xdr:nvSpPr>
        <xdr:cNvPr id="20" name="TextBox 19">
          <a:extLst>
            <a:ext uri="{FF2B5EF4-FFF2-40B4-BE49-F238E27FC236}">
              <a16:creationId xmlns:a16="http://schemas.microsoft.com/office/drawing/2014/main" id="{D2CEFDFD-EC73-4ECF-9F22-BF6624234846}"/>
            </a:ext>
          </a:extLst>
        </xdr:cNvPr>
        <xdr:cNvSpPr txBox="1"/>
      </xdr:nvSpPr>
      <xdr:spPr>
        <a:xfrm>
          <a:off x="604155" y="2264228"/>
          <a:ext cx="851809" cy="33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Profit</a:t>
          </a:r>
          <a:endParaRPr lang="en-NG" sz="1100">
            <a:solidFill>
              <a:schemeClr val="bg1">
                <a:lumMod val="95000"/>
              </a:schemeClr>
            </a:solidFill>
          </a:endParaRPr>
        </a:p>
      </xdr:txBody>
    </xdr:sp>
    <xdr:clientData/>
  </xdr:twoCellAnchor>
  <xdr:twoCellAnchor>
    <xdr:from>
      <xdr:col>0</xdr:col>
      <xdr:colOff>530679</xdr:colOff>
      <xdr:row>18</xdr:row>
      <xdr:rowOff>127909</xdr:rowOff>
    </xdr:from>
    <xdr:to>
      <xdr:col>2</xdr:col>
      <xdr:colOff>204109</xdr:colOff>
      <xdr:row>20</xdr:row>
      <xdr:rowOff>95250</xdr:rowOff>
    </xdr:to>
    <xdr:sp macro="" textlink="">
      <xdr:nvSpPr>
        <xdr:cNvPr id="21" name="TextBox 20">
          <a:extLst>
            <a:ext uri="{FF2B5EF4-FFF2-40B4-BE49-F238E27FC236}">
              <a16:creationId xmlns:a16="http://schemas.microsoft.com/office/drawing/2014/main" id="{96D8BFC8-CD75-4F51-8C31-AE541AE51D44}"/>
            </a:ext>
          </a:extLst>
        </xdr:cNvPr>
        <xdr:cNvSpPr txBox="1"/>
      </xdr:nvSpPr>
      <xdr:spPr>
        <a:xfrm>
          <a:off x="530679" y="3556909"/>
          <a:ext cx="898073" cy="348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Quantity</a:t>
          </a:r>
          <a:endParaRPr lang="en-NG" sz="1100">
            <a:solidFill>
              <a:schemeClr val="bg1">
                <a:lumMod val="95000"/>
              </a:schemeClr>
            </a:solidFill>
          </a:endParaRPr>
        </a:p>
      </xdr:txBody>
    </xdr:sp>
    <xdr:clientData/>
  </xdr:twoCellAnchor>
  <xdr:twoCellAnchor>
    <xdr:from>
      <xdr:col>0</xdr:col>
      <xdr:colOff>470806</xdr:colOff>
      <xdr:row>7</xdr:row>
      <xdr:rowOff>27215</xdr:rowOff>
    </xdr:from>
    <xdr:to>
      <xdr:col>2</xdr:col>
      <xdr:colOff>280306</xdr:colOff>
      <xdr:row>8</xdr:row>
      <xdr:rowOff>176893</xdr:rowOff>
    </xdr:to>
    <xdr:sp macro="" textlink="sale">
      <xdr:nvSpPr>
        <xdr:cNvPr id="22" name="TextBox 21">
          <a:extLst>
            <a:ext uri="{FF2B5EF4-FFF2-40B4-BE49-F238E27FC236}">
              <a16:creationId xmlns:a16="http://schemas.microsoft.com/office/drawing/2014/main" id="{EFD80809-B643-4765-9488-6AFB3D40C89C}"/>
            </a:ext>
          </a:extLst>
        </xdr:cNvPr>
        <xdr:cNvSpPr txBox="1"/>
      </xdr:nvSpPr>
      <xdr:spPr>
        <a:xfrm>
          <a:off x="470806" y="1360715"/>
          <a:ext cx="1034143"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AC2AA-3791-45C3-86FA-99404C8C7B4E}" type="TxLink">
            <a:rPr lang="en-US" sz="1800" b="0" i="0" u="none" strike="noStrike">
              <a:solidFill>
                <a:schemeClr val="bg1">
                  <a:lumMod val="95000"/>
                </a:schemeClr>
              </a:solidFill>
              <a:latin typeface="Aptos Narrow"/>
            </a:rPr>
            <a:t>$742.0K</a:t>
          </a:fld>
          <a:endParaRPr lang="en-NG" sz="1800">
            <a:solidFill>
              <a:schemeClr val="bg1">
                <a:lumMod val="95000"/>
              </a:schemeClr>
            </a:solidFill>
          </a:endParaRPr>
        </a:p>
      </xdr:txBody>
    </xdr:sp>
    <xdr:clientData/>
  </xdr:twoCellAnchor>
  <xdr:twoCellAnchor>
    <xdr:from>
      <xdr:col>0</xdr:col>
      <xdr:colOff>541563</xdr:colOff>
      <xdr:row>22</xdr:row>
      <xdr:rowOff>187780</xdr:rowOff>
    </xdr:from>
    <xdr:to>
      <xdr:col>2</xdr:col>
      <xdr:colOff>351063</xdr:colOff>
      <xdr:row>24</xdr:row>
      <xdr:rowOff>108857</xdr:rowOff>
    </xdr:to>
    <xdr:sp macro="" textlink="Quantityyoy">
      <xdr:nvSpPr>
        <xdr:cNvPr id="23" name="TextBox 22">
          <a:extLst>
            <a:ext uri="{FF2B5EF4-FFF2-40B4-BE49-F238E27FC236}">
              <a16:creationId xmlns:a16="http://schemas.microsoft.com/office/drawing/2014/main" id="{D797D154-A399-4981-9115-C27E71D8AF9A}"/>
            </a:ext>
          </a:extLst>
        </xdr:cNvPr>
        <xdr:cNvSpPr txBox="1"/>
      </xdr:nvSpPr>
      <xdr:spPr>
        <a:xfrm>
          <a:off x="541563" y="4378780"/>
          <a:ext cx="1034143" cy="30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28697A-F00C-4C96-B8A8-DCB5C2AB19CC}" type="TxLink">
            <a:rPr lang="en-US" sz="1100" b="0" i="0" u="none" strike="noStrike">
              <a:solidFill>
                <a:schemeClr val="bg1">
                  <a:lumMod val="95000"/>
                </a:schemeClr>
              </a:solidFill>
              <a:latin typeface="Aptos Narrow"/>
            </a:rPr>
            <a:t>▲11% YoY</a:t>
          </a:fld>
          <a:endParaRPr lang="en-NG" sz="1100">
            <a:solidFill>
              <a:schemeClr val="bg1">
                <a:lumMod val="95000"/>
              </a:schemeClr>
            </a:solidFill>
          </a:endParaRPr>
        </a:p>
      </xdr:txBody>
    </xdr:sp>
    <xdr:clientData/>
  </xdr:twoCellAnchor>
  <xdr:twoCellAnchor>
    <xdr:from>
      <xdr:col>0</xdr:col>
      <xdr:colOff>514349</xdr:colOff>
      <xdr:row>9</xdr:row>
      <xdr:rowOff>65317</xdr:rowOff>
    </xdr:from>
    <xdr:to>
      <xdr:col>2</xdr:col>
      <xdr:colOff>323849</xdr:colOff>
      <xdr:row>10</xdr:row>
      <xdr:rowOff>111579</xdr:rowOff>
    </xdr:to>
    <xdr:sp macro="" textlink="Salesyoy">
      <xdr:nvSpPr>
        <xdr:cNvPr id="24" name="TextBox 23">
          <a:extLst>
            <a:ext uri="{FF2B5EF4-FFF2-40B4-BE49-F238E27FC236}">
              <a16:creationId xmlns:a16="http://schemas.microsoft.com/office/drawing/2014/main" id="{16A62CA4-29A3-4DCC-B6E2-AE87F16BE3DE}"/>
            </a:ext>
          </a:extLst>
        </xdr:cNvPr>
        <xdr:cNvSpPr txBox="1"/>
      </xdr:nvSpPr>
      <xdr:spPr>
        <a:xfrm>
          <a:off x="514349" y="1779817"/>
          <a:ext cx="1034143" cy="23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32A0CC-1FC2-4580-9FBF-AEC18E50D708}" type="TxLink">
            <a:rPr lang="en-US" sz="1100" b="0" i="0" u="none" strike="noStrike">
              <a:solidFill>
                <a:schemeClr val="bg1">
                  <a:lumMod val="95000"/>
                </a:schemeClr>
              </a:solidFill>
              <a:latin typeface="Aptos Narrow"/>
            </a:rPr>
            <a:t>▲8% YoY</a:t>
          </a:fld>
          <a:endParaRPr lang="en-NG" sz="1100">
            <a:solidFill>
              <a:schemeClr val="bg1">
                <a:lumMod val="95000"/>
              </a:schemeClr>
            </a:solidFill>
          </a:endParaRPr>
        </a:p>
      </xdr:txBody>
    </xdr:sp>
    <xdr:clientData/>
  </xdr:twoCellAnchor>
  <xdr:twoCellAnchor>
    <xdr:from>
      <xdr:col>0</xdr:col>
      <xdr:colOff>508905</xdr:colOff>
      <xdr:row>16</xdr:row>
      <xdr:rowOff>43542</xdr:rowOff>
    </xdr:from>
    <xdr:to>
      <xdr:col>2</xdr:col>
      <xdr:colOff>318405</xdr:colOff>
      <xdr:row>17</xdr:row>
      <xdr:rowOff>138792</xdr:rowOff>
    </xdr:to>
    <xdr:sp macro="" textlink="Profityoy">
      <xdr:nvSpPr>
        <xdr:cNvPr id="25" name="TextBox 24">
          <a:extLst>
            <a:ext uri="{FF2B5EF4-FFF2-40B4-BE49-F238E27FC236}">
              <a16:creationId xmlns:a16="http://schemas.microsoft.com/office/drawing/2014/main" id="{25A52E83-7C48-4089-BD94-E647748C4A9D}"/>
            </a:ext>
          </a:extLst>
        </xdr:cNvPr>
        <xdr:cNvSpPr txBox="1"/>
      </xdr:nvSpPr>
      <xdr:spPr>
        <a:xfrm>
          <a:off x="508905" y="3091542"/>
          <a:ext cx="103414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BDAC39-9FF4-40AA-A1B0-F5DF08EA1D3B}" type="TxLink">
            <a:rPr lang="en-US" sz="1100" b="0" i="0" u="none" strike="noStrike">
              <a:solidFill>
                <a:schemeClr val="bg1">
                  <a:lumMod val="95000"/>
                </a:schemeClr>
              </a:solidFill>
              <a:latin typeface="Aptos Narrow"/>
            </a:rPr>
            <a:t>▼57% YoY</a:t>
          </a:fld>
          <a:endParaRPr lang="en-NG" sz="1100">
            <a:solidFill>
              <a:schemeClr val="bg1">
                <a:lumMod val="95000"/>
              </a:schemeClr>
            </a:solidFill>
          </a:endParaRPr>
        </a:p>
      </xdr:txBody>
    </xdr:sp>
    <xdr:clientData/>
  </xdr:twoCellAnchor>
  <xdr:twoCellAnchor>
    <xdr:from>
      <xdr:col>1</xdr:col>
      <xdr:colOff>21769</xdr:colOff>
      <xdr:row>20</xdr:row>
      <xdr:rowOff>141513</xdr:rowOff>
    </xdr:from>
    <xdr:to>
      <xdr:col>2</xdr:col>
      <xdr:colOff>443590</xdr:colOff>
      <xdr:row>22</xdr:row>
      <xdr:rowOff>46263</xdr:rowOff>
    </xdr:to>
    <xdr:sp macro="" textlink="qunatyty">
      <xdr:nvSpPr>
        <xdr:cNvPr id="26" name="TextBox 25">
          <a:extLst>
            <a:ext uri="{FF2B5EF4-FFF2-40B4-BE49-F238E27FC236}">
              <a16:creationId xmlns:a16="http://schemas.microsoft.com/office/drawing/2014/main" id="{07B1F8A5-43B5-4A11-A31C-CBCE1012C44D}"/>
            </a:ext>
          </a:extLst>
        </xdr:cNvPr>
        <xdr:cNvSpPr txBox="1"/>
      </xdr:nvSpPr>
      <xdr:spPr>
        <a:xfrm>
          <a:off x="634090" y="3951513"/>
          <a:ext cx="103414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2F16DF-D2E4-4774-8344-E3B9072E8183}" type="TxLink">
            <a:rPr lang="en-US" sz="1800" b="0" i="0" u="none" strike="noStrike">
              <a:solidFill>
                <a:schemeClr val="bg1">
                  <a:lumMod val="95000"/>
                </a:schemeClr>
              </a:solidFill>
              <a:latin typeface="Aptos Narrow"/>
              <a:ea typeface="+mn-ea"/>
              <a:cs typeface="+mn-cs"/>
            </a:rPr>
            <a:pPr marL="0" indent="0"/>
            <a:t>8.0K</a:t>
          </a:fld>
          <a:endParaRPr lang="en-NG" sz="1800" b="0" i="0" u="none" strike="noStrike">
            <a:solidFill>
              <a:schemeClr val="bg1">
                <a:lumMod val="95000"/>
              </a:schemeClr>
            </a:solidFill>
            <a:latin typeface="Aptos Narrow"/>
            <a:ea typeface="+mn-ea"/>
            <a:cs typeface="+mn-cs"/>
          </a:endParaRPr>
        </a:p>
      </xdr:txBody>
    </xdr:sp>
    <xdr:clientData/>
  </xdr:twoCellAnchor>
  <xdr:twoCellAnchor>
    <xdr:from>
      <xdr:col>20</xdr:col>
      <xdr:colOff>353785</xdr:colOff>
      <xdr:row>5</xdr:row>
      <xdr:rowOff>95250</xdr:rowOff>
    </xdr:from>
    <xdr:to>
      <xdr:col>28</xdr:col>
      <xdr:colOff>217713</xdr:colOff>
      <xdr:row>35</xdr:row>
      <xdr:rowOff>176893</xdr:rowOff>
    </xdr:to>
    <xdr:sp macro="" textlink="">
      <xdr:nvSpPr>
        <xdr:cNvPr id="29" name="Rectangle 28">
          <a:extLst>
            <a:ext uri="{FF2B5EF4-FFF2-40B4-BE49-F238E27FC236}">
              <a16:creationId xmlns:a16="http://schemas.microsoft.com/office/drawing/2014/main" id="{FF4E3E20-8894-4CF9-BA11-1289B933CE50}"/>
            </a:ext>
          </a:extLst>
        </xdr:cNvPr>
        <xdr:cNvSpPr/>
      </xdr:nvSpPr>
      <xdr:spPr>
        <a:xfrm>
          <a:off x="12600214" y="1047750"/>
          <a:ext cx="4762499" cy="5796643"/>
        </a:xfrm>
        <a:prstGeom prst="rect">
          <a:avLst/>
        </a:prstGeom>
        <a:solidFill>
          <a:srgbClr val="F9F9F9">
            <a:alpha val="5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xdr:col>
      <xdr:colOff>449036</xdr:colOff>
      <xdr:row>8</xdr:row>
      <xdr:rowOff>54431</xdr:rowOff>
    </xdr:from>
    <xdr:to>
      <xdr:col>9</xdr:col>
      <xdr:colOff>13608</xdr:colOff>
      <xdr:row>19</xdr:row>
      <xdr:rowOff>122465</xdr:rowOff>
    </xdr:to>
    <xdr:graphicFrame macro="">
      <xdr:nvGraphicFramePr>
        <xdr:cNvPr id="30" name="Chart 29">
          <a:extLst>
            <a:ext uri="{FF2B5EF4-FFF2-40B4-BE49-F238E27FC236}">
              <a16:creationId xmlns:a16="http://schemas.microsoft.com/office/drawing/2014/main" id="{855B61C6-A665-4083-8B1C-D8DEB4FF2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544286</xdr:colOff>
      <xdr:row>5</xdr:row>
      <xdr:rowOff>108857</xdr:rowOff>
    </xdr:from>
    <xdr:to>
      <xdr:col>6</xdr:col>
      <xdr:colOff>176892</xdr:colOff>
      <xdr:row>7</xdr:row>
      <xdr:rowOff>27214</xdr:rowOff>
    </xdr:to>
    <xdr:sp macro="" textlink="">
      <xdr:nvSpPr>
        <xdr:cNvPr id="31" name="TextBox 30">
          <a:extLst>
            <a:ext uri="{FF2B5EF4-FFF2-40B4-BE49-F238E27FC236}">
              <a16:creationId xmlns:a16="http://schemas.microsoft.com/office/drawing/2014/main" id="{AD03F0BF-B4D5-3F1A-E142-2E96AA1A0B57}"/>
            </a:ext>
          </a:extLst>
        </xdr:cNvPr>
        <xdr:cNvSpPr txBox="1"/>
      </xdr:nvSpPr>
      <xdr:spPr>
        <a:xfrm>
          <a:off x="1768929" y="1061357"/>
          <a:ext cx="208189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570"/>
              </a:solidFill>
            </a:rPr>
            <a:t>Sales</a:t>
          </a:r>
          <a:r>
            <a:rPr lang="en-US" sz="1400" baseline="0">
              <a:solidFill>
                <a:srgbClr val="002570"/>
              </a:solidFill>
            </a:rPr>
            <a:t> Trend</a:t>
          </a:r>
          <a:endParaRPr lang="en-NG" sz="1400">
            <a:solidFill>
              <a:srgbClr val="002570"/>
            </a:solidFill>
          </a:endParaRPr>
        </a:p>
      </xdr:txBody>
    </xdr:sp>
    <xdr:clientData/>
  </xdr:twoCellAnchor>
  <xdr:twoCellAnchor>
    <xdr:from>
      <xdr:col>2</xdr:col>
      <xdr:colOff>547007</xdr:colOff>
      <xdr:row>6</xdr:row>
      <xdr:rowOff>152400</xdr:rowOff>
    </xdr:from>
    <xdr:to>
      <xdr:col>7</xdr:col>
      <xdr:colOff>244929</xdr:colOff>
      <xdr:row>8</xdr:row>
      <xdr:rowOff>54429</xdr:rowOff>
    </xdr:to>
    <xdr:sp macro="" textlink="Analysis!B15">
      <xdr:nvSpPr>
        <xdr:cNvPr id="32" name="TextBox 31">
          <a:extLst>
            <a:ext uri="{FF2B5EF4-FFF2-40B4-BE49-F238E27FC236}">
              <a16:creationId xmlns:a16="http://schemas.microsoft.com/office/drawing/2014/main" id="{F0C8D9C6-1692-4698-95BA-7E9A1FB766F0}"/>
            </a:ext>
          </a:extLst>
        </xdr:cNvPr>
        <xdr:cNvSpPr txBox="1"/>
      </xdr:nvSpPr>
      <xdr:spPr>
        <a:xfrm>
          <a:off x="1771650" y="1295400"/>
          <a:ext cx="275952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F761D4-345B-4510-B44B-3D0E3A6D67B8}" type="TxLink">
            <a:rPr lang="en-US" sz="1100" b="0" i="0" u="none" strike="noStrike">
              <a:solidFill>
                <a:srgbClr val="002570"/>
              </a:solidFill>
              <a:latin typeface="Aptos Narrow"/>
            </a:rPr>
            <a:t>Peak Sales Month: Dec with $121,818 in sales</a:t>
          </a:fld>
          <a:endParaRPr lang="en-NG" sz="1100">
            <a:solidFill>
              <a:srgbClr val="002570"/>
            </a:solidFill>
          </a:endParaRPr>
        </a:p>
      </xdr:txBody>
    </xdr:sp>
    <xdr:clientData/>
  </xdr:twoCellAnchor>
  <xdr:twoCellAnchor>
    <xdr:from>
      <xdr:col>2</xdr:col>
      <xdr:colOff>492580</xdr:colOff>
      <xdr:row>22</xdr:row>
      <xdr:rowOff>13605</xdr:rowOff>
    </xdr:from>
    <xdr:to>
      <xdr:col>9</xdr:col>
      <xdr:colOff>489858</xdr:colOff>
      <xdr:row>36</xdr:row>
      <xdr:rowOff>40820</xdr:rowOff>
    </xdr:to>
    <xdr:sp macro="" textlink="">
      <xdr:nvSpPr>
        <xdr:cNvPr id="34" name="Rectangle 33">
          <a:extLst>
            <a:ext uri="{FF2B5EF4-FFF2-40B4-BE49-F238E27FC236}">
              <a16:creationId xmlns:a16="http://schemas.microsoft.com/office/drawing/2014/main" id="{AC6B1C09-056F-4D0D-8DE3-197D5786DCCC}"/>
            </a:ext>
          </a:extLst>
        </xdr:cNvPr>
        <xdr:cNvSpPr/>
      </xdr:nvSpPr>
      <xdr:spPr>
        <a:xfrm>
          <a:off x="1717223" y="4204605"/>
          <a:ext cx="4283528" cy="2694215"/>
        </a:xfrm>
        <a:prstGeom prst="rect">
          <a:avLst/>
        </a:prstGeom>
        <a:solidFill>
          <a:srgbClr val="F9F9F9">
            <a:alpha val="5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xdr:col>
      <xdr:colOff>489853</xdr:colOff>
      <xdr:row>24</xdr:row>
      <xdr:rowOff>163285</xdr:rowOff>
    </xdr:from>
    <xdr:to>
      <xdr:col>9</xdr:col>
      <xdr:colOff>462642</xdr:colOff>
      <xdr:row>35</xdr:row>
      <xdr:rowOff>176892</xdr:rowOff>
    </xdr:to>
    <xdr:graphicFrame macro="">
      <xdr:nvGraphicFramePr>
        <xdr:cNvPr id="33" name="Chart 32">
          <a:extLst>
            <a:ext uri="{FF2B5EF4-FFF2-40B4-BE49-F238E27FC236}">
              <a16:creationId xmlns:a16="http://schemas.microsoft.com/office/drawing/2014/main" id="{3B92CDDE-9436-4606-8FC4-A2692DAA5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517071</xdr:colOff>
      <xdr:row>22</xdr:row>
      <xdr:rowOff>27214</xdr:rowOff>
    </xdr:from>
    <xdr:to>
      <xdr:col>7</xdr:col>
      <xdr:colOff>54429</xdr:colOff>
      <xdr:row>23</xdr:row>
      <xdr:rowOff>122464</xdr:rowOff>
    </xdr:to>
    <xdr:sp macro="" textlink="Analysis!G23">
      <xdr:nvSpPr>
        <xdr:cNvPr id="35" name="TextBox 34">
          <a:extLst>
            <a:ext uri="{FF2B5EF4-FFF2-40B4-BE49-F238E27FC236}">
              <a16:creationId xmlns:a16="http://schemas.microsoft.com/office/drawing/2014/main" id="{EE212857-67E1-A2DF-E2B5-AD47B380A870}"/>
            </a:ext>
          </a:extLst>
        </xdr:cNvPr>
        <xdr:cNvSpPr txBox="1"/>
      </xdr:nvSpPr>
      <xdr:spPr>
        <a:xfrm>
          <a:off x="1741714" y="4218214"/>
          <a:ext cx="259896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99CE59C-D794-4747-9BDD-C3CC7B602379}" type="TxLink">
            <a:rPr lang="en-US" sz="1400">
              <a:solidFill>
                <a:srgbClr val="002570"/>
              </a:solidFill>
              <a:latin typeface="+mn-lt"/>
              <a:ea typeface="+mn-ea"/>
              <a:cs typeface="+mn-cs"/>
            </a:rPr>
            <a:pPr marL="0" indent="0"/>
            <a:t>Orders by Duration</a:t>
          </a:fld>
          <a:endParaRPr lang="en-NG" sz="1400">
            <a:solidFill>
              <a:srgbClr val="002570"/>
            </a:solidFill>
            <a:latin typeface="+mn-lt"/>
            <a:ea typeface="+mn-ea"/>
            <a:cs typeface="+mn-cs"/>
          </a:endParaRPr>
        </a:p>
      </xdr:txBody>
    </xdr:sp>
    <xdr:clientData/>
  </xdr:twoCellAnchor>
  <xdr:twoCellAnchor>
    <xdr:from>
      <xdr:col>2</xdr:col>
      <xdr:colOff>519793</xdr:colOff>
      <xdr:row>23</xdr:row>
      <xdr:rowOff>70755</xdr:rowOff>
    </xdr:from>
    <xdr:to>
      <xdr:col>8</xdr:col>
      <xdr:colOff>95250</xdr:colOff>
      <xdr:row>24</xdr:row>
      <xdr:rowOff>136071</xdr:rowOff>
    </xdr:to>
    <xdr:sp macro="" textlink="Analysis!G24">
      <xdr:nvSpPr>
        <xdr:cNvPr id="36" name="TextBox 35">
          <a:extLst>
            <a:ext uri="{FF2B5EF4-FFF2-40B4-BE49-F238E27FC236}">
              <a16:creationId xmlns:a16="http://schemas.microsoft.com/office/drawing/2014/main" id="{A9E553B2-F8F3-4149-8281-7D0EAAC5F92C}"/>
            </a:ext>
          </a:extLst>
        </xdr:cNvPr>
        <xdr:cNvSpPr txBox="1"/>
      </xdr:nvSpPr>
      <xdr:spPr>
        <a:xfrm>
          <a:off x="1744436" y="4452255"/>
          <a:ext cx="3249385" cy="25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A8A596-A195-4026-AACA-D45BFF81C2BF}" type="TxLink">
            <a:rPr lang="en-US" sz="1100" b="0" i="0" u="none" strike="noStrike">
              <a:solidFill>
                <a:srgbClr val="002570"/>
              </a:solidFill>
              <a:latin typeface="Aptos Narrow"/>
              <a:ea typeface="+mn-ea"/>
              <a:cs typeface="+mn-cs"/>
            </a:rPr>
            <a:pPr marL="0" indent="0"/>
            <a:t>Most orders  (28%) were delivered in 4- days</a:t>
          </a:fld>
          <a:endParaRPr lang="en-NG" sz="1100" b="0" i="0" u="none" strike="noStrike">
            <a:solidFill>
              <a:srgbClr val="002570"/>
            </a:solidFill>
            <a:latin typeface="Aptos Narrow"/>
            <a:ea typeface="+mn-ea"/>
            <a:cs typeface="+mn-cs"/>
          </a:endParaRPr>
        </a:p>
      </xdr:txBody>
    </xdr:sp>
    <xdr:clientData/>
  </xdr:twoCellAnchor>
  <xdr:twoCellAnchor>
    <xdr:from>
      <xdr:col>10</xdr:col>
      <xdr:colOff>59871</xdr:colOff>
      <xdr:row>5</xdr:row>
      <xdr:rowOff>73478</xdr:rowOff>
    </xdr:from>
    <xdr:to>
      <xdr:col>14</xdr:col>
      <xdr:colOff>209550</xdr:colOff>
      <xdr:row>6</xdr:row>
      <xdr:rowOff>163285</xdr:rowOff>
    </xdr:to>
    <xdr:sp macro="" textlink="">
      <xdr:nvSpPr>
        <xdr:cNvPr id="37" name="TextBox 36">
          <a:extLst>
            <a:ext uri="{FF2B5EF4-FFF2-40B4-BE49-F238E27FC236}">
              <a16:creationId xmlns:a16="http://schemas.microsoft.com/office/drawing/2014/main" id="{A948CCCD-588D-4078-851C-DA7B06AB9B24}"/>
            </a:ext>
          </a:extLst>
        </xdr:cNvPr>
        <xdr:cNvSpPr txBox="1"/>
      </xdr:nvSpPr>
      <xdr:spPr>
        <a:xfrm>
          <a:off x="6183085" y="1025978"/>
          <a:ext cx="2598965" cy="28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20</xdr:col>
      <xdr:colOff>367392</xdr:colOff>
      <xdr:row>5</xdr:row>
      <xdr:rowOff>108858</xdr:rowOff>
    </xdr:from>
    <xdr:to>
      <xdr:col>28</xdr:col>
      <xdr:colOff>190500</xdr:colOff>
      <xdr:row>21</xdr:row>
      <xdr:rowOff>13608</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EAAD827E-12F6-4A25-A264-427793156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613821" y="1061358"/>
              <a:ext cx="4721679" cy="29527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32658</xdr:colOff>
      <xdr:row>22</xdr:row>
      <xdr:rowOff>13607</xdr:rowOff>
    </xdr:from>
    <xdr:to>
      <xdr:col>20</xdr:col>
      <xdr:colOff>231320</xdr:colOff>
      <xdr:row>36</xdr:row>
      <xdr:rowOff>46265</xdr:rowOff>
    </xdr:to>
    <xdr:sp macro="" textlink="">
      <xdr:nvSpPr>
        <xdr:cNvPr id="41" name="Rectangle 40">
          <a:extLst>
            <a:ext uri="{FF2B5EF4-FFF2-40B4-BE49-F238E27FC236}">
              <a16:creationId xmlns:a16="http://schemas.microsoft.com/office/drawing/2014/main" id="{483ECB0B-6EFE-4145-9864-A5D0E4552407}"/>
            </a:ext>
          </a:extLst>
        </xdr:cNvPr>
        <xdr:cNvSpPr/>
      </xdr:nvSpPr>
      <xdr:spPr>
        <a:xfrm>
          <a:off x="6155872" y="4204607"/>
          <a:ext cx="6321877" cy="2699658"/>
        </a:xfrm>
        <a:prstGeom prst="rect">
          <a:avLst/>
        </a:prstGeom>
        <a:solidFill>
          <a:srgbClr val="F9F9F9">
            <a:alpha val="5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10</xdr:col>
      <xdr:colOff>40819</xdr:colOff>
      <xdr:row>24</xdr:row>
      <xdr:rowOff>81643</xdr:rowOff>
    </xdr:from>
    <xdr:to>
      <xdr:col>20</xdr:col>
      <xdr:colOff>204107</xdr:colOff>
      <xdr:row>36</xdr:row>
      <xdr:rowOff>48985</xdr:rowOff>
    </xdr:to>
    <xdr:graphicFrame macro="">
      <xdr:nvGraphicFramePr>
        <xdr:cNvPr id="39" name="Chart 38">
          <a:extLst>
            <a:ext uri="{FF2B5EF4-FFF2-40B4-BE49-F238E27FC236}">
              <a16:creationId xmlns:a16="http://schemas.microsoft.com/office/drawing/2014/main" id="{5C4F6811-03A7-4B9A-B7D1-0D4417AA9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62593</xdr:colOff>
      <xdr:row>23</xdr:row>
      <xdr:rowOff>149679</xdr:rowOff>
    </xdr:from>
    <xdr:to>
      <xdr:col>14</xdr:col>
      <xdr:colOff>212272</xdr:colOff>
      <xdr:row>25</xdr:row>
      <xdr:rowOff>76199</xdr:rowOff>
    </xdr:to>
    <xdr:sp macro="" textlink="Analysis!H12">
      <xdr:nvSpPr>
        <xdr:cNvPr id="47" name="TextBox 46">
          <a:extLst>
            <a:ext uri="{FF2B5EF4-FFF2-40B4-BE49-F238E27FC236}">
              <a16:creationId xmlns:a16="http://schemas.microsoft.com/office/drawing/2014/main" id="{3E88340C-F01C-47EA-88E0-B19D18A35272}"/>
            </a:ext>
          </a:extLst>
        </xdr:cNvPr>
        <xdr:cNvSpPr txBox="1"/>
      </xdr:nvSpPr>
      <xdr:spPr>
        <a:xfrm>
          <a:off x="6185807" y="4531179"/>
          <a:ext cx="2598965" cy="30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8730F2-B6D7-4528-B920-00B45CFB5D8B}" type="TxLink">
            <a:rPr lang="en-US" sz="1100" b="0" i="0" u="none" strike="noStrike">
              <a:solidFill>
                <a:srgbClr val="002570"/>
              </a:solidFill>
              <a:latin typeface="Aptos Narrow"/>
              <a:ea typeface="+mn-ea"/>
              <a:cs typeface="+mn-cs"/>
            </a:rPr>
            <a:pPr marL="0" indent="0"/>
            <a:t>Top Selling Cities: New York City ($75,691)</a:t>
          </a:fld>
          <a:endParaRPr lang="en-NG" sz="1100" b="0" i="0" u="none" strike="noStrike">
            <a:solidFill>
              <a:srgbClr val="002570"/>
            </a:solidFill>
            <a:latin typeface="Aptos Narrow"/>
            <a:ea typeface="+mn-ea"/>
            <a:cs typeface="+mn-cs"/>
          </a:endParaRPr>
        </a:p>
      </xdr:txBody>
    </xdr:sp>
    <xdr:clientData/>
  </xdr:twoCellAnchor>
  <xdr:twoCellAnchor>
    <xdr:from>
      <xdr:col>10</xdr:col>
      <xdr:colOff>38102</xdr:colOff>
      <xdr:row>22</xdr:row>
      <xdr:rowOff>38100</xdr:rowOff>
    </xdr:from>
    <xdr:to>
      <xdr:col>12</xdr:col>
      <xdr:colOff>503465</xdr:colOff>
      <xdr:row>23</xdr:row>
      <xdr:rowOff>122464</xdr:rowOff>
    </xdr:to>
    <xdr:sp macro="" textlink="Analysis!H11">
      <xdr:nvSpPr>
        <xdr:cNvPr id="48" name="TextBox 47">
          <a:extLst>
            <a:ext uri="{FF2B5EF4-FFF2-40B4-BE49-F238E27FC236}">
              <a16:creationId xmlns:a16="http://schemas.microsoft.com/office/drawing/2014/main" id="{911C2E11-1EEF-4ADF-95F9-327E450CCA81}"/>
            </a:ext>
          </a:extLst>
        </xdr:cNvPr>
        <xdr:cNvSpPr txBox="1"/>
      </xdr:nvSpPr>
      <xdr:spPr>
        <a:xfrm>
          <a:off x="6161316" y="4229100"/>
          <a:ext cx="1690006" cy="274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013465-E2A0-4684-997D-07E14677D4D2}" type="TxLink">
            <a:rPr lang="en-US" sz="1400" b="0" i="0" u="none" strike="noStrike">
              <a:solidFill>
                <a:srgbClr val="002570"/>
              </a:solidFill>
              <a:latin typeface="Aptos Narrow"/>
              <a:ea typeface="+mn-ea"/>
              <a:cs typeface="+mn-cs"/>
            </a:rPr>
            <a:pPr marL="0" indent="0"/>
            <a:t>Top Selling Cities</a:t>
          </a:fld>
          <a:endParaRPr lang="en-NG" sz="1400" b="0" i="0" u="none" strike="noStrike">
            <a:solidFill>
              <a:srgbClr val="002570"/>
            </a:solidFill>
            <a:latin typeface="Aptos Narrow"/>
            <a:ea typeface="+mn-ea"/>
            <a:cs typeface="+mn-cs"/>
          </a:endParaRPr>
        </a:p>
      </xdr:txBody>
    </xdr:sp>
    <xdr:clientData/>
  </xdr:twoCellAnchor>
  <xdr:twoCellAnchor>
    <xdr:from>
      <xdr:col>20</xdr:col>
      <xdr:colOff>408214</xdr:colOff>
      <xdr:row>25</xdr:row>
      <xdr:rowOff>40821</xdr:rowOff>
    </xdr:from>
    <xdr:to>
      <xdr:col>28</xdr:col>
      <xdr:colOff>149679</xdr:colOff>
      <xdr:row>35</xdr:row>
      <xdr:rowOff>144234</xdr:rowOff>
    </xdr:to>
    <xdr:graphicFrame macro="">
      <xdr:nvGraphicFramePr>
        <xdr:cNvPr id="53" name="Chart 52">
          <a:extLst>
            <a:ext uri="{FF2B5EF4-FFF2-40B4-BE49-F238E27FC236}">
              <a16:creationId xmlns:a16="http://schemas.microsoft.com/office/drawing/2014/main" id="{B61FC55C-D256-4E83-AD42-47DFA7370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394606</xdr:colOff>
      <xdr:row>23</xdr:row>
      <xdr:rowOff>0</xdr:rowOff>
    </xdr:from>
    <xdr:to>
      <xdr:col>24</xdr:col>
      <xdr:colOff>544286</xdr:colOff>
      <xdr:row>24</xdr:row>
      <xdr:rowOff>95249</xdr:rowOff>
    </xdr:to>
    <xdr:sp macro="" textlink="Analysis!G38">
      <xdr:nvSpPr>
        <xdr:cNvPr id="54" name="TextBox 53">
          <a:extLst>
            <a:ext uri="{FF2B5EF4-FFF2-40B4-BE49-F238E27FC236}">
              <a16:creationId xmlns:a16="http://schemas.microsoft.com/office/drawing/2014/main" id="{FE013BD7-890C-4055-95DB-67C01838AA78}"/>
            </a:ext>
          </a:extLst>
        </xdr:cNvPr>
        <xdr:cNvSpPr txBox="1"/>
      </xdr:nvSpPr>
      <xdr:spPr>
        <a:xfrm>
          <a:off x="12641035" y="4381500"/>
          <a:ext cx="259896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713220-8C57-418D-9992-9391B2CBA50F}" type="TxLink">
            <a:rPr lang="en-US" sz="1100" b="0" i="0" u="none" strike="noStrike">
              <a:solidFill>
                <a:srgbClr val="002570"/>
              </a:solidFill>
              <a:latin typeface="Aptos Narrow"/>
              <a:ea typeface="+mn-ea"/>
              <a:cs typeface="+mn-cs"/>
            </a:rPr>
            <a:pPr marL="0" indent="0"/>
            <a:t>Most orders (59%) used Standard Class</a:t>
          </a:fld>
          <a:endParaRPr lang="en-NG" sz="1100" b="0" i="0" u="none" strike="noStrike">
            <a:solidFill>
              <a:srgbClr val="002570"/>
            </a:solidFill>
            <a:latin typeface="Aptos Narrow"/>
            <a:ea typeface="+mn-ea"/>
            <a:cs typeface="+mn-cs"/>
          </a:endParaRPr>
        </a:p>
      </xdr:txBody>
    </xdr:sp>
    <xdr:clientData/>
  </xdr:twoCellAnchor>
  <xdr:twoCellAnchor>
    <xdr:from>
      <xdr:col>20</xdr:col>
      <xdr:colOff>383720</xdr:colOff>
      <xdr:row>21</xdr:row>
      <xdr:rowOff>166008</xdr:rowOff>
    </xdr:from>
    <xdr:to>
      <xdr:col>24</xdr:col>
      <xdr:colOff>533400</xdr:colOff>
      <xdr:row>23</xdr:row>
      <xdr:rowOff>27214</xdr:rowOff>
    </xdr:to>
    <xdr:sp macro="" textlink="">
      <xdr:nvSpPr>
        <xdr:cNvPr id="55" name="TextBox 54">
          <a:extLst>
            <a:ext uri="{FF2B5EF4-FFF2-40B4-BE49-F238E27FC236}">
              <a16:creationId xmlns:a16="http://schemas.microsoft.com/office/drawing/2014/main" id="{2BE7D68F-849F-427F-B4C9-DB17BDD692B0}"/>
            </a:ext>
          </a:extLst>
        </xdr:cNvPr>
        <xdr:cNvSpPr txBox="1"/>
      </xdr:nvSpPr>
      <xdr:spPr>
        <a:xfrm>
          <a:off x="12630149" y="4166508"/>
          <a:ext cx="2598965" cy="24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0" i="0" u="none" strike="noStrike">
              <a:solidFill>
                <a:srgbClr val="002570"/>
              </a:solidFill>
              <a:latin typeface="Aptos Narrow"/>
              <a:ea typeface="+mn-ea"/>
              <a:cs typeface="+mn-cs"/>
            </a:rPr>
            <a:t>Shipping Mode</a:t>
          </a:r>
        </a:p>
        <a:p>
          <a:pPr marL="0" indent="0"/>
          <a:endParaRPr lang="en-NG" sz="1400" b="0" i="0" u="none" strike="noStrike">
            <a:solidFill>
              <a:srgbClr val="002570"/>
            </a:solidFill>
            <a:latin typeface="Aptos Narrow"/>
            <a:ea typeface="+mn-ea"/>
            <a:cs typeface="+mn-cs"/>
          </a:endParaRPr>
        </a:p>
      </xdr:txBody>
    </xdr:sp>
    <xdr:clientData/>
  </xdr:twoCellAnchor>
  <xdr:twoCellAnchor>
    <xdr:from>
      <xdr:col>10</xdr:col>
      <xdr:colOff>8165</xdr:colOff>
      <xdr:row>5</xdr:row>
      <xdr:rowOff>97973</xdr:rowOff>
    </xdr:from>
    <xdr:to>
      <xdr:col>20</xdr:col>
      <xdr:colOff>244928</xdr:colOff>
      <xdr:row>21</xdr:row>
      <xdr:rowOff>125186</xdr:rowOff>
    </xdr:to>
    <xdr:sp macro="" textlink="">
      <xdr:nvSpPr>
        <xdr:cNvPr id="57" name="Rectangle 56">
          <a:extLst>
            <a:ext uri="{FF2B5EF4-FFF2-40B4-BE49-F238E27FC236}">
              <a16:creationId xmlns:a16="http://schemas.microsoft.com/office/drawing/2014/main" id="{D219A963-D03A-4916-8C29-8A3A17CA49DD}"/>
            </a:ext>
          </a:extLst>
        </xdr:cNvPr>
        <xdr:cNvSpPr/>
      </xdr:nvSpPr>
      <xdr:spPr>
        <a:xfrm>
          <a:off x="6131379" y="1050473"/>
          <a:ext cx="6359978" cy="3075213"/>
        </a:xfrm>
        <a:prstGeom prst="rect">
          <a:avLst/>
        </a:prstGeom>
        <a:solidFill>
          <a:srgbClr val="F9F9F9">
            <a:alpha val="5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9</xdr:col>
      <xdr:colOff>593269</xdr:colOff>
      <xdr:row>7</xdr:row>
      <xdr:rowOff>48985</xdr:rowOff>
    </xdr:from>
    <xdr:to>
      <xdr:col>14</xdr:col>
      <xdr:colOff>585106</xdr:colOff>
      <xdr:row>9</xdr:row>
      <xdr:rowOff>40820</xdr:rowOff>
    </xdr:to>
    <xdr:sp macro="" textlink="Analysis!G48">
      <xdr:nvSpPr>
        <xdr:cNvPr id="50" name="TextBox 49">
          <a:extLst>
            <a:ext uri="{FF2B5EF4-FFF2-40B4-BE49-F238E27FC236}">
              <a16:creationId xmlns:a16="http://schemas.microsoft.com/office/drawing/2014/main" id="{7C7CD0FA-DA44-4A5B-80CF-1C955261CB22}"/>
            </a:ext>
          </a:extLst>
        </xdr:cNvPr>
        <xdr:cNvSpPr txBox="1"/>
      </xdr:nvSpPr>
      <xdr:spPr>
        <a:xfrm>
          <a:off x="6104162" y="1382485"/>
          <a:ext cx="305344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E714F5-7D52-42FE-91A6-17EA94290A7B}" type="TxLink">
            <a:rPr lang="en-US" sz="1100" b="0" i="0" u="none" strike="noStrike">
              <a:solidFill>
                <a:srgbClr val="002570"/>
              </a:solidFill>
              <a:latin typeface="Aptos Narrow"/>
              <a:ea typeface="+mn-ea"/>
              <a:cs typeface="+mn-cs"/>
            </a:rPr>
            <a:pPr marL="0" indent="0"/>
            <a:t>Highest Sales from Category: Chairs ($328,449)</a:t>
          </a:fld>
          <a:endParaRPr lang="en-NG" sz="1100" b="0" i="0" u="none" strike="noStrike">
            <a:solidFill>
              <a:srgbClr val="002570"/>
            </a:solidFill>
            <a:latin typeface="Aptos Narrow"/>
            <a:ea typeface="+mn-ea"/>
            <a:cs typeface="+mn-cs"/>
          </a:endParaRPr>
        </a:p>
      </xdr:txBody>
    </xdr:sp>
    <xdr:clientData/>
  </xdr:twoCellAnchor>
  <xdr:twoCellAnchor>
    <xdr:from>
      <xdr:col>9</xdr:col>
      <xdr:colOff>609598</xdr:colOff>
      <xdr:row>5</xdr:row>
      <xdr:rowOff>174171</xdr:rowOff>
    </xdr:from>
    <xdr:to>
      <xdr:col>14</xdr:col>
      <xdr:colOff>601435</xdr:colOff>
      <xdr:row>7</xdr:row>
      <xdr:rowOff>166006</xdr:rowOff>
    </xdr:to>
    <xdr:sp macro="" textlink="Analysis!G47">
      <xdr:nvSpPr>
        <xdr:cNvPr id="58" name="TextBox 57">
          <a:extLst>
            <a:ext uri="{FF2B5EF4-FFF2-40B4-BE49-F238E27FC236}">
              <a16:creationId xmlns:a16="http://schemas.microsoft.com/office/drawing/2014/main" id="{5B09BCC8-7688-4272-AE91-E46868DDF2B6}"/>
            </a:ext>
          </a:extLst>
        </xdr:cNvPr>
        <xdr:cNvSpPr txBox="1"/>
      </xdr:nvSpPr>
      <xdr:spPr>
        <a:xfrm>
          <a:off x="6120491" y="1126671"/>
          <a:ext cx="305344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F5CB790-EAB0-43D3-B9D5-085829D15221}" type="TxLink">
            <a:rPr lang="en-US" sz="1400" b="0" i="0" u="none" strike="noStrike">
              <a:solidFill>
                <a:srgbClr val="002570"/>
              </a:solidFill>
              <a:latin typeface="Aptos Narrow"/>
              <a:ea typeface="+mn-ea"/>
              <a:cs typeface="+mn-cs"/>
            </a:rPr>
            <a:pPr marL="0" indent="0" algn="l"/>
            <a:t>Sales by Category</a:t>
          </a:fld>
          <a:endParaRPr lang="en-NG" sz="1400" b="0" i="0" u="none" strike="noStrike">
            <a:solidFill>
              <a:srgbClr val="002570"/>
            </a:solidFill>
            <a:latin typeface="Aptos Narrow"/>
            <a:ea typeface="+mn-ea"/>
            <a:cs typeface="+mn-cs"/>
          </a:endParaRPr>
        </a:p>
      </xdr:txBody>
    </xdr:sp>
    <xdr:clientData/>
  </xdr:twoCellAnchor>
  <xdr:twoCellAnchor>
    <xdr:from>
      <xdr:col>10</xdr:col>
      <xdr:colOff>8165</xdr:colOff>
      <xdr:row>7</xdr:row>
      <xdr:rowOff>136071</xdr:rowOff>
    </xdr:from>
    <xdr:to>
      <xdr:col>20</xdr:col>
      <xdr:colOff>244928</xdr:colOff>
      <xdr:row>21</xdr:row>
      <xdr:rowOff>108857</xdr:rowOff>
    </xdr:to>
    <xdr:graphicFrame macro="">
      <xdr:nvGraphicFramePr>
        <xdr:cNvPr id="60" name="Chart 59">
          <a:extLst>
            <a:ext uri="{FF2B5EF4-FFF2-40B4-BE49-F238E27FC236}">
              <a16:creationId xmlns:a16="http://schemas.microsoft.com/office/drawing/2014/main" id="{1EC1AA51-032D-40B2-AA35-80542DEFF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489856</xdr:colOff>
      <xdr:row>2</xdr:row>
      <xdr:rowOff>27213</xdr:rowOff>
    </xdr:from>
    <xdr:to>
      <xdr:col>10</xdr:col>
      <xdr:colOff>476250</xdr:colOff>
      <xdr:row>4</xdr:row>
      <xdr:rowOff>13607</xdr:rowOff>
    </xdr:to>
    <xdr:sp macro="" textlink="">
      <xdr:nvSpPr>
        <xdr:cNvPr id="61" name="TextBox 60">
          <a:extLst>
            <a:ext uri="{FF2B5EF4-FFF2-40B4-BE49-F238E27FC236}">
              <a16:creationId xmlns:a16="http://schemas.microsoft.com/office/drawing/2014/main" id="{F4539251-EC5C-29B4-B9F1-794F565D0ED4}"/>
            </a:ext>
          </a:extLst>
        </xdr:cNvPr>
        <xdr:cNvSpPr txBox="1"/>
      </xdr:nvSpPr>
      <xdr:spPr>
        <a:xfrm>
          <a:off x="1714499" y="408213"/>
          <a:ext cx="4884965" cy="36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a:solidFill>
                <a:schemeClr val="tx1"/>
              </a:solidFill>
            </a:rPr>
            <a:t>Retail Sales &amp; Business Performance Dashboard</a:t>
          </a:r>
        </a:p>
      </xdr:txBody>
    </xdr:sp>
    <xdr:clientData/>
  </xdr:twoCellAnchor>
  <xdr:twoCellAnchor>
    <xdr:from>
      <xdr:col>2</xdr:col>
      <xdr:colOff>492577</xdr:colOff>
      <xdr:row>3</xdr:row>
      <xdr:rowOff>176891</xdr:rowOff>
    </xdr:from>
    <xdr:to>
      <xdr:col>11</xdr:col>
      <xdr:colOff>571499</xdr:colOff>
      <xdr:row>5</xdr:row>
      <xdr:rowOff>27214</xdr:rowOff>
    </xdr:to>
    <xdr:sp macro="" textlink="">
      <xdr:nvSpPr>
        <xdr:cNvPr id="62" name="TextBox 61">
          <a:extLst>
            <a:ext uri="{FF2B5EF4-FFF2-40B4-BE49-F238E27FC236}">
              <a16:creationId xmlns:a16="http://schemas.microsoft.com/office/drawing/2014/main" id="{D401B0D4-A23B-447A-8A97-95B5B482E5F3}"/>
            </a:ext>
          </a:extLst>
        </xdr:cNvPr>
        <xdr:cNvSpPr txBox="1"/>
      </xdr:nvSpPr>
      <xdr:spPr>
        <a:xfrm>
          <a:off x="1717220" y="748391"/>
          <a:ext cx="5589815" cy="23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Summary</a:t>
          </a:r>
          <a:r>
            <a:rPr lang="en-US" sz="1100" baseline="0"/>
            <a:t> of </a:t>
          </a:r>
          <a:r>
            <a:rPr lang="en-NG" sz="1100"/>
            <a:t>Sales | Profitability | Growth | Geography | Products | Operations</a:t>
          </a:r>
          <a:r>
            <a:rPr lang="en-US" sz="1100"/>
            <a:t> across the U.S.</a:t>
          </a:r>
          <a:endParaRPr lang="en-NG" sz="1100"/>
        </a:p>
      </xdr:txBody>
    </xdr:sp>
    <xdr:clientData/>
  </xdr:twoCellAnchor>
  <xdr:twoCellAnchor editAs="oneCell">
    <xdr:from>
      <xdr:col>15</xdr:col>
      <xdr:colOff>40820</xdr:colOff>
      <xdr:row>3</xdr:row>
      <xdr:rowOff>29934</xdr:rowOff>
    </xdr:from>
    <xdr:to>
      <xdr:col>22</xdr:col>
      <xdr:colOff>95250</xdr:colOff>
      <xdr:row>5</xdr:row>
      <xdr:rowOff>95249</xdr:rowOff>
    </xdr:to>
    <mc:AlternateContent xmlns:mc="http://schemas.openxmlformats.org/markup-compatibility/2006">
      <mc:Choice xmlns:a14="http://schemas.microsoft.com/office/drawing/2010/main" Requires="a14">
        <xdr:graphicFrame macro="">
          <xdr:nvGraphicFramePr>
            <xdr:cNvPr id="63" name="Segment">
              <a:extLst>
                <a:ext uri="{FF2B5EF4-FFF2-40B4-BE49-F238E27FC236}">
                  <a16:creationId xmlns:a16="http://schemas.microsoft.com/office/drawing/2014/main" id="{987C0EDE-3EE9-40C4-B5AF-3EA19D6DD73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225641" y="601434"/>
              <a:ext cx="4340680" cy="4463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125185</xdr:colOff>
      <xdr:row>3</xdr:row>
      <xdr:rowOff>29935</xdr:rowOff>
    </xdr:from>
    <xdr:to>
      <xdr:col>28</xdr:col>
      <xdr:colOff>299357</xdr:colOff>
      <xdr:row>5</xdr:row>
      <xdr:rowOff>108856</xdr:rowOff>
    </xdr:to>
    <mc:AlternateContent xmlns:mc="http://schemas.openxmlformats.org/markup-compatibility/2006">
      <mc:Choice xmlns:a14="http://schemas.microsoft.com/office/drawing/2010/main" Requires="a14">
        <xdr:graphicFrame macro="">
          <xdr:nvGraphicFramePr>
            <xdr:cNvPr id="64" name="Region">
              <a:extLst>
                <a:ext uri="{FF2B5EF4-FFF2-40B4-BE49-F238E27FC236}">
                  <a16:creationId xmlns:a16="http://schemas.microsoft.com/office/drawing/2014/main" id="{2A5A71E0-20E4-4662-9803-5A3607B043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96256" y="601435"/>
              <a:ext cx="3848101" cy="45992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Okonkwo" refreshedDate="46254.670229976851" createdVersion="8" refreshedVersion="8" minRefreshableVersion="3" recordCount="2121" xr:uid="{1CD48127-AB3D-46F5-B63B-B21EE438C723}">
  <cacheSource type="worksheet">
    <worksheetSource name="Furniture_Sales"/>
  </cacheSource>
  <cacheFields count="20">
    <cacheField name="Order ID" numFmtId="0">
      <sharedItems/>
    </cacheField>
    <cacheField name="Order Date" numFmtId="14">
      <sharedItems containsSemiMixedTypes="0" containsNonDate="0" containsDate="1" containsString="0" minDate="2014-01-06T00:00:00" maxDate="2017-12-31T00:00:00"/>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ntainsMixedTypes="1" containsNumber="1" containsInteger="1" minValue="0" maxValue="7" count="16">
        <s v="3- days"/>
        <s v="7- days"/>
        <s v="5- days"/>
        <s v="2- days"/>
        <s v="4- days"/>
        <s v="1- days"/>
        <s v="6- days"/>
        <s v="0- days"/>
        <n v="3" u="1"/>
        <n v="7" u="1"/>
        <n v="5" u="1"/>
        <n v="2" u="1"/>
        <n v="4" u="1"/>
        <n v="1" u="1"/>
        <n v="6" u="1"/>
        <n v="0" u="1"/>
      </sharedItems>
    </cacheField>
    <cacheField name="Year" numFmtId="0">
      <sharedItems containsSemiMixedTypes="0" containsString="0" containsNumber="1" containsInteger="1" minValue="2014" maxValue="2017" count="4">
        <n v="2016"/>
        <n v="2015"/>
        <n v="2014"/>
        <n v="2017"/>
      </sharedItems>
    </cacheField>
    <cacheField name="Month" numFmtId="0">
      <sharedItems count="12">
        <s v="Nov"/>
        <s v="Oct"/>
        <s v="Jun"/>
        <s v="Jul"/>
        <s v="Sep"/>
        <s v="Dec"/>
        <s v="Apr"/>
        <s v="May"/>
        <s v="Jan"/>
        <s v="Mar"/>
        <s v="Aug"/>
        <s v="Feb"/>
      </sharedItems>
    </cacheField>
  </cacheFields>
  <extLst>
    <ext xmlns:x14="http://schemas.microsoft.com/office/spreadsheetml/2009/9/main" uri="{725AE2AE-9491-48be-B2B4-4EB974FC3084}">
      <x14:pivotCacheDefinition pivotCacheId="2015956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d v="2016-11-08T00:00:00"/>
    <d v="2016-11-11T00:00:00"/>
    <x v="0"/>
    <s v="CG-12520"/>
    <s v="Claire Gute"/>
    <x v="0"/>
    <x v="0"/>
    <x v="0"/>
    <x v="0"/>
    <s v="FUR-BO-10001798"/>
    <s v="Furniture"/>
    <x v="0"/>
    <s v="Bush Somerset Collection Bookcase"/>
    <n v="261.95999999999998"/>
    <n v="2"/>
    <n v="41.913600000000002"/>
    <x v="0"/>
    <x v="0"/>
    <x v="0"/>
  </r>
  <r>
    <s v="CA-2016-152156"/>
    <d v="2016-11-08T00:00:00"/>
    <d v="2016-11-11T00:00:00"/>
    <x v="0"/>
    <s v="CG-12520"/>
    <s v="Claire Gute"/>
    <x v="0"/>
    <x v="0"/>
    <x v="0"/>
    <x v="0"/>
    <s v="FUR-CH-10000454"/>
    <s v="Furniture"/>
    <x v="1"/>
    <s v="Hon Deluxe Fabric Upholstered Stacking Chairs, Rounded Back"/>
    <n v="731.94"/>
    <n v="3"/>
    <n v="219.58199999999999"/>
    <x v="0"/>
    <x v="0"/>
    <x v="0"/>
  </r>
  <r>
    <s v="US-2015-108966"/>
    <d v="2015-10-11T00:00:00"/>
    <d v="2015-10-18T00:00:00"/>
    <x v="1"/>
    <s v="SO-20335"/>
    <s v="Sean O'Donnell"/>
    <x v="0"/>
    <x v="1"/>
    <x v="1"/>
    <x v="0"/>
    <s v="FUR-TA-10000577"/>
    <s v="Furniture"/>
    <x v="2"/>
    <s v="Bretford CR4500 Series Slim Rectangular Table"/>
    <n v="957.57749999999999"/>
    <n v="5"/>
    <n v="-383.03100000000001"/>
    <x v="1"/>
    <x v="1"/>
    <x v="1"/>
  </r>
  <r>
    <s v="CA-2014-115812"/>
    <d v="2014-06-09T00:00:00"/>
    <d v="2014-06-14T00:00:00"/>
    <x v="1"/>
    <s v="BH-11710"/>
    <s v="Brosina Hoffman"/>
    <x v="0"/>
    <x v="2"/>
    <x v="2"/>
    <x v="1"/>
    <s v="FUR-FU-10001487"/>
    <s v="Furniture"/>
    <x v="3"/>
    <s v="Eldon Expressions Wood and Plastic Desk Accessories, Cherry Wood"/>
    <n v="48.86"/>
    <n v="7"/>
    <n v="14.1694"/>
    <x v="2"/>
    <x v="2"/>
    <x v="2"/>
  </r>
  <r>
    <s v="CA-2014-115812"/>
    <d v="2014-06-09T00:00:00"/>
    <d v="2014-06-14T00:00:00"/>
    <x v="1"/>
    <s v="BH-11710"/>
    <s v="Brosina Hoffman"/>
    <x v="0"/>
    <x v="2"/>
    <x v="2"/>
    <x v="1"/>
    <s v="FUR-TA-10001539"/>
    <s v="Furniture"/>
    <x v="2"/>
    <s v="Chromcraft Rectangular Conference Tables"/>
    <n v="1706.184"/>
    <n v="9"/>
    <n v="85.309200000000004"/>
    <x v="2"/>
    <x v="2"/>
    <x v="2"/>
  </r>
  <r>
    <s v="US-2017-156909"/>
    <d v="2017-07-16T00:00:00"/>
    <d v="2017-07-18T00:00:00"/>
    <x v="0"/>
    <s v="SF-20065"/>
    <s v="Sandra Flanagan"/>
    <x v="0"/>
    <x v="3"/>
    <x v="3"/>
    <x v="2"/>
    <s v="FUR-CH-10002774"/>
    <s v="Furniture"/>
    <x v="1"/>
    <s v="Global Deluxe Stacking Chair, Gray"/>
    <n v="71.372"/>
    <n v="2"/>
    <n v="-1.0196000000000001"/>
    <x v="3"/>
    <x v="3"/>
    <x v="3"/>
  </r>
  <r>
    <s v="CA-2015-106320"/>
    <d v="2015-09-25T00:00:00"/>
    <d v="2015-09-30T00:00:00"/>
    <x v="1"/>
    <s v="EB-13870"/>
    <s v="Emily Burns"/>
    <x v="0"/>
    <x v="4"/>
    <x v="4"/>
    <x v="1"/>
    <s v="FUR-TA-10000577"/>
    <s v="Furniture"/>
    <x v="2"/>
    <s v="Bretford CR4500 Series Slim Rectangular Table"/>
    <n v="1044.6300000000001"/>
    <n v="3"/>
    <n v="240.26490000000001"/>
    <x v="2"/>
    <x v="1"/>
    <x v="4"/>
  </r>
  <r>
    <s v="US-2015-150630"/>
    <d v="2015-09-17T00:00:00"/>
    <d v="2015-09-21T00:00:00"/>
    <x v="1"/>
    <s v="TB-21520"/>
    <s v="Tracy Blumstein"/>
    <x v="0"/>
    <x v="3"/>
    <x v="3"/>
    <x v="2"/>
    <s v="FUR-BO-10004834"/>
    <s v="Furniture"/>
    <x v="0"/>
    <s v="Riverside Palais Royal Lawyers Bookcase, Royale Cherry Finish"/>
    <n v="3083.43"/>
    <n v="7"/>
    <n v="-1665.0522000000001"/>
    <x v="4"/>
    <x v="1"/>
    <x v="4"/>
  </r>
  <r>
    <s v="US-2015-150630"/>
    <d v="2015-09-17T00:00:00"/>
    <d v="2015-09-21T00:00:00"/>
    <x v="1"/>
    <s v="TB-21520"/>
    <s v="Tracy Blumstein"/>
    <x v="0"/>
    <x v="3"/>
    <x v="3"/>
    <x v="2"/>
    <s v="FUR-FU-10004848"/>
    <s v="Furniture"/>
    <x v="3"/>
    <s v="Howard Miller 13-3/4&quot; Diameter Brushed Chrome Round Wall Clock"/>
    <n v="124.2"/>
    <n v="3"/>
    <n v="15.525"/>
    <x v="4"/>
    <x v="1"/>
    <x v="4"/>
  </r>
  <r>
    <s v="CA-2016-117590"/>
    <d v="2016-12-08T00:00:00"/>
    <d v="2016-12-10T00:00:00"/>
    <x v="2"/>
    <s v="GH-14485"/>
    <s v="Gene Hale"/>
    <x v="1"/>
    <x v="5"/>
    <x v="5"/>
    <x v="3"/>
    <s v="FUR-FU-10003664"/>
    <s v="Furniture"/>
    <x v="3"/>
    <s v="Electrix Architect's Clamp-On Swing Arm Lamp, Black"/>
    <n v="190.92"/>
    <n v="5"/>
    <n v="-147.96299999999999"/>
    <x v="3"/>
    <x v="0"/>
    <x v="5"/>
  </r>
  <r>
    <s v="CA-2015-117415"/>
    <d v="2015-12-27T00:00:00"/>
    <d v="2015-12-31T00:00:00"/>
    <x v="1"/>
    <s v="SN-20710"/>
    <s v="Steve Nguyen"/>
    <x v="2"/>
    <x v="6"/>
    <x v="5"/>
    <x v="3"/>
    <s v="FUR-BO-10002545"/>
    <s v="Furniture"/>
    <x v="0"/>
    <s v="Atlantic Metals Mobile 3-Shelf Bookcases, Custom Colors"/>
    <n v="532.39919999999995"/>
    <n v="3"/>
    <n v="-46.976399999999998"/>
    <x v="4"/>
    <x v="1"/>
    <x v="5"/>
  </r>
  <r>
    <s v="CA-2015-117415"/>
    <d v="2015-12-27T00:00:00"/>
    <d v="2015-12-31T00:00:00"/>
    <x v="1"/>
    <s v="SN-20710"/>
    <s v="Steve Nguyen"/>
    <x v="2"/>
    <x v="6"/>
    <x v="5"/>
    <x v="3"/>
    <s v="FUR-CH-10004218"/>
    <s v="Furniture"/>
    <x v="1"/>
    <s v="Global Fabric Manager's Chair, Dark Gray"/>
    <n v="212.05799999999999"/>
    <n v="3"/>
    <n v="-15.147"/>
    <x v="4"/>
    <x v="1"/>
    <x v="5"/>
  </r>
  <r>
    <s v="CA-2015-115742"/>
    <d v="2015-04-18T00:00:00"/>
    <d v="2015-04-22T00:00:00"/>
    <x v="1"/>
    <s v="DP-13000"/>
    <s v="Darren Powers"/>
    <x v="0"/>
    <x v="7"/>
    <x v="6"/>
    <x v="3"/>
    <s v="FUR-FU-10001706"/>
    <s v="Furniture"/>
    <x v="3"/>
    <s v="Longer-Life Soft White Bulbs"/>
    <n v="6.16"/>
    <n v="2"/>
    <n v="2.9567999999999999"/>
    <x v="4"/>
    <x v="1"/>
    <x v="6"/>
  </r>
  <r>
    <s v="CA-2015-115742"/>
    <d v="2015-04-18T00:00:00"/>
    <d v="2015-04-22T00:00:00"/>
    <x v="1"/>
    <s v="DP-13000"/>
    <s v="Darren Powers"/>
    <x v="0"/>
    <x v="7"/>
    <x v="6"/>
    <x v="3"/>
    <s v="FUR-CH-10003061"/>
    <s v="Furniture"/>
    <x v="1"/>
    <s v="Global Leather Task Chair, Black"/>
    <n v="89.99"/>
    <n v="1"/>
    <n v="17.098099999999999"/>
    <x v="4"/>
    <x v="1"/>
    <x v="6"/>
  </r>
  <r>
    <s v="CA-2016-111682"/>
    <d v="2016-06-17T00:00:00"/>
    <d v="2016-06-18T00:00:00"/>
    <x v="2"/>
    <s v="TB-21055"/>
    <s v="Ted Butterfield"/>
    <x v="0"/>
    <x v="8"/>
    <x v="7"/>
    <x v="2"/>
    <s v="FUR-CH-10003968"/>
    <s v="Furniture"/>
    <x v="1"/>
    <s v="Novimex Turbo Task Chair"/>
    <n v="319.41000000000003"/>
    <n v="5"/>
    <n v="7.0979999999999999"/>
    <x v="5"/>
    <x v="0"/>
    <x v="2"/>
  </r>
  <r>
    <s v="CA-2015-135545"/>
    <d v="2015-11-24T00:00:00"/>
    <d v="2015-11-30T00:00:00"/>
    <x v="1"/>
    <s v="KM-16720"/>
    <s v="Kunst Miller"/>
    <x v="0"/>
    <x v="2"/>
    <x v="2"/>
    <x v="1"/>
    <s v="FUR-FU-10000397"/>
    <s v="Furniture"/>
    <x v="3"/>
    <s v="Luxo Economy Swing Arm Lamp"/>
    <n v="79.760000000000005"/>
    <n v="4"/>
    <n v="22.332799999999999"/>
    <x v="6"/>
    <x v="1"/>
    <x v="0"/>
  </r>
  <r>
    <s v="US-2015-164175"/>
    <d v="2015-04-30T00:00:00"/>
    <d v="2015-05-05T00:00:00"/>
    <x v="1"/>
    <s v="PS-18970"/>
    <s v="Paul Stevenson"/>
    <x v="2"/>
    <x v="9"/>
    <x v="8"/>
    <x v="3"/>
    <s v="FUR-CH-10001146"/>
    <s v="Furniture"/>
    <x v="1"/>
    <s v="Global Value Mid-Back Manager's Chair, Gray"/>
    <n v="213.11500000000001"/>
    <n v="5"/>
    <n v="-15.2225"/>
    <x v="2"/>
    <x v="1"/>
    <x v="6"/>
  </r>
  <r>
    <s v="US-2015-134026"/>
    <d v="2015-04-26T00:00:00"/>
    <d v="2015-05-02T00:00:00"/>
    <x v="1"/>
    <s v="JE-15745"/>
    <s v="Joel Eaton"/>
    <x v="0"/>
    <x v="10"/>
    <x v="9"/>
    <x v="0"/>
    <s v="FUR-CH-10000513"/>
    <s v="Furniture"/>
    <x v="1"/>
    <s v="High-Back Leather Manager's Chair"/>
    <n v="831.93600000000004"/>
    <n v="8"/>
    <n v="-114.3912"/>
    <x v="6"/>
    <x v="1"/>
    <x v="6"/>
  </r>
  <r>
    <s v="US-2015-134026"/>
    <d v="2015-04-26T00:00:00"/>
    <d v="2015-05-02T00:00:00"/>
    <x v="1"/>
    <s v="JE-15745"/>
    <s v="Joel Eaton"/>
    <x v="0"/>
    <x v="10"/>
    <x v="9"/>
    <x v="0"/>
    <s v="FUR-FU-10003708"/>
    <s v="Furniture"/>
    <x v="3"/>
    <s v="Tenex Traditional Chairmats for Medium Pile Carpet, Standard Lip, 36&quot; x 48&quot;"/>
    <n v="97.04"/>
    <n v="2"/>
    <n v="1.2130000000000001"/>
    <x v="6"/>
    <x v="1"/>
    <x v="6"/>
  </r>
  <r>
    <s v="US-2017-118038"/>
    <d v="2017-12-09T00:00:00"/>
    <d v="2017-12-11T00:00:00"/>
    <x v="2"/>
    <s v="KB-16600"/>
    <s v="Ken Brennan"/>
    <x v="1"/>
    <x v="6"/>
    <x v="5"/>
    <x v="3"/>
    <s v="FUR-FU-10000260"/>
    <s v="Furniture"/>
    <x v="3"/>
    <s v="6&quot; Cubicle Wall Clock, Black"/>
    <n v="9.7080000000000002"/>
    <n v="3"/>
    <n v="-5.8247999999999998"/>
    <x v="3"/>
    <x v="3"/>
    <x v="5"/>
  </r>
  <r>
    <s v="US-2014-147606"/>
    <d v="2014-11-26T00:00:00"/>
    <d v="2014-12-01T00:00:00"/>
    <x v="0"/>
    <s v="JE-15745"/>
    <s v="Joel Eaton"/>
    <x v="0"/>
    <x v="6"/>
    <x v="5"/>
    <x v="3"/>
    <s v="FUR-FU-10003194"/>
    <s v="Furniture"/>
    <x v="3"/>
    <s v="Eldon Expressions Desk Accessory, Wood Pencil Holder, Oak"/>
    <n v="19.3"/>
    <n v="5"/>
    <n v="-14.475"/>
    <x v="2"/>
    <x v="2"/>
    <x v="0"/>
  </r>
  <r>
    <s v="CA-2017-140088"/>
    <d v="2017-05-28T00:00:00"/>
    <d v="2017-05-30T00:00:00"/>
    <x v="0"/>
    <s v="PO-18865"/>
    <s v="Patrick O'Donnell"/>
    <x v="0"/>
    <x v="11"/>
    <x v="10"/>
    <x v="0"/>
    <s v="FUR-CH-10000863"/>
    <s v="Furniture"/>
    <x v="1"/>
    <s v="Novimex Swivel Fabric Task Chair"/>
    <n v="301.95999999999998"/>
    <n v="2"/>
    <n v="33.215600000000002"/>
    <x v="3"/>
    <x v="3"/>
    <x v="7"/>
  </r>
  <r>
    <s v="CA-2015-149587"/>
    <d v="2015-01-31T00:00:00"/>
    <d v="2015-02-05T00:00:00"/>
    <x v="0"/>
    <s v="KB-16315"/>
    <s v="Karl Braun"/>
    <x v="0"/>
    <x v="12"/>
    <x v="11"/>
    <x v="3"/>
    <s v="FUR-FU-10003799"/>
    <s v="Furniture"/>
    <x v="3"/>
    <s v="Seth Thomas 13 1/2&quot; Wall Clock"/>
    <n v="53.34"/>
    <n v="3"/>
    <n v="16.535399999999999"/>
    <x v="2"/>
    <x v="1"/>
    <x v="8"/>
  </r>
  <r>
    <s v="CA-2017-161018"/>
    <d v="2017-11-09T00:00:00"/>
    <d v="2017-11-11T00:00:00"/>
    <x v="0"/>
    <s v="PN-18775"/>
    <s v="Parhena Norris"/>
    <x v="2"/>
    <x v="13"/>
    <x v="7"/>
    <x v="2"/>
    <s v="FUR-FU-10000629"/>
    <s v="Furniture"/>
    <x v="3"/>
    <s v="9-3/4 Diameter Round Wall Clock"/>
    <n v="96.53"/>
    <n v="7"/>
    <n v="40.5426"/>
    <x v="3"/>
    <x v="3"/>
    <x v="0"/>
  </r>
  <r>
    <s v="US-2015-156867"/>
    <d v="2015-11-13T00:00:00"/>
    <d v="2015-11-17T00:00:00"/>
    <x v="1"/>
    <s v="LC-16870"/>
    <s v="Lena Cacioppo"/>
    <x v="0"/>
    <x v="14"/>
    <x v="12"/>
    <x v="1"/>
    <s v="FUR-FU-10004006"/>
    <s v="Furniture"/>
    <x v="3"/>
    <s v="Deflect-o DuraMat Lighweight, Studded, Beveled Mat for Low Pile Carpeting"/>
    <n v="102.36"/>
    <n v="3"/>
    <n v="-3.8384999999999998"/>
    <x v="4"/>
    <x v="1"/>
    <x v="0"/>
  </r>
  <r>
    <s v="CA-2017-146780"/>
    <d v="2017-12-25T00:00:00"/>
    <d v="2017-12-30T00:00:00"/>
    <x v="1"/>
    <s v="CV-12805"/>
    <s v="Cynthia Voltz"/>
    <x v="1"/>
    <x v="13"/>
    <x v="7"/>
    <x v="2"/>
    <s v="FUR-FU-10001934"/>
    <s v="Furniture"/>
    <x v="3"/>
    <s v="Magnifier Swing Arm Lamp"/>
    <n v="41.96"/>
    <n v="2"/>
    <n v="10.909599999999999"/>
    <x v="2"/>
    <x v="3"/>
    <x v="5"/>
  </r>
  <r>
    <s v="CA-2015-110457"/>
    <d v="2015-03-02T00:00:00"/>
    <d v="2015-03-06T00:00:00"/>
    <x v="1"/>
    <s v="DK-13090"/>
    <s v="Dave Kipp"/>
    <x v="0"/>
    <x v="15"/>
    <x v="13"/>
    <x v="1"/>
    <s v="FUR-TA-10001768"/>
    <s v="Furniture"/>
    <x v="2"/>
    <s v="Hon Racetrack Conference Tables"/>
    <n v="787.53"/>
    <n v="3"/>
    <n v="165.38130000000001"/>
    <x v="4"/>
    <x v="1"/>
    <x v="9"/>
  </r>
  <r>
    <s v="CA-2016-103730"/>
    <d v="2016-06-12T00:00:00"/>
    <d v="2016-06-15T00:00:00"/>
    <x v="2"/>
    <s v="SC-20725"/>
    <s v="Steven Cartwright"/>
    <x v="0"/>
    <x v="16"/>
    <x v="14"/>
    <x v="2"/>
    <s v="FUR-FU-10002157"/>
    <s v="Furniture"/>
    <x v="3"/>
    <s v="Artistic Insta-Plaque"/>
    <n v="47.04"/>
    <n v="3"/>
    <n v="18.345600000000001"/>
    <x v="0"/>
    <x v="0"/>
    <x v="2"/>
  </r>
  <r>
    <s v="US-2014-152030"/>
    <d v="2014-12-26T00:00:00"/>
    <d v="2014-12-28T00:00:00"/>
    <x v="0"/>
    <s v="AD-10180"/>
    <s v="Alan Dominguez"/>
    <x v="2"/>
    <x v="6"/>
    <x v="5"/>
    <x v="3"/>
    <s v="FUR-CH-10004063"/>
    <s v="Furniture"/>
    <x v="1"/>
    <s v="Global Deluxe High-Back Manager's Chair"/>
    <n v="600.55799999999999"/>
    <n v="3"/>
    <n v="-8.5793999999999997"/>
    <x v="3"/>
    <x v="2"/>
    <x v="5"/>
  </r>
  <r>
    <s v="US-2014-134614"/>
    <d v="2014-09-20T00:00:00"/>
    <d v="2014-09-25T00:00:00"/>
    <x v="1"/>
    <s v="PF-19165"/>
    <s v="Philip Fox"/>
    <x v="0"/>
    <x v="17"/>
    <x v="8"/>
    <x v="3"/>
    <s v="FUR-TA-10004534"/>
    <s v="Furniture"/>
    <x v="2"/>
    <s v="Bevis 44 x 96 Conference Tables"/>
    <n v="617.70000000000005"/>
    <n v="6"/>
    <n v="-407.68200000000002"/>
    <x v="2"/>
    <x v="2"/>
    <x v="4"/>
  </r>
  <r>
    <s v="US-2016-125969"/>
    <d v="2016-11-06T00:00:00"/>
    <d v="2016-11-10T00:00:00"/>
    <x v="0"/>
    <s v="LS-16975"/>
    <s v="Lindsay Shagiari"/>
    <x v="2"/>
    <x v="2"/>
    <x v="2"/>
    <x v="1"/>
    <s v="FUR-CH-10001146"/>
    <s v="Furniture"/>
    <x v="1"/>
    <s v="Global Task Chair, Black"/>
    <n v="81.424000000000007"/>
    <n v="2"/>
    <n v="-9.1601999999999997"/>
    <x v="4"/>
    <x v="0"/>
    <x v="0"/>
  </r>
  <r>
    <s v="US-2016-125969"/>
    <d v="2016-11-06T00:00:00"/>
    <d v="2016-11-10T00:00:00"/>
    <x v="0"/>
    <s v="LS-16975"/>
    <s v="Lindsay Shagiari"/>
    <x v="2"/>
    <x v="2"/>
    <x v="2"/>
    <x v="1"/>
    <s v="FUR-FU-10003773"/>
    <s v="Furniture"/>
    <x v="3"/>
    <s v="Eldon Cleatmat Plus Chair Mats for High Pile Carpets"/>
    <n v="238.56"/>
    <n v="3"/>
    <n v="26.241599999999998"/>
    <x v="4"/>
    <x v="0"/>
    <x v="0"/>
  </r>
  <r>
    <s v="CA-2016-145583"/>
    <d v="2016-10-13T00:00:00"/>
    <d v="2016-10-19T00:00:00"/>
    <x v="1"/>
    <s v="LC-16885"/>
    <s v="Lena Creighton"/>
    <x v="0"/>
    <x v="18"/>
    <x v="2"/>
    <x v="1"/>
    <s v="FUR-FU-10001706"/>
    <s v="Furniture"/>
    <x v="3"/>
    <s v="Longer-Life Soft White Bulbs"/>
    <n v="43.12"/>
    <n v="14"/>
    <n v="20.697600000000001"/>
    <x v="6"/>
    <x v="0"/>
    <x v="1"/>
  </r>
  <r>
    <s v="CA-2016-110366"/>
    <d v="2016-09-05T00:00:00"/>
    <d v="2016-09-07T00:00:00"/>
    <x v="0"/>
    <s v="JD-15895"/>
    <s v="Jonathan Doherty"/>
    <x v="1"/>
    <x v="3"/>
    <x v="3"/>
    <x v="2"/>
    <s v="FUR-FU-10004848"/>
    <s v="Furniture"/>
    <x v="3"/>
    <s v="Howard Miller 13-3/4&quot; Diameter Brushed Chrome Round Wall Clock"/>
    <n v="82.8"/>
    <n v="2"/>
    <n v="10.35"/>
    <x v="3"/>
    <x v="0"/>
    <x v="4"/>
  </r>
  <r>
    <s v="CA-2014-110072"/>
    <d v="2014-10-22T00:00:00"/>
    <d v="2014-10-28T00:00:00"/>
    <x v="1"/>
    <s v="MG-17680"/>
    <s v="Maureen Gastineau"/>
    <x v="2"/>
    <x v="19"/>
    <x v="15"/>
    <x v="2"/>
    <s v="FUR-FU-10000521"/>
    <s v="Furniture"/>
    <x v="3"/>
    <s v="Seth Thomas 14&quot; Putty-Colored Wall Clock"/>
    <n v="93.888000000000005"/>
    <n v="4"/>
    <n v="12.909599999999999"/>
    <x v="6"/>
    <x v="2"/>
    <x v="1"/>
  </r>
  <r>
    <s v="CA-2016-114489"/>
    <d v="2016-12-05T00:00:00"/>
    <d v="2016-12-09T00:00:00"/>
    <x v="1"/>
    <s v="JE-16165"/>
    <s v="Justin Ellison"/>
    <x v="1"/>
    <x v="20"/>
    <x v="16"/>
    <x v="3"/>
    <s v="FUR-CH-10000454"/>
    <s v="Furniture"/>
    <x v="1"/>
    <s v="Hon Deluxe Fabric Upholstered Stacking Chairs, Rounded Back"/>
    <n v="1951.84"/>
    <n v="8"/>
    <n v="585.55200000000002"/>
    <x v="4"/>
    <x v="0"/>
    <x v="5"/>
  </r>
  <r>
    <s v="CA-2014-104269"/>
    <d v="2014-03-01T00:00:00"/>
    <d v="2014-03-06T00:00:00"/>
    <x v="0"/>
    <s v="DB-13060"/>
    <s v="Dave Brooks"/>
    <x v="0"/>
    <x v="15"/>
    <x v="13"/>
    <x v="1"/>
    <s v="FUR-CH-10004063"/>
    <s v="Furniture"/>
    <x v="1"/>
    <s v="Global Deluxe High-Back Manager's Chair"/>
    <n v="457.56799999999998"/>
    <n v="2"/>
    <n v="51.476399999999998"/>
    <x v="2"/>
    <x v="2"/>
    <x v="9"/>
  </r>
  <r>
    <s v="CA-2014-139892"/>
    <d v="2014-09-08T00:00:00"/>
    <d v="2014-09-12T00:00:00"/>
    <x v="1"/>
    <s v="BM-11140"/>
    <s v="Becky Martin"/>
    <x v="0"/>
    <x v="21"/>
    <x v="5"/>
    <x v="3"/>
    <s v="FUR-CH-10004287"/>
    <s v="Furniture"/>
    <x v="1"/>
    <s v="SAFCO Arco Folding Chair"/>
    <n v="1740.06"/>
    <n v="9"/>
    <n v="-24.858000000000001"/>
    <x v="4"/>
    <x v="2"/>
    <x v="4"/>
  </r>
  <r>
    <s v="CA-2014-118962"/>
    <d v="2014-08-05T00:00:00"/>
    <d v="2014-08-09T00:00:00"/>
    <x v="1"/>
    <s v="CS-12130"/>
    <s v="Chad Sievert"/>
    <x v="0"/>
    <x v="2"/>
    <x v="2"/>
    <x v="1"/>
    <s v="FUR-CH-10003817"/>
    <s v="Furniture"/>
    <x v="1"/>
    <s v="Global Value Steno Chair, Gray"/>
    <n v="340.14400000000001"/>
    <n v="7"/>
    <n v="21.259"/>
    <x v="4"/>
    <x v="2"/>
    <x v="10"/>
  </r>
  <r>
    <s v="US-2015-101511"/>
    <d v="2015-11-21T00:00:00"/>
    <d v="2015-11-23T00:00:00"/>
    <x v="0"/>
    <s v="JE-15745"/>
    <s v="Joel Eaton"/>
    <x v="0"/>
    <x v="19"/>
    <x v="15"/>
    <x v="2"/>
    <s v="FUR-CH-10004698"/>
    <s v="Furniture"/>
    <x v="1"/>
    <s v="Padded Folding Chairs, Black, 4/Carton"/>
    <n v="396.80200000000002"/>
    <n v="7"/>
    <n v="-11.337199999999999"/>
    <x v="3"/>
    <x v="1"/>
    <x v="0"/>
  </r>
  <r>
    <s v="CA-2015-102281"/>
    <d v="2015-10-12T00:00:00"/>
    <d v="2015-10-14T00:00:00"/>
    <x v="2"/>
    <s v="MP-17470"/>
    <s v="Mark Packer"/>
    <x v="2"/>
    <x v="13"/>
    <x v="7"/>
    <x v="2"/>
    <s v="FUR-BO-10002613"/>
    <s v="Furniture"/>
    <x v="0"/>
    <s v="Atlantic Metals Mobile 4-Shelf Bookcases, Custom Colors"/>
    <n v="899.13599999999997"/>
    <n v="4"/>
    <n v="112.392"/>
    <x v="3"/>
    <x v="1"/>
    <x v="1"/>
  </r>
  <r>
    <s v="CA-2015-102281"/>
    <d v="2015-10-12T00:00:00"/>
    <d v="2015-10-14T00:00:00"/>
    <x v="2"/>
    <s v="MP-17470"/>
    <s v="Mark Packer"/>
    <x v="2"/>
    <x v="13"/>
    <x v="7"/>
    <x v="2"/>
    <s v="FUR-BO-10002545"/>
    <s v="Furniture"/>
    <x v="0"/>
    <s v="Atlantic Metals Mobile 3-Shelf Bookcases, Custom Colors"/>
    <n v="626.35199999999998"/>
    <n v="3"/>
    <n v="46.976399999999998"/>
    <x v="3"/>
    <x v="1"/>
    <x v="1"/>
  </r>
  <r>
    <s v="CA-2014-133690"/>
    <d v="2014-08-03T00:00:00"/>
    <d v="2014-08-05T00:00:00"/>
    <x v="2"/>
    <s v="BS-11755"/>
    <s v="Bruce Stewart"/>
    <x v="0"/>
    <x v="22"/>
    <x v="12"/>
    <x v="1"/>
    <s v="FUR-TA-10004289"/>
    <s v="Furniture"/>
    <x v="2"/>
    <s v="BoxOffice By Design Rectangular and Half-Moon Meeting Room Tables"/>
    <n v="218.75"/>
    <n v="2"/>
    <n v="-161.875"/>
    <x v="3"/>
    <x v="2"/>
    <x v="10"/>
  </r>
  <r>
    <s v="CA-2017-126382"/>
    <d v="2017-06-03T00:00:00"/>
    <d v="2017-06-07T00:00:00"/>
    <x v="1"/>
    <s v="HK-14890"/>
    <s v="Heather Kirkland"/>
    <x v="1"/>
    <x v="20"/>
    <x v="9"/>
    <x v="0"/>
    <s v="FUR-FU-10002960"/>
    <s v="Furniture"/>
    <x v="3"/>
    <s v="Eldon 200 Class Desk Accessories, Burgundy"/>
    <n v="35.167999999999999"/>
    <n v="7"/>
    <n v="9.6712000000000007"/>
    <x v="4"/>
    <x v="3"/>
    <x v="2"/>
  </r>
  <r>
    <s v="CA-2015-146262"/>
    <d v="2015-01-02T00:00:00"/>
    <d v="2015-01-09T00:00:00"/>
    <x v="1"/>
    <s v="VW-21775"/>
    <s v="Victoria Wilson"/>
    <x v="1"/>
    <x v="23"/>
    <x v="15"/>
    <x v="2"/>
    <s v="FUR-BO-10004695"/>
    <s v="Furniture"/>
    <x v="0"/>
    <s v="O'Sullivan 2-Door Barrister Bookcase in Odessa Pine"/>
    <n v="452.45"/>
    <n v="5"/>
    <n v="-244.32300000000001"/>
    <x v="1"/>
    <x v="1"/>
    <x v="8"/>
  </r>
  <r>
    <s v="CA-2015-169397"/>
    <d v="2015-12-24T00:00:00"/>
    <d v="2015-12-27T00:00:00"/>
    <x v="2"/>
    <s v="JB-15925"/>
    <s v="Joni Blumstein"/>
    <x v="0"/>
    <x v="24"/>
    <x v="15"/>
    <x v="2"/>
    <s v="FUR-FU-10000087"/>
    <s v="Furniture"/>
    <x v="3"/>
    <s v="Executive Impressions 14&quot; Two-Color Numerals Wall Clock"/>
    <n v="72.703999999999994"/>
    <n v="4"/>
    <n v="19.084800000000001"/>
    <x v="0"/>
    <x v="1"/>
    <x v="5"/>
  </r>
  <r>
    <s v="CA-2015-163055"/>
    <d v="2015-08-09T00:00:00"/>
    <d v="2015-08-16T00:00:00"/>
    <x v="1"/>
    <s v="DS-13180"/>
    <s v="David Smith"/>
    <x v="1"/>
    <x v="25"/>
    <x v="17"/>
    <x v="3"/>
    <s v="FUR-TA-10003748"/>
    <s v="Furniture"/>
    <x v="2"/>
    <s v="Bevis 36 x 72 Conference Tables"/>
    <n v="622.45000000000005"/>
    <n v="5"/>
    <n v="136.93899999999999"/>
    <x v="1"/>
    <x v="1"/>
    <x v="10"/>
  </r>
  <r>
    <s v="US-2015-145436"/>
    <d v="2015-02-28T00:00:00"/>
    <d v="2015-03-04T00:00:00"/>
    <x v="1"/>
    <s v="VD-21670"/>
    <s v="Valerie Dominguez"/>
    <x v="0"/>
    <x v="11"/>
    <x v="9"/>
    <x v="0"/>
    <s v="FUR-CH-10004860"/>
    <s v="Furniture"/>
    <x v="1"/>
    <s v="Global Low Back Tilter Chair"/>
    <n v="161.56800000000001"/>
    <n v="2"/>
    <n v="-28.2744"/>
    <x v="4"/>
    <x v="1"/>
    <x v="11"/>
  </r>
  <r>
    <s v="US-2015-145436"/>
    <d v="2015-02-28T00:00:00"/>
    <d v="2015-03-04T00:00:00"/>
    <x v="1"/>
    <s v="VD-21670"/>
    <s v="Valerie Dominguez"/>
    <x v="0"/>
    <x v="11"/>
    <x v="9"/>
    <x v="0"/>
    <s v="FUR-CH-10004477"/>
    <s v="Furniture"/>
    <x v="1"/>
    <s v="Global Push Button Manager's Chair, Indigo"/>
    <n v="389.69600000000003"/>
    <n v="8"/>
    <n v="43.840800000000002"/>
    <x v="4"/>
    <x v="1"/>
    <x v="11"/>
  </r>
  <r>
    <s v="US-2017-100930"/>
    <d v="2017-04-07T00:00:00"/>
    <d v="2017-04-12T00:00:00"/>
    <x v="1"/>
    <s v="CS-12400"/>
    <s v="Christopher Schild"/>
    <x v="2"/>
    <x v="26"/>
    <x v="1"/>
    <x v="0"/>
    <s v="FUR-TA-10001705"/>
    <s v="Furniture"/>
    <x v="2"/>
    <s v="Bush Advantage Collection Round Conference Table"/>
    <n v="233.86"/>
    <n v="2"/>
    <n v="-102.048"/>
    <x v="2"/>
    <x v="3"/>
    <x v="6"/>
  </r>
  <r>
    <s v="US-2017-100930"/>
    <d v="2017-04-07T00:00:00"/>
    <d v="2017-04-12T00:00:00"/>
    <x v="1"/>
    <s v="CS-12400"/>
    <s v="Christopher Schild"/>
    <x v="2"/>
    <x v="26"/>
    <x v="1"/>
    <x v="0"/>
    <s v="FUR-TA-10003473"/>
    <s v="Furniture"/>
    <x v="2"/>
    <s v="Bretford Rectangular Conference Table Tops"/>
    <n v="620.61450000000002"/>
    <n v="3"/>
    <n v="-248.2458"/>
    <x v="2"/>
    <x v="3"/>
    <x v="6"/>
  </r>
  <r>
    <s v="US-2017-100930"/>
    <d v="2017-04-07T00:00:00"/>
    <d v="2017-04-12T00:00:00"/>
    <x v="1"/>
    <s v="CS-12400"/>
    <s v="Christopher Schild"/>
    <x v="2"/>
    <x v="26"/>
    <x v="1"/>
    <x v="0"/>
    <s v="FUR-FU-10004017"/>
    <s v="Furniture"/>
    <x v="3"/>
    <s v="Tenex Contemporary Contur Chairmats for Low and Medium Pile Carpet, Computer, 39&quot; x 49&quot;"/>
    <n v="258.072"/>
    <n v="3"/>
    <n v="0"/>
    <x v="2"/>
    <x v="3"/>
    <x v="6"/>
  </r>
  <r>
    <s v="CA-2016-157749"/>
    <d v="2016-06-04T00:00:00"/>
    <d v="2016-06-09T00:00:00"/>
    <x v="0"/>
    <s v="KL-16645"/>
    <s v="Ken Lonsdale"/>
    <x v="0"/>
    <x v="9"/>
    <x v="8"/>
    <x v="3"/>
    <s v="FUR-FU-10000576"/>
    <s v="Furniture"/>
    <x v="3"/>
    <s v="Luxo Professional Fluorescent Magnifier Lamp with Clamp-Mount Base"/>
    <n v="419.68"/>
    <n v="5"/>
    <n v="-356.72800000000001"/>
    <x v="2"/>
    <x v="0"/>
    <x v="2"/>
  </r>
  <r>
    <s v="CA-2016-157749"/>
    <d v="2016-06-04T00:00:00"/>
    <d v="2016-06-09T00:00:00"/>
    <x v="0"/>
    <s v="KL-16645"/>
    <s v="Ken Lonsdale"/>
    <x v="0"/>
    <x v="9"/>
    <x v="8"/>
    <x v="3"/>
    <s v="FUR-FU-10004351"/>
    <s v="Furniture"/>
    <x v="3"/>
    <s v="Staple-based wall hangings"/>
    <n v="11.688000000000001"/>
    <n v="3"/>
    <n v="-4.6752000000000002"/>
    <x v="2"/>
    <x v="0"/>
    <x v="2"/>
  </r>
  <r>
    <s v="CA-2016-157749"/>
    <d v="2016-06-04T00:00:00"/>
    <d v="2016-06-09T00:00:00"/>
    <x v="0"/>
    <s v="KL-16645"/>
    <s v="Ken Lonsdale"/>
    <x v="0"/>
    <x v="9"/>
    <x v="8"/>
    <x v="3"/>
    <s v="FUR-TA-10002607"/>
    <s v="Furniture"/>
    <x v="2"/>
    <s v="KI Conference Tables"/>
    <n v="177.22499999999999"/>
    <n v="5"/>
    <n v="-120.51300000000001"/>
    <x v="2"/>
    <x v="0"/>
    <x v="2"/>
  </r>
  <r>
    <s v="CA-2016-157749"/>
    <d v="2016-06-04T00:00:00"/>
    <d v="2016-06-09T00:00:00"/>
    <x v="0"/>
    <s v="KL-16645"/>
    <s v="Ken Lonsdale"/>
    <x v="0"/>
    <x v="9"/>
    <x v="8"/>
    <x v="3"/>
    <s v="FUR-FU-10002505"/>
    <s v="Furniture"/>
    <x v="3"/>
    <s v="Eldon 100 Class Desk Accessories"/>
    <n v="4.0439999999999996"/>
    <n v="3"/>
    <n v="-2.8308"/>
    <x v="2"/>
    <x v="0"/>
    <x v="2"/>
  </r>
  <r>
    <s v="CA-2014-131926"/>
    <d v="2014-06-01T00:00:00"/>
    <d v="2014-06-06T00:00:00"/>
    <x v="0"/>
    <s v="DW-13480"/>
    <s v="Dianna Wilson"/>
    <x v="2"/>
    <x v="27"/>
    <x v="11"/>
    <x v="3"/>
    <s v="FUR-CH-10004063"/>
    <s v="Furniture"/>
    <x v="1"/>
    <s v="Global Deluxe High-Back Manager's Chair"/>
    <n v="2001.86"/>
    <n v="7"/>
    <n v="580.5394"/>
    <x v="2"/>
    <x v="2"/>
    <x v="2"/>
  </r>
  <r>
    <s v="CA-2016-154739"/>
    <d v="2016-12-10T00:00:00"/>
    <d v="2016-12-15T00:00:00"/>
    <x v="0"/>
    <s v="LH-17155"/>
    <s v="Logan Haushalter"/>
    <x v="0"/>
    <x v="28"/>
    <x v="2"/>
    <x v="1"/>
    <s v="FUR-CH-10002965"/>
    <s v="Furniture"/>
    <x v="1"/>
    <s v="Global Leather Highback Executive Chair with Pneumatic Height Adjustment, Black"/>
    <n v="321.56799999999998"/>
    <n v="2"/>
    <n v="28.1372"/>
    <x v="2"/>
    <x v="0"/>
    <x v="5"/>
  </r>
  <r>
    <s v="US-2015-159982"/>
    <d v="2015-11-28T00:00:00"/>
    <d v="2015-12-04T00:00:00"/>
    <x v="1"/>
    <s v="DR-12880"/>
    <s v="Dan Reichenbach"/>
    <x v="1"/>
    <x v="9"/>
    <x v="8"/>
    <x v="3"/>
    <s v="FUR-FU-10002505"/>
    <s v="Furniture"/>
    <x v="3"/>
    <s v="Eldon 100 Class Desk Accessories"/>
    <n v="12.132"/>
    <n v="9"/>
    <n v="-8.4923999999999999"/>
    <x v="6"/>
    <x v="1"/>
    <x v="0"/>
  </r>
  <r>
    <s v="CA-2015-155334"/>
    <d v="2015-07-30T00:00:00"/>
    <d v="2015-07-31T00:00:00"/>
    <x v="2"/>
    <s v="HA-14920"/>
    <s v="Helen Andreada"/>
    <x v="0"/>
    <x v="28"/>
    <x v="2"/>
    <x v="1"/>
    <s v="FUR-FU-10003274"/>
    <s v="Furniture"/>
    <x v="3"/>
    <s v="Regeneration Desk Collection"/>
    <n v="5.28"/>
    <n v="3"/>
    <n v="2.3231999999999999"/>
    <x v="5"/>
    <x v="1"/>
    <x v="3"/>
  </r>
  <r>
    <s v="CA-2015-130890"/>
    <d v="2015-11-02T00:00:00"/>
    <d v="2015-11-06T00:00:00"/>
    <x v="1"/>
    <s v="JO-15280"/>
    <s v="Jas O'Carroll"/>
    <x v="0"/>
    <x v="2"/>
    <x v="2"/>
    <x v="1"/>
    <s v="FUR-TA-10002903"/>
    <s v="Furniture"/>
    <x v="2"/>
    <s v="Bevis Round Bullnose 29&quot; High Table Top"/>
    <n v="1038.8399999999999"/>
    <n v="5"/>
    <n v="51.942"/>
    <x v="4"/>
    <x v="1"/>
    <x v="0"/>
  </r>
  <r>
    <s v="CA-2016-110772"/>
    <d v="2016-11-20T00:00:00"/>
    <d v="2016-11-24T00:00:00"/>
    <x v="0"/>
    <s v="NZ-18565"/>
    <s v="Nick Zandusky"/>
    <x v="2"/>
    <x v="29"/>
    <x v="15"/>
    <x v="2"/>
    <s v="FUR-BO-10004709"/>
    <s v="Furniture"/>
    <x v="0"/>
    <s v="Bush Westfield Collection Bookcases, Medium Cherry Finish"/>
    <n v="86.97"/>
    <n v="3"/>
    <n v="-48.703200000000002"/>
    <x v="4"/>
    <x v="0"/>
    <x v="0"/>
  </r>
  <r>
    <s v="CA-2014-111451"/>
    <d v="2014-12-26T00:00:00"/>
    <d v="2014-12-28T00:00:00"/>
    <x v="2"/>
    <s v="KL-16555"/>
    <s v="Kelly Lampkin"/>
    <x v="1"/>
    <x v="30"/>
    <x v="12"/>
    <x v="1"/>
    <s v="FUR-FU-10004091"/>
    <s v="Furniture"/>
    <x v="3"/>
    <s v="Howard Miller 13&quot; Diameter Goldtone Round Wall Clock"/>
    <n v="300.416"/>
    <n v="8"/>
    <n v="78.859200000000001"/>
    <x v="3"/>
    <x v="2"/>
    <x v="5"/>
  </r>
  <r>
    <s v="CA-2014-111451"/>
    <d v="2014-12-26T00:00:00"/>
    <d v="2014-12-28T00:00:00"/>
    <x v="2"/>
    <s v="KL-16555"/>
    <s v="Kelly Lampkin"/>
    <x v="1"/>
    <x v="30"/>
    <x v="12"/>
    <x v="1"/>
    <s v="FUR-CH-10001891"/>
    <s v="Furniture"/>
    <x v="1"/>
    <s v="Global Deluxe Office Fabric Chairs"/>
    <n v="230.352"/>
    <n v="3"/>
    <n v="20.155799999999999"/>
    <x v="3"/>
    <x v="2"/>
    <x v="5"/>
  </r>
  <r>
    <s v="CA-2014-111451"/>
    <d v="2014-12-26T00:00:00"/>
    <d v="2014-12-28T00:00:00"/>
    <x v="2"/>
    <s v="KL-16555"/>
    <s v="Kelly Lampkin"/>
    <x v="1"/>
    <x v="30"/>
    <x v="12"/>
    <x v="1"/>
    <s v="FUR-FU-10002918"/>
    <s v="Furniture"/>
    <x v="3"/>
    <s v="Eldon ClusterMat Chair Mat with Cordless Antistatic Protection"/>
    <n v="218.352"/>
    <n v="3"/>
    <n v="-24.564599999999999"/>
    <x v="3"/>
    <x v="2"/>
    <x v="5"/>
  </r>
  <r>
    <s v="CA-2016-142545"/>
    <d v="2016-10-28T00:00:00"/>
    <d v="2016-11-03T00:00:00"/>
    <x v="1"/>
    <s v="JD-15895"/>
    <s v="Jonathan Doherty"/>
    <x v="1"/>
    <x v="31"/>
    <x v="18"/>
    <x v="2"/>
    <s v="FUR-FU-10001861"/>
    <s v="Furniture"/>
    <x v="3"/>
    <s v="Floodlight Indoor Halogen Bulbs, 1 Bulb per Pack, 60 Watts"/>
    <n v="77.599999999999994"/>
    <n v="4"/>
    <n v="38.024000000000001"/>
    <x v="6"/>
    <x v="0"/>
    <x v="1"/>
  </r>
  <r>
    <s v="US-2017-152380"/>
    <d v="2017-11-19T00:00:00"/>
    <d v="2017-11-23T00:00:00"/>
    <x v="1"/>
    <s v="JH-15910"/>
    <s v="Jonathan Howell"/>
    <x v="0"/>
    <x v="9"/>
    <x v="8"/>
    <x v="3"/>
    <s v="FUR-TA-10002533"/>
    <s v="Furniture"/>
    <x v="2"/>
    <s v="BPI Conference Tables"/>
    <n v="219.07499999999999"/>
    <n v="3"/>
    <n v="-131.44499999999999"/>
    <x v="4"/>
    <x v="3"/>
    <x v="0"/>
  </r>
  <r>
    <s v="CA-2015-144253"/>
    <d v="2015-05-04T00:00:00"/>
    <d v="2015-05-09T00:00:00"/>
    <x v="0"/>
    <s v="AS-10225"/>
    <s v="Alan Schoenberger"/>
    <x v="1"/>
    <x v="13"/>
    <x v="7"/>
    <x v="2"/>
    <s v="FUR-FU-10002671"/>
    <s v="Furniture"/>
    <x v="3"/>
    <s v="Electrix 20W Halogen Replacement Bulb for Zoom-In Desk Lamp"/>
    <n v="26.8"/>
    <n v="2"/>
    <n v="12.864000000000001"/>
    <x v="2"/>
    <x v="1"/>
    <x v="7"/>
  </r>
  <r>
    <s v="CA-2016-142902"/>
    <d v="2016-09-12T00:00:00"/>
    <d v="2016-09-14T00:00:00"/>
    <x v="0"/>
    <s v="BP-11185"/>
    <s v="Ben Peterman"/>
    <x v="1"/>
    <x v="32"/>
    <x v="12"/>
    <x v="1"/>
    <s v="FUR-FU-10001918"/>
    <s v="Furniture"/>
    <x v="3"/>
    <s v="C-Line Cubicle Keepers Polyproplyene Holder With Velcro Backings"/>
    <n v="15.135999999999999"/>
    <n v="4"/>
    <n v="3.5948000000000002"/>
    <x v="3"/>
    <x v="0"/>
    <x v="4"/>
  </r>
  <r>
    <s v="CA-2016-142902"/>
    <d v="2016-09-12T00:00:00"/>
    <d v="2016-09-14T00:00:00"/>
    <x v="0"/>
    <s v="BP-11185"/>
    <s v="Ben Peterman"/>
    <x v="1"/>
    <x v="32"/>
    <x v="12"/>
    <x v="1"/>
    <s v="FUR-CH-10004086"/>
    <s v="Furniture"/>
    <x v="1"/>
    <s v="Hon 4070 Series Pagoda Armless Upholstered Stacking Chairs"/>
    <n v="466.76799999999997"/>
    <n v="2"/>
    <n v="52.511400000000002"/>
    <x v="3"/>
    <x v="0"/>
    <x v="4"/>
  </r>
  <r>
    <s v="CA-2016-142902"/>
    <d v="2016-09-12T00:00:00"/>
    <d v="2016-09-14T00:00:00"/>
    <x v="0"/>
    <s v="BP-11185"/>
    <s v="Ben Peterman"/>
    <x v="1"/>
    <x v="32"/>
    <x v="12"/>
    <x v="1"/>
    <s v="FUR-FU-10001756"/>
    <s v="Furniture"/>
    <x v="3"/>
    <s v="Eldon Expressions Desk Accessory, Wood Photo Frame, Mahogany"/>
    <n v="15.231999999999999"/>
    <n v="1"/>
    <n v="1.7136"/>
    <x v="3"/>
    <x v="0"/>
    <x v="4"/>
  </r>
  <r>
    <s v="CA-2014-120887"/>
    <d v="2014-09-27T00:00:00"/>
    <d v="2014-10-03T00:00:00"/>
    <x v="1"/>
    <s v="TS-21205"/>
    <s v="Thomas Seio"/>
    <x v="1"/>
    <x v="33"/>
    <x v="18"/>
    <x v="2"/>
    <s v="FUR-FU-10001588"/>
    <s v="Furniture"/>
    <x v="3"/>
    <s v="Deflect-o SuperTray Unbreakable Stackable Tray, Letter, Black"/>
    <n v="87.54"/>
    <n v="3"/>
    <n v="37.642200000000003"/>
    <x v="6"/>
    <x v="2"/>
    <x v="4"/>
  </r>
  <r>
    <s v="CA-2014-164973"/>
    <d v="2014-11-04T00:00:00"/>
    <d v="2014-11-09T00:00:00"/>
    <x v="1"/>
    <s v="NM-18445"/>
    <s v="Nathan Mautz"/>
    <x v="2"/>
    <x v="13"/>
    <x v="7"/>
    <x v="2"/>
    <s v="FUR-CH-10002602"/>
    <s v="Furniture"/>
    <x v="1"/>
    <s v="DMI Arturo Collection Mission-style Design Wood Chair"/>
    <n v="135.88200000000001"/>
    <n v="1"/>
    <n v="24.1568"/>
    <x v="2"/>
    <x v="2"/>
    <x v="0"/>
  </r>
  <r>
    <s v="CA-2017-153339"/>
    <d v="2017-11-03T00:00:00"/>
    <d v="2017-11-05T00:00:00"/>
    <x v="0"/>
    <s v="DJ-13510"/>
    <s v="Don Jones"/>
    <x v="1"/>
    <x v="34"/>
    <x v="9"/>
    <x v="0"/>
    <s v="FUR-FU-10001967"/>
    <s v="Furniture"/>
    <x v="3"/>
    <s v="Telescoping Adjustable Floor Lamp"/>
    <n v="15.992000000000001"/>
    <n v="1"/>
    <n v="0.99950000000000006"/>
    <x v="3"/>
    <x v="3"/>
    <x v="0"/>
  </r>
  <r>
    <s v="US-2016-141544"/>
    <d v="2016-08-30T00:00:00"/>
    <d v="2016-09-01T00:00:00"/>
    <x v="2"/>
    <s v="PO-18850"/>
    <s v="Patrick O'Brill"/>
    <x v="0"/>
    <x v="3"/>
    <x v="3"/>
    <x v="2"/>
    <s v="FUR-CH-10003312"/>
    <s v="Furniture"/>
    <x v="1"/>
    <s v="Hon 2090 ÒPillow SoftÓ Series Mid Back Swivel/Tilt Chairs"/>
    <n v="786.74400000000003"/>
    <n v="4"/>
    <n v="-258.5016"/>
    <x v="3"/>
    <x v="0"/>
    <x v="10"/>
  </r>
  <r>
    <s v="CA-2014-129924"/>
    <d v="2014-07-12T00:00:00"/>
    <d v="2014-07-17T00:00:00"/>
    <x v="1"/>
    <s v="AC-10420"/>
    <s v="Alyssa Crouse"/>
    <x v="1"/>
    <x v="28"/>
    <x v="2"/>
    <x v="1"/>
    <s v="FUR-TA-10004575"/>
    <s v="Furniture"/>
    <x v="2"/>
    <s v="Hon 5100 Series Wood Tables"/>
    <n v="698.35199999999998"/>
    <n v="3"/>
    <n v="-17.4588"/>
    <x v="2"/>
    <x v="2"/>
    <x v="3"/>
  </r>
  <r>
    <s v="CA-2016-138520"/>
    <d v="2016-04-08T00:00:00"/>
    <d v="2016-04-13T00:00:00"/>
    <x v="1"/>
    <s v="JL-15505"/>
    <s v="Jeremy Lonsdale"/>
    <x v="0"/>
    <x v="13"/>
    <x v="7"/>
    <x v="2"/>
    <s v="FUR-BO-10002268"/>
    <s v="Furniture"/>
    <x v="0"/>
    <s v="Sauder Barrister Bookcases"/>
    <n v="388.70400000000001"/>
    <n v="6"/>
    <n v="-4.8587999999999996"/>
    <x v="2"/>
    <x v="0"/>
    <x v="6"/>
  </r>
  <r>
    <s v="CA-2017-144904"/>
    <d v="2017-09-25T00:00:00"/>
    <d v="2017-10-01T00:00:00"/>
    <x v="1"/>
    <s v="KW-16435"/>
    <s v="Katrina Willman"/>
    <x v="0"/>
    <x v="13"/>
    <x v="7"/>
    <x v="2"/>
    <s v="FUR-CH-10000785"/>
    <s v="Furniture"/>
    <x v="1"/>
    <s v="Global Ergonomic Managers Chair"/>
    <n v="488.64600000000002"/>
    <n v="3"/>
    <n v="86.870400000000004"/>
    <x v="6"/>
    <x v="3"/>
    <x v="4"/>
  </r>
  <r>
    <s v="CA-2017-144904"/>
    <d v="2017-09-25T00:00:00"/>
    <d v="2017-10-01T00:00:00"/>
    <x v="1"/>
    <s v="KW-16435"/>
    <s v="Katrina Willman"/>
    <x v="0"/>
    <x v="13"/>
    <x v="7"/>
    <x v="2"/>
    <s v="FUR-FU-10000023"/>
    <s v="Furniture"/>
    <x v="3"/>
    <s v="Eldon Wave Desk Accessories"/>
    <n v="47.12"/>
    <n v="8"/>
    <n v="20.732800000000001"/>
    <x v="6"/>
    <x v="3"/>
    <x v="4"/>
  </r>
  <r>
    <s v="CA-2016-155516"/>
    <d v="2016-10-21T00:00:00"/>
    <d v="2016-10-21T00:00:00"/>
    <x v="3"/>
    <s v="MK-17905"/>
    <s v="Michael Kennedy"/>
    <x v="1"/>
    <x v="35"/>
    <x v="19"/>
    <x v="2"/>
    <s v="FUR-BO-10002545"/>
    <s v="Furniture"/>
    <x v="0"/>
    <s v="Atlantic Metals Mobile 3-Shelf Bookcases, Custom Colors"/>
    <n v="1043.92"/>
    <n v="4"/>
    <n v="271.41919999999999"/>
    <x v="7"/>
    <x v="0"/>
    <x v="1"/>
  </r>
  <r>
    <s v="US-2017-134481"/>
    <d v="2017-08-27T00:00:00"/>
    <d v="2017-09-01T00:00:00"/>
    <x v="1"/>
    <s v="AR-10405"/>
    <s v="Allen Rosenblatt"/>
    <x v="1"/>
    <x v="20"/>
    <x v="20"/>
    <x v="2"/>
    <s v="FUR-TA-10004915"/>
    <s v="Furniture"/>
    <x v="2"/>
    <s v="Office Impressions End Table, 20-1/2&quot;H x 24&quot;W x 20&quot;D"/>
    <n v="1488.424"/>
    <n v="7"/>
    <n v="-297.6848"/>
    <x v="2"/>
    <x v="3"/>
    <x v="10"/>
  </r>
  <r>
    <s v="US-2015-168935"/>
    <d v="2015-11-27T00:00:00"/>
    <d v="2015-12-02T00:00:00"/>
    <x v="1"/>
    <s v="DO-13435"/>
    <s v="Denny Ordway"/>
    <x v="0"/>
    <x v="36"/>
    <x v="1"/>
    <x v="0"/>
    <s v="FUR-TA-10000617"/>
    <s v="Furniture"/>
    <x v="2"/>
    <s v="Hon Practical Foundations 30 x 60 Training Table, Light Gray/Charcoal"/>
    <n v="375.45749999999998"/>
    <n v="3"/>
    <n v="-157.0095"/>
    <x v="2"/>
    <x v="1"/>
    <x v="0"/>
  </r>
  <r>
    <s v="CA-2015-122756"/>
    <d v="2015-12-03T00:00:00"/>
    <d v="2015-12-07T00:00:00"/>
    <x v="1"/>
    <s v="DK-13225"/>
    <s v="Dean Katz"/>
    <x v="1"/>
    <x v="3"/>
    <x v="3"/>
    <x v="2"/>
    <s v="FUR-FU-10001935"/>
    <s v="Furniture"/>
    <x v="3"/>
    <s v="3M Hangers With Command Adhesive"/>
    <n v="2.96"/>
    <n v="1"/>
    <n v="0.77700000000000002"/>
    <x v="4"/>
    <x v="1"/>
    <x v="5"/>
  </r>
  <r>
    <s v="CA-2016-108987"/>
    <d v="2016-09-08T00:00:00"/>
    <d v="2016-09-10T00:00:00"/>
    <x v="0"/>
    <s v="AG-10675"/>
    <s v="Anna Gayman"/>
    <x v="0"/>
    <x v="6"/>
    <x v="5"/>
    <x v="3"/>
    <s v="FUR-BO-10004834"/>
    <s v="Furniture"/>
    <x v="0"/>
    <s v="Riverside Palais Royal Lawyers Bookcase, Royale Cherry Finish"/>
    <n v="2396.2656000000002"/>
    <n v="4"/>
    <n v="-317.15280000000001"/>
    <x v="3"/>
    <x v="0"/>
    <x v="4"/>
  </r>
  <r>
    <s v="CA-2017-117457"/>
    <d v="2017-12-08T00:00:00"/>
    <d v="2017-12-12T00:00:00"/>
    <x v="1"/>
    <s v="KH-16510"/>
    <s v="Keith Herrera"/>
    <x v="0"/>
    <x v="28"/>
    <x v="2"/>
    <x v="1"/>
    <s v="FUR-TA-10002041"/>
    <s v="Furniture"/>
    <x v="2"/>
    <s v="Bevis Round Conference Table Top, X-Base"/>
    <n v="1004.024"/>
    <n v="7"/>
    <n v="-112.95269999999999"/>
    <x v="4"/>
    <x v="3"/>
    <x v="5"/>
  </r>
  <r>
    <s v="CA-2017-117457"/>
    <d v="2017-12-08T00:00:00"/>
    <d v="2017-12-12T00:00:00"/>
    <x v="1"/>
    <s v="KH-16510"/>
    <s v="Keith Herrera"/>
    <x v="0"/>
    <x v="28"/>
    <x v="2"/>
    <x v="1"/>
    <s v="FUR-BO-10001972"/>
    <s v="Furniture"/>
    <x v="0"/>
    <s v="O'Sullivan 4-Shelf Bookcase in Odessa Pine"/>
    <n v="1336.829"/>
    <n v="13"/>
    <n v="31.454799999999999"/>
    <x v="4"/>
    <x v="3"/>
    <x v="5"/>
  </r>
  <r>
    <s v="CA-2017-117457"/>
    <d v="2017-12-08T00:00:00"/>
    <d v="2017-12-12T00:00:00"/>
    <x v="1"/>
    <s v="KH-16510"/>
    <s v="Keith Herrera"/>
    <x v="0"/>
    <x v="28"/>
    <x v="2"/>
    <x v="1"/>
    <s v="FUR-CH-10003956"/>
    <s v="Furniture"/>
    <x v="1"/>
    <s v="Novimex High-Tech Fabric Mesh Task Chair"/>
    <n v="113.568"/>
    <n v="2"/>
    <n v="-18.454799999999999"/>
    <x v="4"/>
    <x v="3"/>
    <x v="5"/>
  </r>
  <r>
    <s v="CA-2017-142636"/>
    <d v="2017-11-03T00:00:00"/>
    <d v="2017-11-07T00:00:00"/>
    <x v="1"/>
    <s v="KC-16675"/>
    <s v="Kimberly Carter"/>
    <x v="1"/>
    <x v="15"/>
    <x v="13"/>
    <x v="1"/>
    <s v="FUR-CH-10001891"/>
    <s v="Furniture"/>
    <x v="1"/>
    <s v="Global Deluxe Office Fabric Chairs"/>
    <n v="307.13600000000002"/>
    <n v="4"/>
    <n v="26.874400000000001"/>
    <x v="4"/>
    <x v="3"/>
    <x v="0"/>
  </r>
  <r>
    <s v="CA-2016-148796"/>
    <d v="2016-04-14T00:00:00"/>
    <d v="2016-04-18T00:00:00"/>
    <x v="1"/>
    <s v="PB-19150"/>
    <s v="Philip Brown"/>
    <x v="0"/>
    <x v="2"/>
    <x v="2"/>
    <x v="1"/>
    <s v="FUR-CH-10004886"/>
    <s v="Furniture"/>
    <x v="1"/>
    <s v="Bevis Steel Folding Chairs"/>
    <n v="383.8"/>
    <n v="5"/>
    <n v="38.380000000000003"/>
    <x v="4"/>
    <x v="0"/>
    <x v="6"/>
  </r>
  <r>
    <s v="CA-2017-125388"/>
    <d v="2017-10-19T00:00:00"/>
    <d v="2017-10-23T00:00:00"/>
    <x v="1"/>
    <s v="MP-17965"/>
    <s v="Michael Paige"/>
    <x v="1"/>
    <x v="37"/>
    <x v="20"/>
    <x v="2"/>
    <s v="FUR-FU-10004712"/>
    <s v="Furniture"/>
    <x v="3"/>
    <s v="Westinghouse Mesh Shade Clip-On Gooseneck Lamp, Black"/>
    <n v="56.56"/>
    <n v="4"/>
    <n v="14.7056"/>
    <x v="4"/>
    <x v="3"/>
    <x v="1"/>
  </r>
  <r>
    <s v="CA-2017-155705"/>
    <d v="2017-08-21T00:00:00"/>
    <d v="2017-08-23T00:00:00"/>
    <x v="0"/>
    <s v="NF-18385"/>
    <s v="Natalie Fritzler"/>
    <x v="0"/>
    <x v="38"/>
    <x v="21"/>
    <x v="0"/>
    <s v="FUR-CH-10000015"/>
    <s v="Furniture"/>
    <x v="1"/>
    <s v="Hon Multipurpose Stacking Arm Chairs"/>
    <n v="866.4"/>
    <n v="4"/>
    <n v="225.26400000000001"/>
    <x v="3"/>
    <x v="3"/>
    <x v="10"/>
  </r>
  <r>
    <s v="CA-2017-149160"/>
    <d v="2017-11-23T00:00:00"/>
    <d v="2017-11-26T00:00:00"/>
    <x v="0"/>
    <s v="JM-15265"/>
    <s v="Janet Molinari"/>
    <x v="1"/>
    <x v="39"/>
    <x v="17"/>
    <x v="3"/>
    <s v="FUR-FU-10003347"/>
    <s v="Furniture"/>
    <x v="3"/>
    <s v="Coloredge Poster Frame"/>
    <n v="28.4"/>
    <n v="2"/>
    <n v="11.076000000000001"/>
    <x v="0"/>
    <x v="3"/>
    <x v="0"/>
  </r>
  <r>
    <s v="CA-2017-157252"/>
    <d v="2017-01-20T00:00:00"/>
    <d v="2017-01-23T00:00:00"/>
    <x v="0"/>
    <s v="CV-12805"/>
    <s v="Cynthia Voltz"/>
    <x v="1"/>
    <x v="13"/>
    <x v="7"/>
    <x v="2"/>
    <s v="FUR-CH-10003396"/>
    <s v="Furniture"/>
    <x v="1"/>
    <s v="Global Deluxe Steno Chair"/>
    <n v="207.846"/>
    <n v="3"/>
    <n v="2.3094000000000001"/>
    <x v="0"/>
    <x v="3"/>
    <x v="8"/>
  </r>
  <r>
    <s v="CA-2016-115756"/>
    <d v="2016-09-05T00:00:00"/>
    <d v="2016-09-07T00:00:00"/>
    <x v="0"/>
    <s v="PK-19075"/>
    <s v="Pete Kriz"/>
    <x v="0"/>
    <x v="25"/>
    <x v="17"/>
    <x v="3"/>
    <s v="FUR-FU-10000246"/>
    <s v="Furniture"/>
    <x v="3"/>
    <s v="Aluminum Document Frame"/>
    <n v="12.22"/>
    <n v="1"/>
    <n v="3.6659999999999999"/>
    <x v="3"/>
    <x v="0"/>
    <x v="4"/>
  </r>
  <r>
    <s v="CA-2016-115756"/>
    <d v="2016-09-05T00:00:00"/>
    <d v="2016-09-07T00:00:00"/>
    <x v="0"/>
    <s v="PK-19075"/>
    <s v="Pete Kriz"/>
    <x v="0"/>
    <x v="25"/>
    <x v="17"/>
    <x v="3"/>
    <s v="FUR-CH-10002372"/>
    <s v="Furniture"/>
    <x v="1"/>
    <s v="Office Star - Ergonomically Designed Knee Chair"/>
    <n v="242.94"/>
    <n v="3"/>
    <n v="29.152799999999999"/>
    <x v="3"/>
    <x v="0"/>
    <x v="4"/>
  </r>
  <r>
    <s v="CA-2017-154214"/>
    <d v="2017-03-20T00:00:00"/>
    <d v="2017-03-25T00:00:00"/>
    <x v="0"/>
    <s v="TB-21595"/>
    <s v="Troy Blackwell"/>
    <x v="0"/>
    <x v="29"/>
    <x v="6"/>
    <x v="3"/>
    <s v="FUR-FU-10000206"/>
    <s v="Furniture"/>
    <x v="3"/>
    <s v="GE General Purpose, Extra Long Life, Showcase &amp; Floodlight Incandescent Bulbs"/>
    <n v="2.91"/>
    <n v="1"/>
    <n v="1.3676999999999999"/>
    <x v="2"/>
    <x v="3"/>
    <x v="9"/>
  </r>
  <r>
    <s v="CA-2017-147277"/>
    <d v="2017-10-20T00:00:00"/>
    <d v="2017-10-24T00:00:00"/>
    <x v="1"/>
    <s v="EB-13705"/>
    <s v="Ed Braxton"/>
    <x v="1"/>
    <x v="40"/>
    <x v="15"/>
    <x v="2"/>
    <s v="FUR-TA-10001539"/>
    <s v="Furniture"/>
    <x v="2"/>
    <s v="Chromcraft Rectangular Conference Tables"/>
    <n v="284.36399999999998"/>
    <n v="2"/>
    <n v="-75.830399999999997"/>
    <x v="4"/>
    <x v="3"/>
    <x v="1"/>
  </r>
  <r>
    <s v="US-2014-110674"/>
    <d v="2014-02-12T00:00:00"/>
    <d v="2014-02-18T00:00:00"/>
    <x v="1"/>
    <s v="SC-20095"/>
    <s v="Sanjit Chand"/>
    <x v="0"/>
    <x v="41"/>
    <x v="2"/>
    <x v="1"/>
    <s v="FUR-CH-10000225"/>
    <s v="Furniture"/>
    <x v="1"/>
    <s v="Global Geo Office Task Chair, Gray"/>
    <n v="129.56800000000001"/>
    <n v="2"/>
    <n v="-24.294"/>
    <x v="6"/>
    <x v="2"/>
    <x v="11"/>
  </r>
  <r>
    <s v="US-2016-157945"/>
    <d v="2016-09-26T00:00:00"/>
    <d v="2016-10-01T00:00:00"/>
    <x v="1"/>
    <s v="NF-18385"/>
    <s v="Natalie Fritzler"/>
    <x v="0"/>
    <x v="42"/>
    <x v="8"/>
    <x v="3"/>
    <s v="FUR-CH-10002331"/>
    <s v="Furniture"/>
    <x v="1"/>
    <s v="Hon 4700 Series Mobuis Mid-Back Task Chairs with Adjustable Arms"/>
    <n v="747.55799999999999"/>
    <n v="3"/>
    <n v="-96.114599999999996"/>
    <x v="2"/>
    <x v="0"/>
    <x v="4"/>
  </r>
  <r>
    <s v="CA-2016-109869"/>
    <d v="2016-04-22T00:00:00"/>
    <d v="2016-04-29T00:00:00"/>
    <x v="1"/>
    <s v="TN-21040"/>
    <s v="Tanja Norvell"/>
    <x v="2"/>
    <x v="43"/>
    <x v="22"/>
    <x v="1"/>
    <s v="FUR-FU-10000023"/>
    <s v="Furniture"/>
    <x v="3"/>
    <s v="Eldon Wave Desk Accessories"/>
    <n v="23.56"/>
    <n v="5"/>
    <n v="7.0679999999999996"/>
    <x v="1"/>
    <x v="0"/>
    <x v="6"/>
  </r>
  <r>
    <s v="CA-2016-109869"/>
    <d v="2016-04-22T00:00:00"/>
    <d v="2016-04-29T00:00:00"/>
    <x v="1"/>
    <s v="TN-21040"/>
    <s v="Tanja Norvell"/>
    <x v="2"/>
    <x v="43"/>
    <x v="22"/>
    <x v="1"/>
    <s v="FUR-TA-10001889"/>
    <s v="Furniture"/>
    <x v="2"/>
    <s v="Bush Advantage Collection Racetrack Conference Table"/>
    <n v="1272.6300000000001"/>
    <n v="6"/>
    <n v="-814.48320000000001"/>
    <x v="1"/>
    <x v="0"/>
    <x v="6"/>
  </r>
  <r>
    <s v="US-2015-101399"/>
    <d v="2015-01-17T00:00:00"/>
    <d v="2015-01-24T00:00:00"/>
    <x v="1"/>
    <s v="JS-15940"/>
    <s v="Joni Sundaresam"/>
    <x v="2"/>
    <x v="44"/>
    <x v="8"/>
    <x v="3"/>
    <s v="FUR-FU-10002918"/>
    <s v="Furniture"/>
    <x v="3"/>
    <s v="Eldon ClusterMat Chair Mat with Cordless Antistatic Protection"/>
    <n v="254.744"/>
    <n v="7"/>
    <n v="-312.06139999999999"/>
    <x v="1"/>
    <x v="1"/>
    <x v="8"/>
  </r>
  <r>
    <s v="CA-2017-154907"/>
    <d v="2017-03-31T00:00:00"/>
    <d v="2017-04-04T00:00:00"/>
    <x v="1"/>
    <s v="DS-13180"/>
    <s v="David Smith"/>
    <x v="1"/>
    <x v="45"/>
    <x v="5"/>
    <x v="3"/>
    <s v="FUR-BO-10002824"/>
    <s v="Furniture"/>
    <x v="0"/>
    <s v="Bush Mission Pointe Library"/>
    <n v="205.33279999999999"/>
    <n v="2"/>
    <n v="-36.235199999999999"/>
    <x v="4"/>
    <x v="3"/>
    <x v="9"/>
  </r>
  <r>
    <s v="CA-2014-144666"/>
    <d v="2014-11-09T00:00:00"/>
    <d v="2014-11-11T00:00:00"/>
    <x v="0"/>
    <s v="JP-15520"/>
    <s v="Jeremy Pistek"/>
    <x v="0"/>
    <x v="28"/>
    <x v="2"/>
    <x v="1"/>
    <s v="FUR-BO-10001601"/>
    <s v="Furniture"/>
    <x v="0"/>
    <s v="Sauder Mission Library with Doors, Fruitwood Finish"/>
    <n v="222.666"/>
    <n v="2"/>
    <n v="10.478400000000001"/>
    <x v="3"/>
    <x v="2"/>
    <x v="0"/>
  </r>
  <r>
    <s v="CA-2016-152632"/>
    <d v="2016-10-27T00:00:00"/>
    <d v="2016-11-02T00:00:00"/>
    <x v="1"/>
    <s v="JE-15475"/>
    <s v="Jeremy Ellison"/>
    <x v="0"/>
    <x v="8"/>
    <x v="7"/>
    <x v="2"/>
    <s v="FUR-FU-10002671"/>
    <s v="Furniture"/>
    <x v="3"/>
    <s v="Electrix 20W Halogen Replacement Bulb for Zoom-In Desk Lamp"/>
    <n v="40.200000000000003"/>
    <n v="3"/>
    <n v="19.295999999999999"/>
    <x v="6"/>
    <x v="0"/>
    <x v="1"/>
  </r>
  <r>
    <s v="CA-2017-140963"/>
    <d v="2017-06-10T00:00:00"/>
    <d v="2017-06-13T00:00:00"/>
    <x v="2"/>
    <s v="MT-18070"/>
    <s v="Michelle Tran"/>
    <x v="2"/>
    <x v="2"/>
    <x v="2"/>
    <x v="1"/>
    <s v="FUR-BO-10001337"/>
    <s v="Furniture"/>
    <x v="0"/>
    <s v="O'Sullivan Living Dimensions 2-Shelf Bookcases"/>
    <n v="514.16499999999996"/>
    <n v="5"/>
    <n v="-30.245000000000001"/>
    <x v="0"/>
    <x v="3"/>
    <x v="2"/>
  </r>
  <r>
    <s v="US-2016-120929"/>
    <d v="2016-03-18T00:00:00"/>
    <d v="2016-03-21T00:00:00"/>
    <x v="0"/>
    <s v="RO-19780"/>
    <s v="Rose O'Brian"/>
    <x v="0"/>
    <x v="10"/>
    <x v="9"/>
    <x v="0"/>
    <s v="FUR-TA-10001857"/>
    <s v="Furniture"/>
    <x v="2"/>
    <s v="Balt Solid Wood Rectangular Table"/>
    <n v="189.88200000000001"/>
    <n v="3"/>
    <n v="-94.941000000000003"/>
    <x v="0"/>
    <x v="0"/>
    <x v="9"/>
  </r>
  <r>
    <s v="CA-2016-126158"/>
    <d v="2016-07-25T00:00:00"/>
    <d v="2016-07-31T00:00:00"/>
    <x v="1"/>
    <s v="SC-20095"/>
    <s v="Sanjit Chand"/>
    <x v="0"/>
    <x v="46"/>
    <x v="2"/>
    <x v="1"/>
    <s v="FUR-FU-10004864"/>
    <s v="Furniture"/>
    <x v="3"/>
    <s v="Howard Miller 14-1/2&quot; Diameter Chrome Round Wall Clock"/>
    <n v="255.76"/>
    <n v="4"/>
    <n v="81.843199999999996"/>
    <x v="6"/>
    <x v="0"/>
    <x v="3"/>
  </r>
  <r>
    <s v="CA-2016-126158"/>
    <d v="2016-07-25T00:00:00"/>
    <d v="2016-07-31T00:00:00"/>
    <x v="1"/>
    <s v="SC-20095"/>
    <s v="Sanjit Chand"/>
    <x v="0"/>
    <x v="46"/>
    <x v="2"/>
    <x v="1"/>
    <s v="FUR-CH-10002602"/>
    <s v="Furniture"/>
    <x v="1"/>
    <s v="DMI Arturo Collection Mission-style Design Wood Chair"/>
    <n v="241.56800000000001"/>
    <n v="2"/>
    <n v="18.117599999999999"/>
    <x v="6"/>
    <x v="0"/>
    <x v="3"/>
  </r>
  <r>
    <s v="CA-2016-126158"/>
    <d v="2016-07-25T00:00:00"/>
    <d v="2016-07-31T00:00:00"/>
    <x v="1"/>
    <s v="SC-20095"/>
    <s v="Sanjit Chand"/>
    <x v="0"/>
    <x v="46"/>
    <x v="2"/>
    <x v="1"/>
    <s v="FUR-FU-10000073"/>
    <s v="Furniture"/>
    <x v="3"/>
    <s v="Deflect-O Glasstique Clear Desk Accessories"/>
    <n v="69.3"/>
    <n v="9"/>
    <n v="22.869"/>
    <x v="6"/>
    <x v="0"/>
    <x v="3"/>
  </r>
  <r>
    <s v="US-2016-105578"/>
    <d v="2016-05-30T00:00:00"/>
    <d v="2016-06-04T00:00:00"/>
    <x v="1"/>
    <s v="MY-17380"/>
    <s v="Maribeth Yedwab"/>
    <x v="1"/>
    <x v="47"/>
    <x v="12"/>
    <x v="1"/>
    <s v="FUR-CH-10001215"/>
    <s v="Furniture"/>
    <x v="1"/>
    <s v="Global Troy Executive Leather Low-Back Tilter"/>
    <n v="801.56799999999998"/>
    <n v="2"/>
    <n v="50.097999999999999"/>
    <x v="2"/>
    <x v="0"/>
    <x v="7"/>
  </r>
  <r>
    <s v="CA-2017-135307"/>
    <d v="2017-11-26T00:00:00"/>
    <d v="2017-11-27T00:00:00"/>
    <x v="2"/>
    <s v="LS-17245"/>
    <s v="Lynn Smith"/>
    <x v="0"/>
    <x v="48"/>
    <x v="23"/>
    <x v="3"/>
    <s v="FUR-FU-10001290"/>
    <s v="Furniture"/>
    <x v="3"/>
    <s v="Executive Impressions Supervisor Wall Clock"/>
    <n v="126.3"/>
    <n v="3"/>
    <n v="40.415999999999997"/>
    <x v="5"/>
    <x v="3"/>
    <x v="0"/>
  </r>
  <r>
    <s v="CA-2017-145142"/>
    <d v="2017-01-23T00:00:00"/>
    <d v="2017-01-25T00:00:00"/>
    <x v="2"/>
    <s v="MC-17605"/>
    <s v="Matt Connell"/>
    <x v="1"/>
    <x v="25"/>
    <x v="17"/>
    <x v="3"/>
    <s v="FUR-TA-10001857"/>
    <s v="Furniture"/>
    <x v="2"/>
    <s v="Balt Solid Wood Rectangular Table"/>
    <n v="210.98"/>
    <n v="2"/>
    <n v="21.097999999999999"/>
    <x v="3"/>
    <x v="3"/>
    <x v="8"/>
  </r>
  <r>
    <s v="CA-2017-113558"/>
    <d v="2017-10-21T00:00:00"/>
    <d v="2017-10-26T00:00:00"/>
    <x v="1"/>
    <s v="PH-18790"/>
    <s v="Patricia Hirasaki"/>
    <x v="2"/>
    <x v="49"/>
    <x v="1"/>
    <x v="0"/>
    <s v="FUR-CH-10003379"/>
    <s v="Furniture"/>
    <x v="1"/>
    <s v="Global Commerce Series High-Back Swivel/Tilt Chairs"/>
    <n v="683.952"/>
    <n v="3"/>
    <n v="42.747"/>
    <x v="2"/>
    <x v="3"/>
    <x v="1"/>
  </r>
  <r>
    <s v="CA-2017-113558"/>
    <d v="2017-10-21T00:00:00"/>
    <d v="2017-10-26T00:00:00"/>
    <x v="1"/>
    <s v="PH-18790"/>
    <s v="Patricia Hirasaki"/>
    <x v="2"/>
    <x v="49"/>
    <x v="1"/>
    <x v="0"/>
    <s v="FUR-FU-10001756"/>
    <s v="Furniture"/>
    <x v="3"/>
    <s v="Eldon Expressions Desk Accessory, Wood Photo Frame, Mahogany"/>
    <n v="45.695999999999998"/>
    <n v="3"/>
    <n v="5.1407999999999996"/>
    <x v="2"/>
    <x v="3"/>
    <x v="1"/>
  </r>
  <r>
    <s v="CA-2015-102848"/>
    <d v="2015-11-07T00:00:00"/>
    <d v="2015-11-09T00:00:00"/>
    <x v="0"/>
    <s v="KB-16240"/>
    <s v="Karen Bern"/>
    <x v="1"/>
    <x v="2"/>
    <x v="2"/>
    <x v="1"/>
    <s v="FUR-CH-10000595"/>
    <s v="Furniture"/>
    <x v="1"/>
    <s v="Safco Contoured Stacking Chairs"/>
    <n v="190.72"/>
    <n v="1"/>
    <n v="11.92"/>
    <x v="3"/>
    <x v="1"/>
    <x v="0"/>
  </r>
  <r>
    <s v="US-2017-129441"/>
    <d v="2017-09-07T00:00:00"/>
    <d v="2017-09-11T00:00:00"/>
    <x v="1"/>
    <s v="JC-15340"/>
    <s v="Jasper Cacioppo"/>
    <x v="0"/>
    <x v="2"/>
    <x v="2"/>
    <x v="1"/>
    <s v="FUR-FU-10000448"/>
    <s v="Furniture"/>
    <x v="3"/>
    <s v="Tenex Chairmats For Use With Carpeted Floors"/>
    <n v="47.94"/>
    <n v="3"/>
    <n v="2.3969999999999998"/>
    <x v="4"/>
    <x v="3"/>
    <x v="4"/>
  </r>
  <r>
    <s v="CA-2015-134894"/>
    <d v="2015-12-07T00:00:00"/>
    <d v="2015-12-11T00:00:00"/>
    <x v="1"/>
    <s v="DK-12985"/>
    <s v="Darren Koutras"/>
    <x v="0"/>
    <x v="0"/>
    <x v="0"/>
    <x v="0"/>
    <s v="FUR-CH-10002647"/>
    <s v="Furniture"/>
    <x v="1"/>
    <s v="Situations Contoured Folding Chairs, 4/Set"/>
    <n v="283.92"/>
    <n v="4"/>
    <n v="70.98"/>
    <x v="4"/>
    <x v="1"/>
    <x v="5"/>
  </r>
  <r>
    <s v="CA-2014-103849"/>
    <d v="2014-05-11T00:00:00"/>
    <d v="2014-05-16T00:00:00"/>
    <x v="1"/>
    <s v="PG-18895"/>
    <s v="Paul Gonzalez"/>
    <x v="0"/>
    <x v="50"/>
    <x v="5"/>
    <x v="3"/>
    <s v="FUR-FU-10000723"/>
    <s v="Furniture"/>
    <x v="3"/>
    <s v="Deflect-o EconoMat Studded, No Bevel Mat for Low Pile Carpeting"/>
    <n v="66.111999999999995"/>
    <n v="4"/>
    <n v="-84.2928"/>
    <x v="2"/>
    <x v="2"/>
    <x v="7"/>
  </r>
  <r>
    <s v="CA-2016-136406"/>
    <d v="2016-04-15T00:00:00"/>
    <d v="2016-04-17T00:00:00"/>
    <x v="0"/>
    <s v="BD-11320"/>
    <s v="Bill Donatelli"/>
    <x v="0"/>
    <x v="28"/>
    <x v="2"/>
    <x v="1"/>
    <s v="FUR-CH-10002024"/>
    <s v="Furniture"/>
    <x v="1"/>
    <s v="HON 5400 Series Task Chairs for Big and Tall"/>
    <n v="1121.568"/>
    <n v="2"/>
    <n v="0"/>
    <x v="3"/>
    <x v="0"/>
    <x v="6"/>
  </r>
  <r>
    <s v="CA-2017-112774"/>
    <d v="2017-09-11T00:00:00"/>
    <d v="2017-09-12T00:00:00"/>
    <x v="2"/>
    <s v="RC-19960"/>
    <s v="Ryan Crowe"/>
    <x v="0"/>
    <x v="51"/>
    <x v="1"/>
    <x v="0"/>
    <s v="FUR-FU-10003039"/>
    <s v="Furniture"/>
    <x v="3"/>
    <s v="Howard Miller 11-1/2&quot; Diameter Grantwood Wall Clock"/>
    <n v="34.503999999999998"/>
    <n v="1"/>
    <n v="6.0381999999999998"/>
    <x v="5"/>
    <x v="3"/>
    <x v="4"/>
  </r>
  <r>
    <s v="CA-2016-113243"/>
    <d v="2016-06-10T00:00:00"/>
    <d v="2016-06-15T00:00:00"/>
    <x v="1"/>
    <s v="OT-18730"/>
    <s v="Olvera Toch"/>
    <x v="0"/>
    <x v="2"/>
    <x v="2"/>
    <x v="1"/>
    <s v="FUR-TA-10004256"/>
    <s v="Furniture"/>
    <x v="2"/>
    <s v="Bretford ÒJust In TimeÓ Height-Adjustable Multi-Task Work Tables"/>
    <n v="1335.68"/>
    <n v="4"/>
    <n v="-217.048"/>
    <x v="2"/>
    <x v="0"/>
    <x v="2"/>
  </r>
  <r>
    <s v="CA-2017-118731"/>
    <d v="2017-11-20T00:00:00"/>
    <d v="2017-11-22T00:00:00"/>
    <x v="0"/>
    <s v="LP-17080"/>
    <s v="Liz Pelletier"/>
    <x v="0"/>
    <x v="28"/>
    <x v="2"/>
    <x v="1"/>
    <s v="FUR-FU-10003347"/>
    <s v="Furniture"/>
    <x v="3"/>
    <s v="Coloredge Poster Frame"/>
    <n v="42.6"/>
    <n v="3"/>
    <n v="16.614000000000001"/>
    <x v="3"/>
    <x v="3"/>
    <x v="0"/>
  </r>
  <r>
    <s v="CA-2014-145576"/>
    <d v="2014-09-14T00:00:00"/>
    <d v="2014-09-18T00:00:00"/>
    <x v="0"/>
    <s v="CA-12775"/>
    <s v="Cynthia Arntzen"/>
    <x v="0"/>
    <x v="26"/>
    <x v="1"/>
    <x v="0"/>
    <s v="FUR-FU-10004020"/>
    <s v="Furniture"/>
    <x v="3"/>
    <s v="Advantus Panel Wall Acrylic Frame"/>
    <n v="13.128"/>
    <n v="3"/>
    <n v="3.7743000000000002"/>
    <x v="4"/>
    <x v="2"/>
    <x v="4"/>
  </r>
  <r>
    <s v="CA-2017-156951"/>
    <d v="2017-10-01T00:00:00"/>
    <d v="2017-10-08T00:00:00"/>
    <x v="1"/>
    <s v="EB-13840"/>
    <s v="Ellis Ballard"/>
    <x v="1"/>
    <x v="15"/>
    <x v="13"/>
    <x v="1"/>
    <s v="FUR-CH-10004997"/>
    <s v="Furniture"/>
    <x v="1"/>
    <s v="Hon Every-Day Series Multi-Task Chairs"/>
    <n v="451.15199999999999"/>
    <n v="3"/>
    <n v="0"/>
    <x v="1"/>
    <x v="3"/>
    <x v="1"/>
  </r>
  <r>
    <s v="CA-2017-118640"/>
    <d v="2017-07-20T00:00:00"/>
    <d v="2017-07-26T00:00:00"/>
    <x v="1"/>
    <s v="CS-11950"/>
    <s v="Carlos Soltero"/>
    <x v="0"/>
    <x v="9"/>
    <x v="8"/>
    <x v="3"/>
    <s v="FUR-FU-10001475"/>
    <s v="Furniture"/>
    <x v="3"/>
    <s v="Contract Clock, 14&quot;, Brown"/>
    <n v="8.7919999999999998"/>
    <n v="1"/>
    <n v="-5.7148000000000003"/>
    <x v="6"/>
    <x v="3"/>
    <x v="3"/>
  </r>
  <r>
    <s v="CA-2015-128139"/>
    <d v="2015-07-03T00:00:00"/>
    <d v="2015-07-09T00:00:00"/>
    <x v="1"/>
    <s v="BD-11725"/>
    <s v="Bruce Degenhardt"/>
    <x v="0"/>
    <x v="52"/>
    <x v="0"/>
    <x v="0"/>
    <s v="FUR-CH-10003956"/>
    <s v="Furniture"/>
    <x v="1"/>
    <s v="Novimex High-Tech Fabric Mesh Task Chair"/>
    <n v="70.98"/>
    <n v="1"/>
    <n v="4.9686000000000003"/>
    <x v="6"/>
    <x v="1"/>
    <x v="3"/>
  </r>
  <r>
    <s v="CA-2014-131450"/>
    <d v="2014-08-08T00:00:00"/>
    <d v="2014-08-15T00:00:00"/>
    <x v="1"/>
    <s v="LR-16915"/>
    <s v="Lena Radford"/>
    <x v="0"/>
    <x v="53"/>
    <x v="2"/>
    <x v="1"/>
    <s v="FUR-FU-10001979"/>
    <s v="Furniture"/>
    <x v="3"/>
    <s v="Dana Halogen Swing-Arm Architect Lamp"/>
    <n v="327.76"/>
    <n v="8"/>
    <n v="91.772800000000004"/>
    <x v="1"/>
    <x v="2"/>
    <x v="10"/>
  </r>
  <r>
    <s v="CA-2014-149958"/>
    <d v="2014-03-15T00:00:00"/>
    <d v="2014-03-19T00:00:00"/>
    <x v="1"/>
    <s v="AS-10240"/>
    <s v="Alan Shonely"/>
    <x v="0"/>
    <x v="26"/>
    <x v="1"/>
    <x v="0"/>
    <s v="FUR-FU-10001756"/>
    <s v="Furniture"/>
    <x v="3"/>
    <s v="Eldon Expressions Desk Accessory, Wood Photo Frame, Mahogany"/>
    <n v="45.695999999999998"/>
    <n v="3"/>
    <n v="5.1407999999999996"/>
    <x v="4"/>
    <x v="2"/>
    <x v="9"/>
  </r>
  <r>
    <s v="CA-2017-117947"/>
    <d v="2017-08-18T00:00:00"/>
    <d v="2017-08-23T00:00:00"/>
    <x v="0"/>
    <s v="NG-18355"/>
    <s v="Nat Gilpin"/>
    <x v="1"/>
    <x v="13"/>
    <x v="7"/>
    <x v="2"/>
    <s v="FUR-FU-10003849"/>
    <s v="Furniture"/>
    <x v="3"/>
    <s v="DAX Metal Frame, Desktop, Stepped-Edge"/>
    <n v="40.479999999999997"/>
    <n v="2"/>
    <n v="15.7872"/>
    <x v="2"/>
    <x v="3"/>
    <x v="10"/>
  </r>
  <r>
    <s v="CA-2017-117947"/>
    <d v="2017-08-18T00:00:00"/>
    <d v="2017-08-23T00:00:00"/>
    <x v="0"/>
    <s v="NG-18355"/>
    <s v="Nat Gilpin"/>
    <x v="1"/>
    <x v="13"/>
    <x v="7"/>
    <x v="2"/>
    <s v="FUR-FU-10000010"/>
    <s v="Furniture"/>
    <x v="3"/>
    <s v="DAX Value U-Channel Document Frames, Easel Back"/>
    <n v="9.94"/>
    <n v="2"/>
    <n v="3.0813999999999999"/>
    <x v="2"/>
    <x v="3"/>
    <x v="10"/>
  </r>
  <r>
    <s v="CA-2017-117947"/>
    <d v="2017-08-18T00:00:00"/>
    <d v="2017-08-23T00:00:00"/>
    <x v="0"/>
    <s v="NG-18355"/>
    <s v="Nat Gilpin"/>
    <x v="1"/>
    <x v="13"/>
    <x v="7"/>
    <x v="2"/>
    <s v="FUR-FU-10000521"/>
    <s v="Furniture"/>
    <x v="3"/>
    <s v="Seth Thomas 14&quot; Putty-Colored Wall Clock"/>
    <n v="88.02"/>
    <n v="3"/>
    <n v="27.286200000000001"/>
    <x v="2"/>
    <x v="3"/>
    <x v="10"/>
  </r>
  <r>
    <s v="CA-2015-138009"/>
    <d v="2015-11-29T00:00:00"/>
    <d v="2015-12-03T00:00:00"/>
    <x v="1"/>
    <s v="SF-20965"/>
    <s v="Sylvia Foulston"/>
    <x v="1"/>
    <x v="54"/>
    <x v="17"/>
    <x v="3"/>
    <s v="FUR-CH-10004853"/>
    <s v="Furniture"/>
    <x v="1"/>
    <s v="Global Manager's Adjustable Task Chair, Storm"/>
    <n v="301.95999999999998"/>
    <n v="2"/>
    <n v="87.568399999999997"/>
    <x v="4"/>
    <x v="1"/>
    <x v="0"/>
  </r>
  <r>
    <s v="CA-2017-163020"/>
    <d v="2017-09-15T00:00:00"/>
    <d v="2017-09-19T00:00:00"/>
    <x v="1"/>
    <s v="MO-17800"/>
    <s v="Meg O'Connel"/>
    <x v="2"/>
    <x v="13"/>
    <x v="7"/>
    <x v="2"/>
    <s v="FUR-FU-10000221"/>
    <s v="Furniture"/>
    <x v="3"/>
    <s v="Master Caster Door Stop, Brown"/>
    <n v="35.56"/>
    <n v="7"/>
    <n v="12.090400000000001"/>
    <x v="4"/>
    <x v="3"/>
    <x v="4"/>
  </r>
  <r>
    <s v="CA-2015-168004"/>
    <d v="2015-10-04T00:00:00"/>
    <d v="2015-10-09T00:00:00"/>
    <x v="0"/>
    <s v="DJ-13420"/>
    <s v="Denny Joy"/>
    <x v="1"/>
    <x v="55"/>
    <x v="24"/>
    <x v="0"/>
    <s v="FUR-CH-10001482"/>
    <s v="Furniture"/>
    <x v="1"/>
    <s v="Office Star - Mesh Screen back chair with Vinyl seat"/>
    <n v="392.94"/>
    <n v="3"/>
    <n v="43.223399999999998"/>
    <x v="2"/>
    <x v="1"/>
    <x v="1"/>
  </r>
  <r>
    <s v="CA-2016-115917"/>
    <d v="2016-05-20T00:00:00"/>
    <d v="2016-05-25T00:00:00"/>
    <x v="1"/>
    <s v="RB-19465"/>
    <s v="Rick Bensley"/>
    <x v="2"/>
    <x v="56"/>
    <x v="2"/>
    <x v="1"/>
    <s v="FUR-FU-10000576"/>
    <s v="Furniture"/>
    <x v="3"/>
    <s v="Luxo Professional Fluorescent Magnifier Lamp with Clamp-Mount Base"/>
    <n v="1049.2"/>
    <n v="5"/>
    <n v="272.79199999999997"/>
    <x v="2"/>
    <x v="0"/>
    <x v="7"/>
  </r>
  <r>
    <s v="CA-2016-147067"/>
    <d v="2016-12-18T00:00:00"/>
    <d v="2016-12-22T00:00:00"/>
    <x v="1"/>
    <s v="JD-16150"/>
    <s v="Justin Deggeller"/>
    <x v="1"/>
    <x v="12"/>
    <x v="11"/>
    <x v="3"/>
    <s v="FUR-FU-10000732"/>
    <s v="Furniture"/>
    <x v="3"/>
    <s v="Eldon 200 Class Desk Accessories"/>
    <n v="18.84"/>
    <n v="3"/>
    <n v="6.0288000000000004"/>
    <x v="4"/>
    <x v="0"/>
    <x v="5"/>
  </r>
  <r>
    <s v="CA-2016-160745"/>
    <d v="2016-12-11T00:00:00"/>
    <d v="2016-12-16T00:00:00"/>
    <x v="0"/>
    <s v="AR-10825"/>
    <s v="Anthony Rawles"/>
    <x v="1"/>
    <x v="57"/>
    <x v="13"/>
    <x v="1"/>
    <s v="FUR-FU-10001935"/>
    <s v="Furniture"/>
    <x v="3"/>
    <s v="3M Hangers With Command Adhesive"/>
    <n v="14.8"/>
    <n v="4"/>
    <n v="6.0679999999999996"/>
    <x v="2"/>
    <x v="0"/>
    <x v="5"/>
  </r>
  <r>
    <s v="US-2016-156097"/>
    <d v="2016-09-19T00:00:00"/>
    <d v="2016-09-19T00:00:00"/>
    <x v="3"/>
    <s v="EH-14125"/>
    <s v="Eugene Hildebrand"/>
    <x v="2"/>
    <x v="14"/>
    <x v="8"/>
    <x v="3"/>
    <s v="FUR-CH-10001215"/>
    <s v="Furniture"/>
    <x v="1"/>
    <s v="Global Troy Executive Leather Low-Back Tilter"/>
    <n v="701.37199999999996"/>
    <n v="2"/>
    <n v="-50.097999999999999"/>
    <x v="7"/>
    <x v="0"/>
    <x v="4"/>
  </r>
  <r>
    <s v="CA-2015-146563"/>
    <d v="2015-08-24T00:00:00"/>
    <d v="2015-08-28T00:00:00"/>
    <x v="1"/>
    <s v="CB-12025"/>
    <s v="Cassandra Brandow"/>
    <x v="0"/>
    <x v="58"/>
    <x v="5"/>
    <x v="3"/>
    <s v="FUR-TA-10001768"/>
    <s v="Furniture"/>
    <x v="2"/>
    <s v="Hon Racetrack Conference Tables"/>
    <n v="918.78499999999997"/>
    <n v="5"/>
    <n v="-118.12949999999999"/>
    <x v="4"/>
    <x v="1"/>
    <x v="10"/>
  </r>
  <r>
    <s v="CA-2014-156314"/>
    <d v="2014-12-24T00:00:00"/>
    <d v="2014-12-26T00:00:00"/>
    <x v="2"/>
    <s v="RP-19390"/>
    <s v="Resi Pšlking"/>
    <x v="0"/>
    <x v="59"/>
    <x v="15"/>
    <x v="2"/>
    <s v="FUR-FU-10003096"/>
    <s v="Furniture"/>
    <x v="3"/>
    <s v="Master Giant Foot Doorstop, Safety Yellow"/>
    <n v="30.36"/>
    <n v="5"/>
    <n v="8.7285000000000004"/>
    <x v="3"/>
    <x v="2"/>
    <x v="5"/>
  </r>
  <r>
    <s v="US-2017-106663"/>
    <d v="2017-06-09T00:00:00"/>
    <d v="2017-06-13T00:00:00"/>
    <x v="1"/>
    <s v="MO-17800"/>
    <s v="Meg O'Connel"/>
    <x v="2"/>
    <x v="9"/>
    <x v="8"/>
    <x v="3"/>
    <s v="FUR-FU-10002759"/>
    <s v="Furniture"/>
    <x v="3"/>
    <s v="12-1/2 Diameter Round Wall Clock"/>
    <n v="23.975999999999999"/>
    <n v="3"/>
    <n v="-14.3856"/>
    <x v="4"/>
    <x v="3"/>
    <x v="2"/>
  </r>
  <r>
    <s v="US-2017-106663"/>
    <d v="2017-06-09T00:00:00"/>
    <d v="2017-06-13T00:00:00"/>
    <x v="1"/>
    <s v="MO-17800"/>
    <s v="Meg O'Connel"/>
    <x v="2"/>
    <x v="9"/>
    <x v="8"/>
    <x v="3"/>
    <s v="FUR-TA-10000688"/>
    <s v="Furniture"/>
    <x v="2"/>
    <s v="Chromcraft Bull-Nose Wood Round Conference Table Top, Wood Base"/>
    <n v="108.925"/>
    <n v="1"/>
    <n v="-71.890500000000003"/>
    <x v="4"/>
    <x v="3"/>
    <x v="2"/>
  </r>
  <r>
    <s v="US-2017-119438"/>
    <d v="2017-03-18T00:00:00"/>
    <d v="2017-03-23T00:00:00"/>
    <x v="1"/>
    <s v="CD-11980"/>
    <s v="Carol Darley"/>
    <x v="0"/>
    <x v="60"/>
    <x v="5"/>
    <x v="3"/>
    <s v="FUR-FU-10003553"/>
    <s v="Furniture"/>
    <x v="3"/>
    <s v="Howard Miller 13-1/2&quot; Diameter Rosebrook Wall Clock"/>
    <n v="82.524000000000001"/>
    <n v="3"/>
    <n v="-41.262"/>
    <x v="2"/>
    <x v="3"/>
    <x v="9"/>
  </r>
  <r>
    <s v="CA-2017-161480"/>
    <d v="2017-12-25T00:00:00"/>
    <d v="2017-12-29T00:00:00"/>
    <x v="1"/>
    <s v="RA-19285"/>
    <s v="Ralph Arnett"/>
    <x v="0"/>
    <x v="13"/>
    <x v="7"/>
    <x v="2"/>
    <s v="FUR-BO-10004015"/>
    <s v="Furniture"/>
    <x v="0"/>
    <s v="Bush Andora Bookcase, Maple/Graphite Gray Finish"/>
    <n v="191.98400000000001"/>
    <n v="2"/>
    <n v="4.7995999999999999"/>
    <x v="4"/>
    <x v="3"/>
    <x v="5"/>
  </r>
  <r>
    <s v="US-2014-117135"/>
    <d v="2014-06-21T00:00:00"/>
    <d v="2014-06-23T00:00:00"/>
    <x v="0"/>
    <s v="NP-18325"/>
    <s v="Naresj Patel"/>
    <x v="0"/>
    <x v="61"/>
    <x v="25"/>
    <x v="0"/>
    <s v="FUR-FU-10004071"/>
    <s v="Furniture"/>
    <x v="3"/>
    <s v="Luxo Professional Magnifying Clamp-On Fluorescent Lamps"/>
    <n v="104.01"/>
    <n v="1"/>
    <n v="14.561400000000001"/>
    <x v="3"/>
    <x v="2"/>
    <x v="2"/>
  </r>
  <r>
    <s v="CA-2017-114552"/>
    <d v="2017-09-02T00:00:00"/>
    <d v="2017-09-08T00:00:00"/>
    <x v="1"/>
    <s v="Dl-13600"/>
    <s v="Dorris liebe"/>
    <x v="1"/>
    <x v="59"/>
    <x v="15"/>
    <x v="2"/>
    <s v="FUR-FU-10002960"/>
    <s v="Furniture"/>
    <x v="3"/>
    <s v="Eldon 200 Class Desk Accessories, Burgundy"/>
    <n v="15.071999999999999"/>
    <n v="3"/>
    <n v="4.1448"/>
    <x v="6"/>
    <x v="3"/>
    <x v="4"/>
  </r>
  <r>
    <s v="CA-2016-163755"/>
    <d v="2016-11-04T00:00:00"/>
    <d v="2016-11-08T00:00:00"/>
    <x v="0"/>
    <s v="AS-10285"/>
    <s v="Alejandro Savely"/>
    <x v="1"/>
    <x v="15"/>
    <x v="13"/>
    <x v="1"/>
    <s v="FUR-FU-10003394"/>
    <s v="Furniture"/>
    <x v="3"/>
    <s v="Tenex &quot;The Solids&quot; Textured Chair Mats"/>
    <n v="209.88"/>
    <n v="3"/>
    <n v="35.679600000000001"/>
    <x v="4"/>
    <x v="0"/>
    <x v="0"/>
  </r>
  <r>
    <s v="CA-2015-142027"/>
    <d v="2015-04-09T00:00:00"/>
    <d v="2015-04-14T00:00:00"/>
    <x v="1"/>
    <s v="JK-15370"/>
    <s v="Jay Kimmel"/>
    <x v="0"/>
    <x v="62"/>
    <x v="2"/>
    <x v="1"/>
    <s v="FUR-TA-10002774"/>
    <s v="Furniture"/>
    <x v="2"/>
    <s v="Laminate Occasional Tables"/>
    <n v="369.91199999999998"/>
    <n v="3"/>
    <n v="-13.871700000000001"/>
    <x v="2"/>
    <x v="1"/>
    <x v="6"/>
  </r>
  <r>
    <s v="CA-2014-112158"/>
    <d v="2014-12-02T00:00:00"/>
    <d v="2014-12-04T00:00:00"/>
    <x v="2"/>
    <s v="DP-13165"/>
    <s v="David Philippe"/>
    <x v="0"/>
    <x v="13"/>
    <x v="7"/>
    <x v="2"/>
    <s v="FUR-BO-10003272"/>
    <s v="Furniture"/>
    <x v="0"/>
    <s v="O'Sullivan Living Dimensions 5-Shelf Bookcases"/>
    <n v="883.92"/>
    <n v="5"/>
    <n v="-110.49"/>
    <x v="3"/>
    <x v="2"/>
    <x v="5"/>
  </r>
  <r>
    <s v="CA-2014-130092"/>
    <d v="2014-01-11T00:00:00"/>
    <d v="2014-01-14T00:00:00"/>
    <x v="2"/>
    <s v="SV-20365"/>
    <s v="Seth Vernon"/>
    <x v="0"/>
    <x v="63"/>
    <x v="14"/>
    <x v="2"/>
    <s v="FUR-FU-10000010"/>
    <s v="Furniture"/>
    <x v="3"/>
    <s v="DAX Value U-Channel Document Frames, Easel Back"/>
    <n v="9.94"/>
    <n v="2"/>
    <n v="3.0813999999999999"/>
    <x v="0"/>
    <x v="2"/>
    <x v="8"/>
  </r>
  <r>
    <s v="CA-2017-108910"/>
    <d v="2017-09-24T00:00:00"/>
    <d v="2017-09-29T00:00:00"/>
    <x v="1"/>
    <s v="KC-16540"/>
    <s v="Kelly Collister"/>
    <x v="0"/>
    <x v="19"/>
    <x v="15"/>
    <x v="2"/>
    <s v="FUR-FU-10002253"/>
    <s v="Furniture"/>
    <x v="3"/>
    <s v="Howard Miller 13&quot; Diameter Pewter Finish Round Wall Clock"/>
    <n v="103.056"/>
    <n v="3"/>
    <n v="24.4758"/>
    <x v="2"/>
    <x v="3"/>
    <x v="4"/>
  </r>
  <r>
    <s v="CA-2014-104472"/>
    <d v="2014-06-02T00:00:00"/>
    <d v="2014-06-07T00:00:00"/>
    <x v="1"/>
    <s v="CK-12325"/>
    <s v="Christine Kargatis"/>
    <x v="2"/>
    <x v="4"/>
    <x v="4"/>
    <x v="1"/>
    <s v="FUR-FU-10000246"/>
    <s v="Furniture"/>
    <x v="3"/>
    <s v="Aluminum Document Frame"/>
    <n v="73.319999999999993"/>
    <n v="6"/>
    <n v="21.995999999999999"/>
    <x v="2"/>
    <x v="2"/>
    <x v="2"/>
  </r>
  <r>
    <s v="CA-2016-142335"/>
    <d v="2016-12-15T00:00:00"/>
    <d v="2016-12-19T00:00:00"/>
    <x v="1"/>
    <s v="MP-17965"/>
    <s v="Michael Paige"/>
    <x v="1"/>
    <x v="25"/>
    <x v="17"/>
    <x v="3"/>
    <s v="FUR-TA-10000198"/>
    <s v="Furniture"/>
    <x v="2"/>
    <s v="Chromcraft Bull-Nose Wood Oval Conference Tables &amp; Bases"/>
    <n v="1652.94"/>
    <n v="3"/>
    <n v="231.41159999999999"/>
    <x v="4"/>
    <x v="0"/>
    <x v="5"/>
  </r>
  <r>
    <s v="CA-2014-117429"/>
    <d v="2014-10-07T00:00:00"/>
    <d v="2014-10-13T00:00:00"/>
    <x v="1"/>
    <s v="MR-17545"/>
    <s v="Mathew Reese"/>
    <x v="2"/>
    <x v="3"/>
    <x v="3"/>
    <x v="2"/>
    <s v="FUR-FU-10000222"/>
    <s v="Furniture"/>
    <x v="3"/>
    <s v="Seth Thomas 16&quot; Steel Case Clock"/>
    <n v="129.91999999999999"/>
    <n v="5"/>
    <n v="21.111999999999998"/>
    <x v="6"/>
    <x v="2"/>
    <x v="1"/>
  </r>
  <r>
    <s v="US-2016-150861"/>
    <d v="2016-12-03T00:00:00"/>
    <d v="2016-12-06T00:00:00"/>
    <x v="2"/>
    <s v="EG-13900"/>
    <s v="Emily Grady"/>
    <x v="0"/>
    <x v="64"/>
    <x v="7"/>
    <x v="2"/>
    <s v="FUR-TA-10002228"/>
    <s v="Furniture"/>
    <x v="2"/>
    <s v="Bevis Traditional Conference Table Top, Plinth Base"/>
    <n v="400.03199999999998"/>
    <n v="2"/>
    <n v="-153.34559999999999"/>
    <x v="0"/>
    <x v="0"/>
    <x v="5"/>
  </r>
  <r>
    <s v="US-2016-150861"/>
    <d v="2016-12-03T00:00:00"/>
    <d v="2016-12-06T00:00:00"/>
    <x v="2"/>
    <s v="EG-13900"/>
    <s v="Emily Grady"/>
    <x v="0"/>
    <x v="64"/>
    <x v="7"/>
    <x v="2"/>
    <s v="FUR-CH-10002965"/>
    <s v="Furniture"/>
    <x v="1"/>
    <s v="Global Leather Highback Executive Chair with Pneumatic Height Adjustment, Black"/>
    <n v="542.64599999999996"/>
    <n v="3"/>
    <n v="102.49979999999999"/>
    <x v="0"/>
    <x v="0"/>
    <x v="5"/>
  </r>
  <r>
    <s v="CA-2017-131954"/>
    <d v="2017-01-21T00:00:00"/>
    <d v="2017-01-25T00:00:00"/>
    <x v="1"/>
    <s v="DS-13030"/>
    <s v="Darrin Sayre"/>
    <x v="2"/>
    <x v="15"/>
    <x v="13"/>
    <x v="1"/>
    <s v="FUR-BO-10001619"/>
    <s v="Furniture"/>
    <x v="0"/>
    <s v="O'Sullivan Cherrywood Estates Traditional Bookcase"/>
    <n v="84.98"/>
    <n v="1"/>
    <n v="18.695599999999999"/>
    <x v="4"/>
    <x v="3"/>
    <x v="8"/>
  </r>
  <r>
    <s v="CA-2014-124429"/>
    <d v="2014-05-27T00:00:00"/>
    <d v="2014-05-27T00:00:00"/>
    <x v="3"/>
    <s v="MH-17785"/>
    <s v="Maya Herman"/>
    <x v="1"/>
    <x v="53"/>
    <x v="2"/>
    <x v="1"/>
    <s v="FUR-TA-10002607"/>
    <s v="Furniture"/>
    <x v="2"/>
    <s v="KI Conference Tables"/>
    <n v="567.12"/>
    <n v="10"/>
    <n v="-28.356000000000002"/>
    <x v="7"/>
    <x v="2"/>
    <x v="7"/>
  </r>
  <r>
    <s v="CA-2017-126074"/>
    <d v="2017-10-02T00:00:00"/>
    <d v="2017-10-06T00:00:00"/>
    <x v="1"/>
    <s v="RF-19735"/>
    <s v="Roland Fjeld"/>
    <x v="0"/>
    <x v="65"/>
    <x v="17"/>
    <x v="3"/>
    <s v="FUR-FU-10003577"/>
    <s v="Furniture"/>
    <x v="3"/>
    <s v="Nu-Dell Leatherette Frames"/>
    <n v="157.74"/>
    <n v="11"/>
    <n v="56.7864"/>
    <x v="4"/>
    <x v="3"/>
    <x v="1"/>
  </r>
  <r>
    <s v="CA-2015-135272"/>
    <d v="2015-12-07T00:00:00"/>
    <d v="2015-12-12T00:00:00"/>
    <x v="1"/>
    <s v="MS-17830"/>
    <s v="Melanie Seite"/>
    <x v="0"/>
    <x v="2"/>
    <x v="2"/>
    <x v="1"/>
    <s v="FUR-FU-10002759"/>
    <s v="Furniture"/>
    <x v="3"/>
    <s v="12-1/2 Diameter Round Wall Clock"/>
    <n v="79.92"/>
    <n v="4"/>
    <n v="28.7712"/>
    <x v="2"/>
    <x v="1"/>
    <x v="5"/>
  </r>
  <r>
    <s v="CA-2016-140928"/>
    <d v="2016-09-18T00:00:00"/>
    <d v="2016-09-22T00:00:00"/>
    <x v="1"/>
    <s v="NB-18655"/>
    <s v="Nona Balk"/>
    <x v="1"/>
    <x v="51"/>
    <x v="1"/>
    <x v="0"/>
    <s v="FUR-TA-10001095"/>
    <s v="Furniture"/>
    <x v="2"/>
    <s v="Chromcraft Round Conference Tables"/>
    <n v="383.43799999999999"/>
    <n v="4"/>
    <n v="-167.3184"/>
    <x v="4"/>
    <x v="0"/>
    <x v="4"/>
  </r>
  <r>
    <s v="CA-2014-106810"/>
    <d v="2014-05-14T00:00:00"/>
    <d v="2014-05-20T00:00:00"/>
    <x v="1"/>
    <s v="AJ-10795"/>
    <s v="Anthony Johnson"/>
    <x v="1"/>
    <x v="66"/>
    <x v="1"/>
    <x v="0"/>
    <s v="FUR-FU-10004306"/>
    <s v="Furniture"/>
    <x v="3"/>
    <s v="Electrix Halogen Magnifier Lamp"/>
    <n v="310.88"/>
    <n v="2"/>
    <n v="23.315999999999999"/>
    <x v="6"/>
    <x v="2"/>
    <x v="7"/>
  </r>
  <r>
    <s v="CA-2016-157245"/>
    <d v="2016-05-19T00:00:00"/>
    <d v="2016-05-24T00:00:00"/>
    <x v="1"/>
    <s v="LE-16810"/>
    <s v="Laurel Elliston"/>
    <x v="0"/>
    <x v="58"/>
    <x v="25"/>
    <x v="0"/>
    <s v="FUR-CH-10003746"/>
    <s v="Furniture"/>
    <x v="1"/>
    <s v="Hon 4070 Series Pagoda Round Back Stacking Chairs"/>
    <n v="641.96"/>
    <n v="2"/>
    <n v="179.74879999999999"/>
    <x v="2"/>
    <x v="0"/>
    <x v="7"/>
  </r>
  <r>
    <s v="CA-2017-104220"/>
    <d v="2017-01-30T00:00:00"/>
    <d v="2017-02-05T00:00:00"/>
    <x v="1"/>
    <s v="BV-11245"/>
    <s v="Benjamin Venier"/>
    <x v="1"/>
    <x v="67"/>
    <x v="26"/>
    <x v="3"/>
    <s v="FUR-FU-10002597"/>
    <s v="Furniture"/>
    <x v="3"/>
    <s v="C-Line Magnetic Cubicle Keepers, Clear Polypropylene"/>
    <n v="34.58"/>
    <n v="7"/>
    <n v="14.5236"/>
    <x v="6"/>
    <x v="3"/>
    <x v="8"/>
  </r>
  <r>
    <s v="CA-2015-144267"/>
    <d v="2015-08-21T00:00:00"/>
    <d v="2015-08-23T00:00:00"/>
    <x v="2"/>
    <s v="NZ-18565"/>
    <s v="Nick Zandusky"/>
    <x v="2"/>
    <x v="28"/>
    <x v="2"/>
    <x v="1"/>
    <s v="FUR-CH-10002335"/>
    <s v="Furniture"/>
    <x v="1"/>
    <s v="Hon GuestStacker Chair"/>
    <n v="544.00800000000004"/>
    <n v="3"/>
    <n v="40.800600000000003"/>
    <x v="3"/>
    <x v="1"/>
    <x v="10"/>
  </r>
  <r>
    <s v="US-2015-157014"/>
    <d v="2015-10-03T00:00:00"/>
    <d v="2015-10-06T00:00:00"/>
    <x v="0"/>
    <s v="BM-11785"/>
    <s v="Bryan Mills"/>
    <x v="0"/>
    <x v="29"/>
    <x v="15"/>
    <x v="2"/>
    <s v="FUR-BO-10004409"/>
    <s v="Furniture"/>
    <x v="0"/>
    <s v="Safco Value Mate Series Steel Bookcases, Baked Enamel Finish on Steel, Gray"/>
    <n v="35.49"/>
    <n v="1"/>
    <n v="-15.615600000000001"/>
    <x v="0"/>
    <x v="1"/>
    <x v="1"/>
  </r>
  <r>
    <s v="CA-2015-154620"/>
    <d v="2015-12-12T00:00:00"/>
    <d v="2015-12-16T00:00:00"/>
    <x v="1"/>
    <s v="LT-17110"/>
    <s v="Liz Thompson"/>
    <x v="0"/>
    <x v="68"/>
    <x v="2"/>
    <x v="1"/>
    <s v="FUR-CH-10004675"/>
    <s v="Furniture"/>
    <x v="1"/>
    <s v="Lifetime Advantage Folding Chairs, 4/Carton"/>
    <n v="348.928"/>
    <n v="2"/>
    <n v="34.892800000000001"/>
    <x v="4"/>
    <x v="1"/>
    <x v="5"/>
  </r>
  <r>
    <s v="CA-2015-115938"/>
    <d v="2015-06-26T00:00:00"/>
    <d v="2015-06-30T00:00:00"/>
    <x v="1"/>
    <s v="SA-20830"/>
    <s v="Sue Ann Reed"/>
    <x v="0"/>
    <x v="52"/>
    <x v="25"/>
    <x v="0"/>
    <s v="FUR-CH-10003199"/>
    <s v="Furniture"/>
    <x v="1"/>
    <s v="Office Star - Contemporary Task Swivel Chair"/>
    <n v="332.94"/>
    <n v="3"/>
    <n v="79.905600000000007"/>
    <x v="4"/>
    <x v="1"/>
    <x v="2"/>
  </r>
  <r>
    <s v="CA-2015-101910"/>
    <d v="2015-11-27T00:00:00"/>
    <d v="2015-12-03T00:00:00"/>
    <x v="1"/>
    <s v="CD-11920"/>
    <s v="Carlos Daly"/>
    <x v="0"/>
    <x v="69"/>
    <x v="2"/>
    <x v="1"/>
    <s v="FUR-CH-10002647"/>
    <s v="Furniture"/>
    <x v="1"/>
    <s v="Situations Contoured Folding Chairs, 4/Set"/>
    <n v="283.92"/>
    <n v="5"/>
    <n v="17.745000000000001"/>
    <x v="6"/>
    <x v="1"/>
    <x v="0"/>
  </r>
  <r>
    <s v="CA-2017-105809"/>
    <d v="2017-02-20T00:00:00"/>
    <d v="2017-02-23T00:00:00"/>
    <x v="2"/>
    <s v="HW-14935"/>
    <s v="Helen Wasserman"/>
    <x v="1"/>
    <x v="53"/>
    <x v="2"/>
    <x v="1"/>
    <s v="FUR-FU-10004090"/>
    <s v="Furniture"/>
    <x v="3"/>
    <s v="Executive Impressions 14&quot; Contract Wall Clock"/>
    <n v="22.23"/>
    <n v="1"/>
    <n v="7.3358999999999996"/>
    <x v="0"/>
    <x v="3"/>
    <x v="11"/>
  </r>
  <r>
    <s v="CA-2017-135783"/>
    <d v="2017-04-22T00:00:00"/>
    <d v="2017-04-24T00:00:00"/>
    <x v="2"/>
    <s v="GM-14440"/>
    <s v="Gary McGarr"/>
    <x v="0"/>
    <x v="28"/>
    <x v="2"/>
    <x v="1"/>
    <s v="FUR-FU-10000794"/>
    <s v="Furniture"/>
    <x v="3"/>
    <s v="Eldon Stackable Tray, Side-Load, Legal, Smoke"/>
    <n v="18.28"/>
    <n v="2"/>
    <n v="6.2152000000000003"/>
    <x v="3"/>
    <x v="3"/>
    <x v="6"/>
  </r>
  <r>
    <s v="CA-2015-140921"/>
    <d v="2015-02-03T00:00:00"/>
    <d v="2015-02-05T00:00:00"/>
    <x v="2"/>
    <s v="AA-10375"/>
    <s v="Allen Armold"/>
    <x v="0"/>
    <x v="70"/>
    <x v="27"/>
    <x v="3"/>
    <s v="FUR-FU-10003347"/>
    <s v="Furniture"/>
    <x v="3"/>
    <s v="Coloredge Poster Frame"/>
    <n v="28.4"/>
    <n v="2"/>
    <n v="11.076000000000001"/>
    <x v="3"/>
    <x v="1"/>
    <x v="11"/>
  </r>
  <r>
    <s v="CA-2014-151995"/>
    <d v="2014-10-13T00:00:00"/>
    <d v="2014-10-15T00:00:00"/>
    <x v="2"/>
    <s v="ZC-21910"/>
    <s v="Zuschuss Carroll"/>
    <x v="0"/>
    <x v="71"/>
    <x v="13"/>
    <x v="1"/>
    <s v="FUR-TA-10002903"/>
    <s v="Furniture"/>
    <x v="2"/>
    <s v="Bevis Round Bullnose 29&quot; High Table Top"/>
    <n v="1298.55"/>
    <n v="5"/>
    <n v="311.65199999999999"/>
    <x v="3"/>
    <x v="2"/>
    <x v="1"/>
  </r>
  <r>
    <s v="CA-2017-143686"/>
    <d v="2017-05-14T00:00:00"/>
    <d v="2017-05-14T00:00:00"/>
    <x v="3"/>
    <s v="PJ-19015"/>
    <s v="Pauline Johnson"/>
    <x v="0"/>
    <x v="72"/>
    <x v="2"/>
    <x v="1"/>
    <s v="FUR-FU-10000794"/>
    <s v="Furniture"/>
    <x v="3"/>
    <s v="Eldon Stackable Tray, Side-Load, Legal, Smoke"/>
    <n v="18.28"/>
    <n v="2"/>
    <n v="6.2152000000000003"/>
    <x v="7"/>
    <x v="3"/>
    <x v="7"/>
  </r>
  <r>
    <s v="CA-2014-140858"/>
    <d v="2014-06-28T00:00:00"/>
    <d v="2014-07-02T00:00:00"/>
    <x v="1"/>
    <s v="CA-12775"/>
    <s v="Cynthia Arntzen"/>
    <x v="0"/>
    <x v="3"/>
    <x v="3"/>
    <x v="2"/>
    <s v="FUR-CH-10001394"/>
    <s v="Furniture"/>
    <x v="1"/>
    <s v="Global Leather Executive Chair"/>
    <n v="1228.4649999999999"/>
    <n v="5"/>
    <n v="0"/>
    <x v="4"/>
    <x v="2"/>
    <x v="2"/>
  </r>
  <r>
    <s v="CA-2017-129462"/>
    <d v="2017-06-16T00:00:00"/>
    <d v="2017-06-21T00:00:00"/>
    <x v="0"/>
    <s v="JE-15745"/>
    <s v="Joel Eaton"/>
    <x v="0"/>
    <x v="73"/>
    <x v="0"/>
    <x v="0"/>
    <s v="FUR-CH-10000665"/>
    <s v="Furniture"/>
    <x v="1"/>
    <s v="Global Airflow Leather Mesh Back Chair, Black"/>
    <n v="301.95999999999998"/>
    <n v="2"/>
    <n v="90.587999999999994"/>
    <x v="2"/>
    <x v="3"/>
    <x v="2"/>
  </r>
  <r>
    <s v="CA-2015-100454"/>
    <d v="2015-11-20T00:00:00"/>
    <d v="2015-11-25T00:00:00"/>
    <x v="1"/>
    <s v="BM-11650"/>
    <s v="Brian Moss"/>
    <x v="1"/>
    <x v="13"/>
    <x v="7"/>
    <x v="2"/>
    <s v="FUR-BO-10001519"/>
    <s v="Furniture"/>
    <x v="0"/>
    <s v="O'Sullivan 3-Shelf Heavy-Duty Bookcases"/>
    <n v="186.048"/>
    <n v="4"/>
    <n v="9.3024000000000004"/>
    <x v="2"/>
    <x v="1"/>
    <x v="0"/>
  </r>
  <r>
    <s v="CA-2015-114300"/>
    <d v="2015-10-13T00:00:00"/>
    <d v="2015-10-17T00:00:00"/>
    <x v="1"/>
    <s v="AF-10885"/>
    <s v="Art Foster"/>
    <x v="0"/>
    <x v="74"/>
    <x v="0"/>
    <x v="0"/>
    <s v="FUR-CH-10001891"/>
    <s v="Furniture"/>
    <x v="1"/>
    <s v="Global Deluxe Office Fabric Chairs"/>
    <n v="287.94"/>
    <n v="3"/>
    <n v="77.743799999999993"/>
    <x v="4"/>
    <x v="1"/>
    <x v="1"/>
  </r>
  <r>
    <s v="CA-2017-107503"/>
    <d v="2017-01-01T00:00:00"/>
    <d v="2017-01-06T00:00:00"/>
    <x v="1"/>
    <s v="GA-14725"/>
    <s v="Guy Armstrong"/>
    <x v="0"/>
    <x v="75"/>
    <x v="15"/>
    <x v="2"/>
    <s v="FUR-FU-10003878"/>
    <s v="Furniture"/>
    <x v="3"/>
    <s v="Linden 10&quot; Round Wall Clock, Black"/>
    <n v="48.896000000000001"/>
    <n v="4"/>
    <n v="8.5568000000000008"/>
    <x v="2"/>
    <x v="3"/>
    <x v="8"/>
  </r>
  <r>
    <s v="CA-2016-123274"/>
    <d v="2016-02-19T00:00:00"/>
    <d v="2016-02-24T00:00:00"/>
    <x v="1"/>
    <s v="GT-14710"/>
    <s v="Greg Tran"/>
    <x v="0"/>
    <x v="13"/>
    <x v="7"/>
    <x v="2"/>
    <s v="FUR-FU-10004090"/>
    <s v="Furniture"/>
    <x v="3"/>
    <s v="Executive Impressions 14&quot; Contract Wall Clock"/>
    <n v="44.46"/>
    <n v="2"/>
    <n v="14.671799999999999"/>
    <x v="2"/>
    <x v="0"/>
    <x v="11"/>
  </r>
  <r>
    <s v="CA-2014-149020"/>
    <d v="2014-01-10T00:00:00"/>
    <d v="2014-01-15T00:00:00"/>
    <x v="1"/>
    <s v="AJ-10780"/>
    <s v="Anthony Jacobs"/>
    <x v="1"/>
    <x v="76"/>
    <x v="25"/>
    <x v="0"/>
    <s v="FUR-FU-10000965"/>
    <s v="Furniture"/>
    <x v="3"/>
    <s v="Howard Miller 11-1/2&quot; Diameter Ridgewood Wall Clock"/>
    <n v="51.94"/>
    <n v="1"/>
    <n v="21.295400000000001"/>
    <x v="2"/>
    <x v="2"/>
    <x v="8"/>
  </r>
  <r>
    <s v="CA-2016-116736"/>
    <d v="2016-01-17T00:00:00"/>
    <d v="2016-01-21T00:00:00"/>
    <x v="1"/>
    <s v="CC-12430"/>
    <s v="Chuck Clark"/>
    <x v="2"/>
    <x v="41"/>
    <x v="28"/>
    <x v="2"/>
    <s v="FUR-FU-10004017"/>
    <s v="Furniture"/>
    <x v="3"/>
    <s v="Tenex Contemporary Contur Chairmats for Low and Medium Pile Carpet, Computer, 39&quot; x 49&quot;"/>
    <n v="322.58999999999997"/>
    <n v="3"/>
    <n v="64.518000000000001"/>
    <x v="4"/>
    <x v="0"/>
    <x v="8"/>
  </r>
  <r>
    <s v="CA-2017-111689"/>
    <d v="2017-11-30T00:00:00"/>
    <d v="2017-12-02T00:00:00"/>
    <x v="0"/>
    <s v="HP-14815"/>
    <s v="Harold Pawlan"/>
    <x v="2"/>
    <x v="13"/>
    <x v="7"/>
    <x v="2"/>
    <s v="FUR-CH-10004287"/>
    <s v="Furniture"/>
    <x v="1"/>
    <s v="SAFCO Arco Folding Chair"/>
    <n v="1242.9000000000001"/>
    <n v="5"/>
    <n v="262.39"/>
    <x v="3"/>
    <x v="3"/>
    <x v="0"/>
  </r>
  <r>
    <s v="CA-2016-165148"/>
    <d v="2016-10-22T00:00:00"/>
    <d v="2016-10-24T00:00:00"/>
    <x v="2"/>
    <s v="PM-19135"/>
    <s v="Peter McVee"/>
    <x v="2"/>
    <x v="25"/>
    <x v="17"/>
    <x v="3"/>
    <s v="FUR-FU-10000732"/>
    <s v="Furniture"/>
    <x v="3"/>
    <s v="Eldon 200 Class Desk Accessories"/>
    <n v="31.4"/>
    <n v="5"/>
    <n v="10.048"/>
    <x v="3"/>
    <x v="0"/>
    <x v="1"/>
  </r>
  <r>
    <s v="CA-2014-134061"/>
    <d v="2014-04-29T00:00:00"/>
    <d v="2014-05-04T00:00:00"/>
    <x v="1"/>
    <s v="LL-16840"/>
    <s v="Lauren Leatherbury"/>
    <x v="0"/>
    <x v="77"/>
    <x v="7"/>
    <x v="2"/>
    <s v="FUR-FU-10001424"/>
    <s v="Furniture"/>
    <x v="3"/>
    <s v="Dax Clear Box Frame"/>
    <n v="17.46"/>
    <n v="2"/>
    <n v="5.9363999999999999"/>
    <x v="2"/>
    <x v="2"/>
    <x v="6"/>
  </r>
  <r>
    <s v="CA-2017-143259"/>
    <d v="2017-12-30T00:00:00"/>
    <d v="2018-01-03T00:00:00"/>
    <x v="1"/>
    <s v="PO-18865"/>
    <s v="Patrick O'Donnell"/>
    <x v="0"/>
    <x v="13"/>
    <x v="7"/>
    <x v="2"/>
    <s v="FUR-BO-10003441"/>
    <s v="Furniture"/>
    <x v="0"/>
    <s v="Bush Westfield Collection Bookcases, Fully Assembled"/>
    <n v="323.13600000000002"/>
    <n v="4"/>
    <n v="12.117599999999999"/>
    <x v="4"/>
    <x v="3"/>
    <x v="5"/>
  </r>
  <r>
    <s v="CA-2015-133627"/>
    <d v="2015-05-31T00:00:00"/>
    <d v="2015-06-07T00:00:00"/>
    <x v="1"/>
    <s v="SC-20050"/>
    <s v="Sample Company A"/>
    <x v="2"/>
    <x v="78"/>
    <x v="19"/>
    <x v="2"/>
    <s v="FUR-FU-10001935"/>
    <s v="Furniture"/>
    <x v="3"/>
    <s v="3M Hangers With Command Adhesive"/>
    <n v="22.2"/>
    <n v="6"/>
    <n v="9.1020000000000003"/>
    <x v="1"/>
    <x v="1"/>
    <x v="7"/>
  </r>
  <r>
    <s v="CA-2017-102519"/>
    <d v="2017-11-27T00:00:00"/>
    <d v="2017-11-29T00:00:00"/>
    <x v="2"/>
    <s v="BM-11650"/>
    <s v="Brian Moss"/>
    <x v="1"/>
    <x v="79"/>
    <x v="16"/>
    <x v="3"/>
    <s v="FUR-FU-10004091"/>
    <s v="Furniture"/>
    <x v="3"/>
    <s v="Howard Miller 13&quot; Diameter Goldtone Round Wall Clock"/>
    <n v="46.94"/>
    <n v="1"/>
    <n v="19.2454"/>
    <x v="3"/>
    <x v="3"/>
    <x v="0"/>
  </r>
  <r>
    <s v="US-2014-141215"/>
    <d v="2014-06-15T00:00:00"/>
    <d v="2014-06-21T00:00:00"/>
    <x v="1"/>
    <s v="KL-16555"/>
    <s v="Kelly Lampkin"/>
    <x v="1"/>
    <x v="21"/>
    <x v="5"/>
    <x v="3"/>
    <s v="FUR-TA-10001520"/>
    <s v="Furniture"/>
    <x v="2"/>
    <s v="Lesro Sheffield Collection Coffee Table, End Table, Center Table, Corner Table"/>
    <n v="99.918000000000006"/>
    <n v="2"/>
    <n v="-18.5562"/>
    <x v="6"/>
    <x v="2"/>
    <x v="2"/>
  </r>
  <r>
    <s v="US-2014-141215"/>
    <d v="2014-06-15T00:00:00"/>
    <d v="2014-06-21T00:00:00"/>
    <x v="1"/>
    <s v="KL-16555"/>
    <s v="Kelly Lampkin"/>
    <x v="1"/>
    <x v="21"/>
    <x v="5"/>
    <x v="3"/>
    <s v="FUR-CH-10003379"/>
    <s v="Furniture"/>
    <x v="1"/>
    <s v="Global Commerce Series High-Back Swivel/Tilt Chairs"/>
    <n v="797.94399999999996"/>
    <n v="4"/>
    <n v="-56.996000000000002"/>
    <x v="6"/>
    <x v="2"/>
    <x v="2"/>
  </r>
  <r>
    <s v="CA-2016-142958"/>
    <d v="2016-12-13T00:00:00"/>
    <d v="2016-12-20T00:00:00"/>
    <x v="1"/>
    <s v="RW-19630"/>
    <s v="Rob Williams"/>
    <x v="1"/>
    <x v="80"/>
    <x v="2"/>
    <x v="1"/>
    <s v="FUR-TA-10000577"/>
    <s v="Furniture"/>
    <x v="2"/>
    <s v="Bretford CR4500 Series Slim Rectangular Table"/>
    <n v="1114.2719999999999"/>
    <n v="4"/>
    <n v="41.785200000000003"/>
    <x v="1"/>
    <x v="0"/>
    <x v="5"/>
  </r>
  <r>
    <s v="US-2015-140200"/>
    <d v="2015-07-26T00:00:00"/>
    <d v="2015-07-28T00:00:00"/>
    <x v="2"/>
    <s v="CA-12775"/>
    <s v="Cynthia Arntzen"/>
    <x v="0"/>
    <x v="81"/>
    <x v="22"/>
    <x v="1"/>
    <s v="FUR-TA-10002356"/>
    <s v="Furniture"/>
    <x v="2"/>
    <s v="Bevis Boat-Shaped Conference Table"/>
    <n v="393.16500000000002"/>
    <n v="3"/>
    <n v="-204.44579999999999"/>
    <x v="3"/>
    <x v="1"/>
    <x v="3"/>
  </r>
  <r>
    <s v="US-2017-110576"/>
    <d v="2017-11-28T00:00:00"/>
    <d v="2017-12-02T00:00:00"/>
    <x v="1"/>
    <s v="RB-19795"/>
    <s v="Ross Baird"/>
    <x v="2"/>
    <x v="3"/>
    <x v="3"/>
    <x v="2"/>
    <s v="FUR-FU-10003601"/>
    <s v="Furniture"/>
    <x v="3"/>
    <s v="Deflect-o RollaMat Studded, Beveled Mat for Medium Pile Carpeting"/>
    <n v="516.48800000000006"/>
    <n v="7"/>
    <n v="-12.9122"/>
    <x v="4"/>
    <x v="3"/>
    <x v="0"/>
  </r>
  <r>
    <s v="US-2017-110576"/>
    <d v="2017-11-28T00:00:00"/>
    <d v="2017-12-02T00:00:00"/>
    <x v="1"/>
    <s v="RB-19795"/>
    <s v="Ross Baird"/>
    <x v="2"/>
    <x v="3"/>
    <x v="3"/>
    <x v="2"/>
    <s v="FUR-FU-10000576"/>
    <s v="Furniture"/>
    <x v="3"/>
    <s v="Luxo Professional Fluorescent Magnifier Lamp with Clamp-Mount Base"/>
    <n v="1007.232"/>
    <n v="6"/>
    <n v="75.542400000000001"/>
    <x v="4"/>
    <x v="3"/>
    <x v="0"/>
  </r>
  <r>
    <s v="US-2017-110576"/>
    <d v="2017-11-28T00:00:00"/>
    <d v="2017-12-02T00:00:00"/>
    <x v="1"/>
    <s v="RB-19795"/>
    <s v="Ross Baird"/>
    <x v="2"/>
    <x v="3"/>
    <x v="3"/>
    <x v="2"/>
    <s v="FUR-TA-10004154"/>
    <s v="Furniture"/>
    <x v="2"/>
    <s v="Riverside Furniture Oval Coffee Table, Oval End Table, End Table with Drawer"/>
    <n v="2065.3200000000002"/>
    <n v="12"/>
    <n v="-619.596"/>
    <x v="4"/>
    <x v="3"/>
    <x v="0"/>
  </r>
  <r>
    <s v="CA-2017-131156"/>
    <d v="2017-04-03T00:00:00"/>
    <d v="2017-04-07T00:00:00"/>
    <x v="1"/>
    <s v="KH-16360"/>
    <s v="Katherine Hughes"/>
    <x v="0"/>
    <x v="3"/>
    <x v="3"/>
    <x v="2"/>
    <s v="FUR-FU-10001940"/>
    <s v="Furniture"/>
    <x v="3"/>
    <s v="Staple-based wall hangings"/>
    <n v="25.472000000000001"/>
    <n v="4"/>
    <n v="7.6416000000000004"/>
    <x v="4"/>
    <x v="3"/>
    <x v="6"/>
  </r>
  <r>
    <s v="CA-2017-136539"/>
    <d v="2017-12-28T00:00:00"/>
    <d v="2018-01-01T00:00:00"/>
    <x v="1"/>
    <s v="GH-14665"/>
    <s v="Greg Hansen"/>
    <x v="0"/>
    <x v="82"/>
    <x v="5"/>
    <x v="3"/>
    <s v="FUR-BO-10004709"/>
    <s v="Furniture"/>
    <x v="0"/>
    <s v="Bush Westfield Collection Bookcases, Medium Cherry Finish"/>
    <n v="78.852800000000002"/>
    <n v="2"/>
    <n v="-11.596"/>
    <x v="4"/>
    <x v="3"/>
    <x v="5"/>
  </r>
  <r>
    <s v="CA-2015-112571"/>
    <d v="2015-09-22T00:00:00"/>
    <d v="2015-09-22T00:00:00"/>
    <x v="3"/>
    <s v="DL-12925"/>
    <s v="Daniel Lacy"/>
    <x v="0"/>
    <x v="64"/>
    <x v="2"/>
    <x v="1"/>
    <s v="FUR-FU-10004188"/>
    <s v="Furniture"/>
    <x v="3"/>
    <s v="Luxo Professional Combination Clamp-On Lamps"/>
    <n v="204.6"/>
    <n v="2"/>
    <n v="53.195999999999998"/>
    <x v="7"/>
    <x v="1"/>
    <x v="4"/>
  </r>
  <r>
    <s v="CA-2017-152142"/>
    <d v="2017-11-14T00:00:00"/>
    <d v="2017-11-19T00:00:00"/>
    <x v="1"/>
    <s v="LW-16990"/>
    <s v="Lindsay Williams"/>
    <x v="1"/>
    <x v="28"/>
    <x v="2"/>
    <x v="1"/>
    <s v="FUR-CH-10002965"/>
    <s v="Furniture"/>
    <x v="1"/>
    <s v="Global Leather Highback Executive Chair with Pneumatic Height Adjustment, Black"/>
    <n v="321.56799999999998"/>
    <n v="2"/>
    <n v="28.1372"/>
    <x v="2"/>
    <x v="3"/>
    <x v="0"/>
  </r>
  <r>
    <s v="CA-2014-115791"/>
    <d v="2014-01-16T00:00:00"/>
    <d v="2014-01-18T00:00:00"/>
    <x v="0"/>
    <s v="DL-13315"/>
    <s v="Delfina Latchford"/>
    <x v="0"/>
    <x v="3"/>
    <x v="3"/>
    <x v="2"/>
    <s v="FUR-FU-10001095"/>
    <s v="Furniture"/>
    <x v="3"/>
    <s v="DAX Black Cherry Wood-Tone Poster Frame"/>
    <n v="127.104"/>
    <n v="6"/>
    <n v="28.598400000000002"/>
    <x v="3"/>
    <x v="2"/>
    <x v="8"/>
  </r>
  <r>
    <s v="CA-2016-144939"/>
    <d v="2016-10-03T00:00:00"/>
    <d v="2016-10-08T00:00:00"/>
    <x v="1"/>
    <s v="EB-13870"/>
    <s v="Emily Burns"/>
    <x v="0"/>
    <x v="13"/>
    <x v="7"/>
    <x v="2"/>
    <s v="FUR-CH-10003199"/>
    <s v="Furniture"/>
    <x v="1"/>
    <s v="Office Star - Contemporary Task Swivel Chair"/>
    <n v="599.29200000000003"/>
    <n v="6"/>
    <n v="93.223200000000006"/>
    <x v="2"/>
    <x v="0"/>
    <x v="1"/>
  </r>
  <r>
    <s v="CA-2014-163419"/>
    <d v="2014-11-11T00:00:00"/>
    <d v="2014-11-14T00:00:00"/>
    <x v="0"/>
    <s v="TZ-21580"/>
    <s v="Tracy Zic"/>
    <x v="0"/>
    <x v="74"/>
    <x v="12"/>
    <x v="1"/>
    <s v="FUR-CH-10000665"/>
    <s v="Furniture"/>
    <x v="1"/>
    <s v="Global Airflow Leather Mesh Back Chair, Black"/>
    <n v="603.91999999999996"/>
    <n v="5"/>
    <n v="75.489999999999995"/>
    <x v="0"/>
    <x v="2"/>
    <x v="0"/>
  </r>
  <r>
    <s v="CA-2017-167899"/>
    <d v="2017-05-21T00:00:00"/>
    <d v="2017-05-26T00:00:00"/>
    <x v="1"/>
    <s v="JG-15805"/>
    <s v="John Grady"/>
    <x v="1"/>
    <x v="83"/>
    <x v="7"/>
    <x v="2"/>
    <s v="FUR-FU-10004071"/>
    <s v="Furniture"/>
    <x v="3"/>
    <s v="Luxo Professional Magnifying Clamp-On Fluorescent Lamps"/>
    <n v="520.04999999999995"/>
    <n v="5"/>
    <n v="72.807000000000002"/>
    <x v="2"/>
    <x v="3"/>
    <x v="7"/>
  </r>
  <r>
    <s v="CA-2015-153549"/>
    <d v="2015-03-29T00:00:00"/>
    <d v="2015-03-31T00:00:00"/>
    <x v="0"/>
    <s v="SL-20155"/>
    <s v="Sara Luxemburg"/>
    <x v="2"/>
    <x v="51"/>
    <x v="1"/>
    <x v="0"/>
    <s v="FUR-CH-10004086"/>
    <s v="Furniture"/>
    <x v="1"/>
    <s v="Hon 4070 Series Pagoda Armless Upholstered Stacking Chairs"/>
    <n v="1166.92"/>
    <n v="5"/>
    <n v="131.27850000000001"/>
    <x v="3"/>
    <x v="1"/>
    <x v="9"/>
  </r>
  <r>
    <s v="CA-2015-162537"/>
    <d v="2015-10-28T00:00:00"/>
    <d v="2015-11-03T00:00:00"/>
    <x v="1"/>
    <s v="RD-19585"/>
    <s v="Rob Dowd"/>
    <x v="0"/>
    <x v="0"/>
    <x v="0"/>
    <x v="0"/>
    <s v="FUR-FU-10002885"/>
    <s v="Furniture"/>
    <x v="3"/>
    <s v="Magna Visual Magnetic Picture Hangers"/>
    <n v="24.1"/>
    <n v="5"/>
    <n v="9.1579999999999995"/>
    <x v="6"/>
    <x v="1"/>
    <x v="1"/>
  </r>
  <r>
    <s v="CA-2015-162537"/>
    <d v="2015-10-28T00:00:00"/>
    <d v="2015-11-03T00:00:00"/>
    <x v="1"/>
    <s v="RD-19585"/>
    <s v="Rob Dowd"/>
    <x v="0"/>
    <x v="0"/>
    <x v="0"/>
    <x v="0"/>
    <s v="FUR-FU-10001918"/>
    <s v="Furniture"/>
    <x v="3"/>
    <s v="C-Line Cubicle Keepers Polyproplyene Holder With Velcro Backings"/>
    <n v="33.11"/>
    <n v="7"/>
    <n v="12.9129"/>
    <x v="6"/>
    <x v="1"/>
    <x v="1"/>
  </r>
  <r>
    <s v="CA-2015-124891"/>
    <d v="2015-07-31T00:00:00"/>
    <d v="2015-07-31T00:00:00"/>
    <x v="3"/>
    <s v="RH-19495"/>
    <s v="Rick Hansen"/>
    <x v="0"/>
    <x v="13"/>
    <x v="7"/>
    <x v="2"/>
    <s v="FUR-TA-10002903"/>
    <s v="Furniture"/>
    <x v="2"/>
    <s v="Bevis Round Bullnose 29&quot; High Table Top"/>
    <n v="1090.7819999999999"/>
    <n v="7"/>
    <n v="-290.87520000000001"/>
    <x v="7"/>
    <x v="1"/>
    <x v="3"/>
  </r>
  <r>
    <s v="CA-2014-158540"/>
    <d v="2014-11-24T00:00:00"/>
    <d v="2014-11-26T00:00:00"/>
    <x v="2"/>
    <s v="VG-21790"/>
    <s v="Vivek Gonzalez"/>
    <x v="0"/>
    <x v="53"/>
    <x v="2"/>
    <x v="1"/>
    <s v="FUR-FU-10001602"/>
    <s v="Furniture"/>
    <x v="3"/>
    <s v="Eldon Delta Triangular Chair Mat, 52&quot; x 58&quot;, Clear"/>
    <n v="151.72"/>
    <n v="4"/>
    <n v="27.3096"/>
    <x v="3"/>
    <x v="2"/>
    <x v="0"/>
  </r>
  <r>
    <s v="CA-2017-118437"/>
    <d v="2017-06-17T00:00:00"/>
    <d v="2017-06-21T00:00:00"/>
    <x v="0"/>
    <s v="PF-19165"/>
    <s v="Philip Fox"/>
    <x v="0"/>
    <x v="84"/>
    <x v="13"/>
    <x v="1"/>
    <s v="FUR-FU-10004848"/>
    <s v="Furniture"/>
    <x v="3"/>
    <s v="Howard Miller 13-3/4&quot; Diameter Brushed Chrome Round Wall Clock"/>
    <n v="155.25"/>
    <n v="3"/>
    <n v="46.575000000000003"/>
    <x v="4"/>
    <x v="3"/>
    <x v="2"/>
  </r>
  <r>
    <s v="US-2015-126214"/>
    <d v="2015-12-21T00:00:00"/>
    <d v="2015-12-24T00:00:00"/>
    <x v="0"/>
    <s v="JS-15880"/>
    <s v="John Stevenson"/>
    <x v="0"/>
    <x v="15"/>
    <x v="13"/>
    <x v="1"/>
    <s v="FUR-TA-10003748"/>
    <s v="Furniture"/>
    <x v="2"/>
    <s v="Bevis 36 x 72 Conference Tables"/>
    <n v="1618.37"/>
    <n v="13"/>
    <n v="356.04140000000001"/>
    <x v="0"/>
    <x v="1"/>
    <x v="5"/>
  </r>
  <r>
    <s v="CA-2015-108665"/>
    <d v="2015-07-06T00:00:00"/>
    <d v="2015-07-10T00:00:00"/>
    <x v="1"/>
    <s v="KM-16225"/>
    <s v="Kalyca Meade"/>
    <x v="1"/>
    <x v="13"/>
    <x v="7"/>
    <x v="2"/>
    <s v="FUR-FU-10002191"/>
    <s v="Furniture"/>
    <x v="3"/>
    <s v="G.E. Halogen Desk Lamp Bulbs"/>
    <n v="13.96"/>
    <n v="2"/>
    <n v="6.7008000000000001"/>
    <x v="4"/>
    <x v="1"/>
    <x v="3"/>
  </r>
  <r>
    <s v="CA-2015-108665"/>
    <d v="2015-07-06T00:00:00"/>
    <d v="2015-07-10T00:00:00"/>
    <x v="1"/>
    <s v="KM-16225"/>
    <s v="Kalyca Meade"/>
    <x v="1"/>
    <x v="13"/>
    <x v="7"/>
    <x v="2"/>
    <s v="FUR-FU-10000965"/>
    <s v="Furniture"/>
    <x v="3"/>
    <s v="Howard Miller 11-1/2&quot; Diameter Ridgewood Wall Clock"/>
    <n v="155.82"/>
    <n v="3"/>
    <n v="63.886200000000002"/>
    <x v="4"/>
    <x v="1"/>
    <x v="3"/>
  </r>
  <r>
    <s v="CA-2015-124450"/>
    <d v="2015-04-27T00:00:00"/>
    <d v="2015-05-03T00:00:00"/>
    <x v="1"/>
    <s v="GT-14710"/>
    <s v="Greg Tran"/>
    <x v="0"/>
    <x v="85"/>
    <x v="29"/>
    <x v="2"/>
    <s v="FUR-CH-10000309"/>
    <s v="Furniture"/>
    <x v="1"/>
    <s v="Global Comet Stacking Arm Chair"/>
    <n v="1267.53"/>
    <n v="3"/>
    <n v="316.88249999999999"/>
    <x v="6"/>
    <x v="1"/>
    <x v="6"/>
  </r>
  <r>
    <s v="CA-2014-163552"/>
    <d v="2014-07-11T00:00:00"/>
    <d v="2014-07-15T00:00:00"/>
    <x v="1"/>
    <s v="LA-16780"/>
    <s v="Laura Armstrong"/>
    <x v="1"/>
    <x v="33"/>
    <x v="18"/>
    <x v="2"/>
    <s v="FUR-CH-10003379"/>
    <s v="Furniture"/>
    <x v="1"/>
    <s v="Global Commerce Series High-Back Swivel/Tilt Chairs"/>
    <n v="854.94"/>
    <n v="3"/>
    <n v="213.73500000000001"/>
    <x v="4"/>
    <x v="2"/>
    <x v="3"/>
  </r>
  <r>
    <s v="CA-2014-163552"/>
    <d v="2014-07-11T00:00:00"/>
    <d v="2014-07-15T00:00:00"/>
    <x v="1"/>
    <s v="LA-16780"/>
    <s v="Laura Armstrong"/>
    <x v="1"/>
    <x v="33"/>
    <x v="18"/>
    <x v="2"/>
    <s v="FUR-FU-10000629"/>
    <s v="Furniture"/>
    <x v="3"/>
    <s v="9-3/4 Diameter Round Wall Clock"/>
    <n v="124.11"/>
    <n v="9"/>
    <n v="52.126199999999997"/>
    <x v="4"/>
    <x v="2"/>
    <x v="3"/>
  </r>
  <r>
    <s v="CA-2016-113061"/>
    <d v="2016-04-22T00:00:00"/>
    <d v="2016-04-26T00:00:00"/>
    <x v="1"/>
    <s v="EL-13735"/>
    <s v="Ed Ludwig"/>
    <x v="2"/>
    <x v="86"/>
    <x v="23"/>
    <x v="3"/>
    <s v="FUR-FU-10003975"/>
    <s v="Furniture"/>
    <x v="3"/>
    <s v="Eldon Advantage Chair Mats for Low to Medium Pile Carpets"/>
    <n v="86.62"/>
    <n v="2"/>
    <n v="8.6620000000000008"/>
    <x v="4"/>
    <x v="0"/>
    <x v="6"/>
  </r>
  <r>
    <s v="CA-2016-127670"/>
    <d v="2016-03-20T00:00:00"/>
    <d v="2016-03-24T00:00:00"/>
    <x v="1"/>
    <s v="RD-19660"/>
    <s v="Robert Dilbeck"/>
    <x v="2"/>
    <x v="87"/>
    <x v="23"/>
    <x v="3"/>
    <s v="FUR-TA-10001095"/>
    <s v="Furniture"/>
    <x v="2"/>
    <s v="Chromcraft Round Conference Tables"/>
    <n v="697.16"/>
    <n v="4"/>
    <n v="146.40360000000001"/>
    <x v="4"/>
    <x v="0"/>
    <x v="9"/>
  </r>
  <r>
    <s v="CA-2016-102981"/>
    <d v="2016-09-06T00:00:00"/>
    <d v="2016-09-09T00:00:00"/>
    <x v="0"/>
    <s v="MO-17500"/>
    <s v="Mary O'Rourke"/>
    <x v="0"/>
    <x v="13"/>
    <x v="7"/>
    <x v="2"/>
    <s v="FUR-BO-10001811"/>
    <s v="Furniture"/>
    <x v="0"/>
    <s v="Atlantic Metals Mobile 5-Shelf Bookcases, Custom Colors"/>
    <n v="722.35199999999998"/>
    <n v="3"/>
    <n v="90.293999999999997"/>
    <x v="0"/>
    <x v="0"/>
    <x v="4"/>
  </r>
  <r>
    <s v="CA-2017-152702"/>
    <d v="2017-10-12T00:00:00"/>
    <d v="2017-10-16T00:00:00"/>
    <x v="1"/>
    <s v="SN-20710"/>
    <s v="Steve Nguyen"/>
    <x v="2"/>
    <x v="88"/>
    <x v="8"/>
    <x v="3"/>
    <s v="FUR-CH-10002304"/>
    <s v="Furniture"/>
    <x v="1"/>
    <s v="Global Stack Chair without Arms, Black"/>
    <n v="254.60400000000001"/>
    <n v="14"/>
    <n v="-18.186"/>
    <x v="4"/>
    <x v="3"/>
    <x v="1"/>
  </r>
  <r>
    <s v="CA-2016-169103"/>
    <d v="2016-03-08T00:00:00"/>
    <d v="2016-03-13T00:00:00"/>
    <x v="1"/>
    <s v="ZC-21910"/>
    <s v="Zuschuss Carroll"/>
    <x v="0"/>
    <x v="89"/>
    <x v="1"/>
    <x v="0"/>
    <s v="FUR-FU-10004006"/>
    <s v="Furniture"/>
    <x v="3"/>
    <s v="Deflect-o DuraMat Lighweight, Studded, Beveled Mat for Low Pile Carpeting"/>
    <n v="102.36"/>
    <n v="3"/>
    <n v="-3.8384999999999998"/>
    <x v="2"/>
    <x v="0"/>
    <x v="9"/>
  </r>
  <r>
    <s v="US-2015-153500"/>
    <d v="2015-07-03T00:00:00"/>
    <d v="2015-07-05T00:00:00"/>
    <x v="2"/>
    <s v="DG-13300"/>
    <s v="Deirdre Greer"/>
    <x v="1"/>
    <x v="3"/>
    <x v="3"/>
    <x v="2"/>
    <s v="FUR-FU-10000293"/>
    <s v="Furniture"/>
    <x v="3"/>
    <s v="Eldon Antistatic Chair Mats for Low to Medium Pile Carpets"/>
    <n v="168.464"/>
    <n v="2"/>
    <n v="-29.481200000000001"/>
    <x v="3"/>
    <x v="1"/>
    <x v="3"/>
  </r>
  <r>
    <s v="US-2015-153500"/>
    <d v="2015-07-03T00:00:00"/>
    <d v="2015-07-05T00:00:00"/>
    <x v="2"/>
    <s v="DG-13300"/>
    <s v="Deirdre Greer"/>
    <x v="1"/>
    <x v="3"/>
    <x v="3"/>
    <x v="2"/>
    <s v="FUR-FU-10004460"/>
    <s v="Furniture"/>
    <x v="3"/>
    <s v="Howard Miller 12&quot; Round Wall Clock"/>
    <n v="282.88799999999998"/>
    <n v="9"/>
    <n v="56.577599999999997"/>
    <x v="3"/>
    <x v="1"/>
    <x v="3"/>
  </r>
  <r>
    <s v="CA-2015-110667"/>
    <d v="2015-04-04T00:00:00"/>
    <d v="2015-04-08T00:00:00"/>
    <x v="1"/>
    <s v="NF-18595"/>
    <s v="Nicole Fjeld"/>
    <x v="2"/>
    <x v="13"/>
    <x v="7"/>
    <x v="2"/>
    <s v="FUR-FU-10004622"/>
    <s v="Furniture"/>
    <x v="3"/>
    <s v="Eldon Advantage Foldable Chair Mats for Low Pile Carpets"/>
    <n v="108.4"/>
    <n v="2"/>
    <n v="22.763999999999999"/>
    <x v="4"/>
    <x v="1"/>
    <x v="6"/>
  </r>
  <r>
    <s v="US-2015-125374"/>
    <d v="2015-03-23T00:00:00"/>
    <d v="2015-03-29T00:00:00"/>
    <x v="1"/>
    <s v="JD-16060"/>
    <s v="Julia Dunbar"/>
    <x v="0"/>
    <x v="6"/>
    <x v="5"/>
    <x v="3"/>
    <s v="FUR-CH-10003396"/>
    <s v="Furniture"/>
    <x v="1"/>
    <s v="Global Deluxe Steno Chair"/>
    <n v="107.77200000000001"/>
    <n v="2"/>
    <n v="-29.252400000000002"/>
    <x v="6"/>
    <x v="1"/>
    <x v="9"/>
  </r>
  <r>
    <s v="CA-2016-157686"/>
    <d v="2016-10-01T00:00:00"/>
    <d v="2016-10-02T00:00:00"/>
    <x v="2"/>
    <s v="BD-11620"/>
    <s v="Brian DeCherney"/>
    <x v="0"/>
    <x v="28"/>
    <x v="2"/>
    <x v="1"/>
    <s v="FUR-CH-10001146"/>
    <s v="Furniture"/>
    <x v="1"/>
    <s v="Global Value Mid-Back Manager's Chair, Gray"/>
    <n v="194.84800000000001"/>
    <n v="4"/>
    <n v="12.178000000000001"/>
    <x v="5"/>
    <x v="0"/>
    <x v="1"/>
  </r>
  <r>
    <s v="CA-2015-110016"/>
    <d v="2015-11-29T00:00:00"/>
    <d v="2015-12-04T00:00:00"/>
    <x v="1"/>
    <s v="BT-11395"/>
    <s v="Bill Tyler"/>
    <x v="1"/>
    <x v="25"/>
    <x v="17"/>
    <x v="3"/>
    <s v="FUR-CH-10002880"/>
    <s v="Furniture"/>
    <x v="1"/>
    <s v="Global High-Back Leather Tilter, Burgundy"/>
    <n v="1106.9100000000001"/>
    <n v="9"/>
    <n v="121.76009999999999"/>
    <x v="2"/>
    <x v="1"/>
    <x v="0"/>
  </r>
  <r>
    <s v="US-2016-143819"/>
    <d v="2016-03-01T00:00:00"/>
    <d v="2016-03-05T00:00:00"/>
    <x v="1"/>
    <s v="KD-16270"/>
    <s v="Karen Daniels"/>
    <x v="0"/>
    <x v="90"/>
    <x v="7"/>
    <x v="2"/>
    <s v="FUR-TA-10001095"/>
    <s v="Furniture"/>
    <x v="2"/>
    <s v="Chromcraft Round Conference Tables"/>
    <n v="836.59199999999998"/>
    <n v="8"/>
    <n v="-264.92079999999999"/>
    <x v="4"/>
    <x v="0"/>
    <x v="9"/>
  </r>
  <r>
    <s v="CA-2017-158407"/>
    <d v="2017-06-04T00:00:00"/>
    <d v="2017-06-10T00:00:00"/>
    <x v="1"/>
    <s v="LW-16990"/>
    <s v="Lindsay Williams"/>
    <x v="1"/>
    <x v="91"/>
    <x v="30"/>
    <x v="0"/>
    <s v="FUR-FU-10001967"/>
    <s v="Furniture"/>
    <x v="3"/>
    <s v="Telescoping Adjustable Floor Lamp"/>
    <n v="31.984000000000002"/>
    <n v="2"/>
    <n v="1.9990000000000001"/>
    <x v="6"/>
    <x v="3"/>
    <x v="2"/>
  </r>
  <r>
    <s v="CA-2014-159338"/>
    <d v="2014-06-25T00:00:00"/>
    <d v="2014-06-28T00:00:00"/>
    <x v="2"/>
    <s v="NS-18640"/>
    <s v="Noel Staavos"/>
    <x v="1"/>
    <x v="2"/>
    <x v="2"/>
    <x v="1"/>
    <s v="FUR-TA-10004147"/>
    <s v="Furniture"/>
    <x v="2"/>
    <s v="Hon 4060 Series Tables"/>
    <n v="447.84"/>
    <n v="5"/>
    <n v="11.196"/>
    <x v="0"/>
    <x v="2"/>
    <x v="2"/>
  </r>
  <r>
    <s v="CA-2016-107216"/>
    <d v="2016-06-14T00:00:00"/>
    <d v="2016-06-17T00:00:00"/>
    <x v="2"/>
    <s v="PV-18985"/>
    <s v="Paul Van Hugh"/>
    <x v="2"/>
    <x v="28"/>
    <x v="2"/>
    <x v="1"/>
    <s v="FUR-FU-10000206"/>
    <s v="Furniture"/>
    <x v="3"/>
    <s v="GE General Purpose, Extra Long Life, Showcase &amp; Floodlight Incandescent Bulbs"/>
    <n v="8.73"/>
    <n v="3"/>
    <n v="4.1031000000000004"/>
    <x v="0"/>
    <x v="0"/>
    <x v="2"/>
  </r>
  <r>
    <s v="US-2016-110156"/>
    <d v="2016-11-19T00:00:00"/>
    <d v="2016-11-24T00:00:00"/>
    <x v="1"/>
    <s v="EH-13945"/>
    <s v="Eric Hoffmann"/>
    <x v="0"/>
    <x v="6"/>
    <x v="5"/>
    <x v="3"/>
    <s v="FUR-FU-10000206"/>
    <s v="Furniture"/>
    <x v="3"/>
    <s v="GE General Purpose, Extra Long Life, Showcase &amp; Floodlight Incandescent Bulbs"/>
    <n v="2.3279999999999998"/>
    <n v="2"/>
    <n v="-0.75660000000000005"/>
    <x v="2"/>
    <x v="0"/>
    <x v="0"/>
  </r>
  <r>
    <s v="CA-2017-140585"/>
    <d v="2017-12-18T00:00:00"/>
    <d v="2017-12-23T00:00:00"/>
    <x v="0"/>
    <s v="RA-19915"/>
    <s v="Russell Applegate"/>
    <x v="0"/>
    <x v="92"/>
    <x v="2"/>
    <x v="1"/>
    <s v="FUR-BO-10002206"/>
    <s v="Furniture"/>
    <x v="0"/>
    <s v="Bush Saratoga Collection 5-Shelf Bookcase, Hanover Cherry, *Special Order"/>
    <n v="119.833"/>
    <n v="1"/>
    <n v="-12.6882"/>
    <x v="2"/>
    <x v="3"/>
    <x v="5"/>
  </r>
  <r>
    <s v="US-2014-147627"/>
    <d v="2014-01-20T00:00:00"/>
    <d v="2014-01-26T00:00:00"/>
    <x v="1"/>
    <s v="HL-15040"/>
    <s v="Hunter Lopez"/>
    <x v="0"/>
    <x v="93"/>
    <x v="31"/>
    <x v="0"/>
    <s v="FUR-FU-10003194"/>
    <s v="Furniture"/>
    <x v="3"/>
    <s v="Eldon Expressions Desk Accessory, Wood Pencil Holder, Oak"/>
    <n v="38.6"/>
    <n v="4"/>
    <n v="11.58"/>
    <x v="6"/>
    <x v="2"/>
    <x v="8"/>
  </r>
  <r>
    <s v="US-2014-147627"/>
    <d v="2014-01-20T00:00:00"/>
    <d v="2014-01-26T00:00:00"/>
    <x v="1"/>
    <s v="HL-15040"/>
    <s v="Hunter Lopez"/>
    <x v="0"/>
    <x v="93"/>
    <x v="31"/>
    <x v="0"/>
    <s v="FUR-CH-10002331"/>
    <s v="Furniture"/>
    <x v="1"/>
    <s v="Hon 4700 Series Mobuis Mid-Back Task Chairs with Adjustable Arms"/>
    <n v="1067.94"/>
    <n v="3"/>
    <n v="224.26740000000001"/>
    <x v="6"/>
    <x v="2"/>
    <x v="8"/>
  </r>
  <r>
    <s v="CA-2016-112102"/>
    <d v="2016-04-12T00:00:00"/>
    <d v="2016-04-16T00:00:00"/>
    <x v="1"/>
    <s v="BD-11605"/>
    <s v="Brian Dahlen"/>
    <x v="0"/>
    <x v="76"/>
    <x v="25"/>
    <x v="0"/>
    <s v="FUR-TA-10004086"/>
    <s v="Furniture"/>
    <x v="2"/>
    <s v="KI Adjustable-Height Table"/>
    <n v="343.92"/>
    <n v="4"/>
    <n v="75.662400000000005"/>
    <x v="4"/>
    <x v="0"/>
    <x v="6"/>
  </r>
  <r>
    <s v="CA-2014-146969"/>
    <d v="2014-09-29T00:00:00"/>
    <d v="2014-10-03T00:00:00"/>
    <x v="1"/>
    <s v="AP-10915"/>
    <s v="Arthur Prichep"/>
    <x v="0"/>
    <x v="2"/>
    <x v="2"/>
    <x v="1"/>
    <s v="FUR-FU-10004188"/>
    <s v="Furniture"/>
    <x v="3"/>
    <s v="Luxo Professional Combination Clamp-On Lamps"/>
    <n v="204.6"/>
    <n v="2"/>
    <n v="53.195999999999998"/>
    <x v="4"/>
    <x v="2"/>
    <x v="4"/>
  </r>
  <r>
    <s v="CA-2015-113971"/>
    <d v="2015-05-08T00:00:00"/>
    <d v="2015-05-14T00:00:00"/>
    <x v="1"/>
    <s v="CB-12535"/>
    <s v="Claudia Bergmann"/>
    <x v="1"/>
    <x v="94"/>
    <x v="15"/>
    <x v="2"/>
    <s v="FUR-FU-10001852"/>
    <s v="Furniture"/>
    <x v="3"/>
    <s v="Eldon Regeneration Recycled Desk Accessories, Smoke"/>
    <n v="8.3520000000000003"/>
    <n v="6"/>
    <n v="1.2527999999999999"/>
    <x v="6"/>
    <x v="1"/>
    <x v="7"/>
  </r>
  <r>
    <s v="CA-2014-136567"/>
    <d v="2014-12-20T00:00:00"/>
    <d v="2014-12-21T00:00:00"/>
    <x v="2"/>
    <s v="PS-19045"/>
    <s v="Penelope Sewall"/>
    <x v="2"/>
    <x v="95"/>
    <x v="25"/>
    <x v="0"/>
    <s v="FUR-TA-10001932"/>
    <s v="Furniture"/>
    <x v="2"/>
    <s v="Chromcraft 48&quot; x 96&quot; Racetrack Double Pedestal Table"/>
    <n v="2244.48"/>
    <n v="7"/>
    <n v="493.78559999999999"/>
    <x v="5"/>
    <x v="2"/>
    <x v="5"/>
  </r>
  <r>
    <s v="CA-2014-136567"/>
    <d v="2014-12-20T00:00:00"/>
    <d v="2014-12-21T00:00:00"/>
    <x v="2"/>
    <s v="PS-19045"/>
    <s v="Penelope Sewall"/>
    <x v="2"/>
    <x v="95"/>
    <x v="25"/>
    <x v="0"/>
    <s v="FUR-TA-10000617"/>
    <s v="Furniture"/>
    <x v="2"/>
    <s v="Hon Practical Foundations 30 x 60 Training Table, Light Gray/Charcoal"/>
    <n v="455.1"/>
    <n v="2"/>
    <n v="100.122"/>
    <x v="5"/>
    <x v="2"/>
    <x v="5"/>
  </r>
  <r>
    <s v="CA-2016-149314"/>
    <d v="2016-07-02T00:00:00"/>
    <d v="2016-07-07T00:00:00"/>
    <x v="0"/>
    <s v="GB-14530"/>
    <s v="George Bell"/>
    <x v="1"/>
    <x v="2"/>
    <x v="2"/>
    <x v="1"/>
    <s v="FUR-CH-10002126"/>
    <s v="Furniture"/>
    <x v="1"/>
    <s v="Hon Deluxe Fabric Upholstered Stacking Chairs"/>
    <n v="195.184"/>
    <n v="1"/>
    <n v="19.5184"/>
    <x v="2"/>
    <x v="0"/>
    <x v="3"/>
  </r>
  <r>
    <s v="CA-2017-145226"/>
    <d v="2017-12-08T00:00:00"/>
    <d v="2017-12-10T00:00:00"/>
    <x v="0"/>
    <s v="DL-13315"/>
    <s v="Delfina Latchford"/>
    <x v="0"/>
    <x v="13"/>
    <x v="7"/>
    <x v="2"/>
    <s v="FUR-FU-10004952"/>
    <s v="Furniture"/>
    <x v="3"/>
    <s v="C-Line Cubicle Keepers Polyproplyene Holder w/Velcro Back, 8-1/2x11, 25/Bx"/>
    <n v="109.48"/>
    <n v="2"/>
    <n v="33.938800000000001"/>
    <x v="3"/>
    <x v="3"/>
    <x v="5"/>
  </r>
  <r>
    <s v="CA-2016-113621"/>
    <d v="2016-12-01T00:00:00"/>
    <d v="2016-12-05T00:00:00"/>
    <x v="1"/>
    <s v="JE-15745"/>
    <s v="Joel Eaton"/>
    <x v="0"/>
    <x v="96"/>
    <x v="32"/>
    <x v="2"/>
    <s v="FUR-CH-10001270"/>
    <s v="Furniture"/>
    <x v="1"/>
    <s v="Harbour Creations Steel Folding Chair"/>
    <n v="172.5"/>
    <n v="2"/>
    <n v="51.75"/>
    <x v="4"/>
    <x v="0"/>
    <x v="5"/>
  </r>
  <r>
    <s v="CA-2017-117212"/>
    <d v="2017-02-26T00:00:00"/>
    <d v="2017-02-28T00:00:00"/>
    <x v="0"/>
    <s v="BT-11530"/>
    <s v="Bradley Talbott"/>
    <x v="2"/>
    <x v="2"/>
    <x v="2"/>
    <x v="1"/>
    <s v="FUR-CH-10003973"/>
    <s v="Furniture"/>
    <x v="1"/>
    <s v="GuestStacker Chair with Chrome Finish Legs"/>
    <n v="892.22400000000005"/>
    <n v="3"/>
    <n v="89.222399999999993"/>
    <x v="3"/>
    <x v="3"/>
    <x v="11"/>
  </r>
  <r>
    <s v="US-2015-130519"/>
    <d v="2015-09-15T00:00:00"/>
    <d v="2015-09-15T00:00:00"/>
    <x v="3"/>
    <s v="NG-18355"/>
    <s v="Nat Gilpin"/>
    <x v="1"/>
    <x v="97"/>
    <x v="1"/>
    <x v="0"/>
    <s v="FUR-FU-10002268"/>
    <s v="Furniture"/>
    <x v="3"/>
    <s v="Ultra Door Push Plate"/>
    <n v="15.712"/>
    <n v="4"/>
    <n v="2.5531999999999999"/>
    <x v="7"/>
    <x v="1"/>
    <x v="4"/>
  </r>
  <r>
    <s v="US-2015-130519"/>
    <d v="2015-09-15T00:00:00"/>
    <d v="2015-09-15T00:00:00"/>
    <x v="3"/>
    <s v="NG-18355"/>
    <s v="Nat Gilpin"/>
    <x v="1"/>
    <x v="97"/>
    <x v="1"/>
    <x v="0"/>
    <s v="FUR-FU-10003394"/>
    <s v="Furniture"/>
    <x v="3"/>
    <s v="Tenex &quot;The Solids&quot; Textured Chair Mats"/>
    <n v="55.968000000000004"/>
    <n v="1"/>
    <n v="-2.0988000000000002"/>
    <x v="7"/>
    <x v="1"/>
    <x v="4"/>
  </r>
  <r>
    <s v="CA-2016-130946"/>
    <d v="2016-04-08T00:00:00"/>
    <d v="2016-04-12T00:00:00"/>
    <x v="1"/>
    <s v="ZC-21910"/>
    <s v="Zuschuss Carroll"/>
    <x v="0"/>
    <x v="6"/>
    <x v="5"/>
    <x v="3"/>
    <s v="FUR-CH-10004540"/>
    <s v="Furniture"/>
    <x v="1"/>
    <s v="Global Chrome Stack Chair"/>
    <n v="95.983999999999995"/>
    <n v="4"/>
    <n v="-4.1135999999999999"/>
    <x v="4"/>
    <x v="0"/>
    <x v="6"/>
  </r>
  <r>
    <s v="CA-2016-114727"/>
    <d v="2016-07-18T00:00:00"/>
    <d v="2016-07-24T00:00:00"/>
    <x v="1"/>
    <s v="LS-16945"/>
    <s v="Linda Southworth"/>
    <x v="1"/>
    <x v="22"/>
    <x v="12"/>
    <x v="1"/>
    <s v="FUR-CH-10002335"/>
    <s v="Furniture"/>
    <x v="1"/>
    <s v="Hon GuestStacker Chair"/>
    <n v="544.00800000000004"/>
    <n v="3"/>
    <n v="40.800600000000003"/>
    <x v="6"/>
    <x v="0"/>
    <x v="3"/>
  </r>
  <r>
    <s v="CA-2016-114727"/>
    <d v="2016-07-18T00:00:00"/>
    <d v="2016-07-24T00:00:00"/>
    <x v="1"/>
    <s v="LS-16945"/>
    <s v="Linda Southworth"/>
    <x v="1"/>
    <x v="22"/>
    <x v="12"/>
    <x v="1"/>
    <s v="FUR-CH-10002331"/>
    <s v="Furniture"/>
    <x v="1"/>
    <s v="Hon 4700 Series Mobuis Mid-Back Task Chairs with Adjustable Arms"/>
    <n v="854.35199999999998"/>
    <n v="3"/>
    <n v="10.679399999999999"/>
    <x v="6"/>
    <x v="0"/>
    <x v="3"/>
  </r>
  <r>
    <s v="CA-2016-137050"/>
    <d v="2016-07-14T00:00:00"/>
    <d v="2016-07-18T00:00:00"/>
    <x v="0"/>
    <s v="SW-20755"/>
    <s v="Steven Ward"/>
    <x v="1"/>
    <x v="13"/>
    <x v="7"/>
    <x v="2"/>
    <s v="FUR-BO-10004695"/>
    <s v="Furniture"/>
    <x v="0"/>
    <s v="O'Sullivan 2-Door Barrister Bookcase in Odessa Pine"/>
    <n v="579.13599999999997"/>
    <n v="4"/>
    <n v="21.717600000000001"/>
    <x v="4"/>
    <x v="0"/>
    <x v="3"/>
  </r>
  <r>
    <s v="US-2017-118087"/>
    <d v="2017-09-09T00:00:00"/>
    <d v="2017-09-13T00:00:00"/>
    <x v="1"/>
    <s v="SP-20620"/>
    <s v="Stefania Perrino"/>
    <x v="1"/>
    <x v="3"/>
    <x v="3"/>
    <x v="2"/>
    <s v="FUR-CH-10004860"/>
    <s v="Furniture"/>
    <x v="1"/>
    <s v="Global Low Back Tilter Chair"/>
    <n v="141.37200000000001"/>
    <n v="2"/>
    <n v="-48.470399999999998"/>
    <x v="4"/>
    <x v="3"/>
    <x v="4"/>
  </r>
  <r>
    <s v="US-2017-118087"/>
    <d v="2017-09-09T00:00:00"/>
    <d v="2017-09-13T00:00:00"/>
    <x v="1"/>
    <s v="SP-20620"/>
    <s v="Stefania Perrino"/>
    <x v="1"/>
    <x v="3"/>
    <x v="3"/>
    <x v="2"/>
    <s v="FUR-FU-10001867"/>
    <s v="Furniture"/>
    <x v="3"/>
    <s v="Eldon Expressions Punched Metal &amp; Wood Desk Accessories, Pewter &amp; Cherry"/>
    <n v="17.024000000000001"/>
    <n v="2"/>
    <n v="1.7023999999999999"/>
    <x v="4"/>
    <x v="3"/>
    <x v="4"/>
  </r>
  <r>
    <s v="CA-2016-126004"/>
    <d v="2016-12-04T00:00:00"/>
    <d v="2016-12-05T00:00:00"/>
    <x v="2"/>
    <s v="BM-11140"/>
    <s v="Becky Martin"/>
    <x v="0"/>
    <x v="13"/>
    <x v="7"/>
    <x v="2"/>
    <s v="FUR-FU-10001602"/>
    <s v="Furniture"/>
    <x v="3"/>
    <s v="Eldon Delta Triangular Chair Mat, 52&quot; x 58&quot;, Clear"/>
    <n v="113.79"/>
    <n v="3"/>
    <n v="20.482199999999999"/>
    <x v="5"/>
    <x v="0"/>
    <x v="5"/>
  </r>
  <r>
    <s v="CA-2017-100013"/>
    <d v="2017-11-06T00:00:00"/>
    <d v="2017-11-11T00:00:00"/>
    <x v="1"/>
    <s v="ZC-21910"/>
    <s v="Zuschuss Carroll"/>
    <x v="0"/>
    <x v="2"/>
    <x v="2"/>
    <x v="1"/>
    <s v="FUR-FU-10001424"/>
    <s v="Furniture"/>
    <x v="3"/>
    <s v="Dax Clear Box Frame"/>
    <n v="8.73"/>
    <n v="1"/>
    <n v="2.9681999999999999"/>
    <x v="2"/>
    <x v="3"/>
    <x v="0"/>
  </r>
  <r>
    <s v="CA-2016-144344"/>
    <d v="2016-10-28T00:00:00"/>
    <d v="2016-10-28T00:00:00"/>
    <x v="3"/>
    <s v="PG-18820"/>
    <s v="Patrick Gardner"/>
    <x v="0"/>
    <x v="98"/>
    <x v="1"/>
    <x v="0"/>
    <s v="FUR-FU-10000076"/>
    <s v="Furniture"/>
    <x v="3"/>
    <s v="24-Hour Round Wall Clock"/>
    <n v="47.951999999999998"/>
    <n v="3"/>
    <n v="13.786199999999999"/>
    <x v="7"/>
    <x v="0"/>
    <x v="1"/>
  </r>
  <r>
    <s v="CA-2016-144344"/>
    <d v="2016-10-28T00:00:00"/>
    <d v="2016-10-28T00:00:00"/>
    <x v="3"/>
    <s v="PG-18820"/>
    <s v="Patrick Gardner"/>
    <x v="0"/>
    <x v="98"/>
    <x v="1"/>
    <x v="0"/>
    <s v="FUR-FU-10003268"/>
    <s v="Furniture"/>
    <x v="3"/>
    <s v="Eldon Radial Chair Mat for Low to Medium Pile Carpets"/>
    <n v="63.968000000000004"/>
    <n v="2"/>
    <n v="0"/>
    <x v="7"/>
    <x v="0"/>
    <x v="1"/>
  </r>
  <r>
    <s v="CA-2016-144344"/>
    <d v="2016-10-28T00:00:00"/>
    <d v="2016-10-28T00:00:00"/>
    <x v="3"/>
    <s v="PG-18820"/>
    <s v="Patrick Gardner"/>
    <x v="0"/>
    <x v="98"/>
    <x v="1"/>
    <x v="0"/>
    <s v="FUR-FU-10003553"/>
    <s v="Furniture"/>
    <x v="3"/>
    <s v="Howard Miller 13-1/2&quot; Diameter Rosebrook Wall Clock"/>
    <n v="165.048"/>
    <n v="3"/>
    <n v="41.262"/>
    <x v="7"/>
    <x v="0"/>
    <x v="1"/>
  </r>
  <r>
    <s v="CA-2014-127012"/>
    <d v="2014-08-11T00:00:00"/>
    <d v="2014-08-15T00:00:00"/>
    <x v="1"/>
    <s v="GM-14680"/>
    <s v="Greg Matthias"/>
    <x v="0"/>
    <x v="15"/>
    <x v="13"/>
    <x v="1"/>
    <s v="FUR-FU-10003691"/>
    <s v="Furniture"/>
    <x v="3"/>
    <s v="Eldon Image Series Desk Accessories, Ebony"/>
    <n v="12.35"/>
    <n v="1"/>
    <n v="5.4340000000000002"/>
    <x v="4"/>
    <x v="2"/>
    <x v="10"/>
  </r>
  <r>
    <s v="CA-2014-168494"/>
    <d v="2014-12-12T00:00:00"/>
    <d v="2014-12-14T00:00:00"/>
    <x v="0"/>
    <s v="NP-18700"/>
    <s v="Nora Preis"/>
    <x v="0"/>
    <x v="99"/>
    <x v="2"/>
    <x v="1"/>
    <s v="FUR-TA-10004619"/>
    <s v="Furniture"/>
    <x v="2"/>
    <s v="Hon Non-Folding Utility Tables"/>
    <n v="764.68799999999999"/>
    <n v="6"/>
    <n v="95.585999999999999"/>
    <x v="3"/>
    <x v="2"/>
    <x v="5"/>
  </r>
  <r>
    <s v="CA-2014-168494"/>
    <d v="2014-12-12T00:00:00"/>
    <d v="2014-12-14T00:00:00"/>
    <x v="0"/>
    <s v="NP-18700"/>
    <s v="Nora Preis"/>
    <x v="0"/>
    <x v="99"/>
    <x v="2"/>
    <x v="1"/>
    <s v="FUR-TA-10003473"/>
    <s v="Furniture"/>
    <x v="2"/>
    <s v="Bretford Rectangular Conference Table Tops"/>
    <n v="3610.848"/>
    <n v="12"/>
    <n v="135.4068"/>
    <x v="3"/>
    <x v="2"/>
    <x v="5"/>
  </r>
  <r>
    <s v="CA-2014-168494"/>
    <d v="2014-12-12T00:00:00"/>
    <d v="2014-12-14T00:00:00"/>
    <x v="0"/>
    <s v="NP-18700"/>
    <s v="Nora Preis"/>
    <x v="0"/>
    <x v="99"/>
    <x v="2"/>
    <x v="1"/>
    <s v="FUR-BO-10004467"/>
    <s v="Furniture"/>
    <x v="0"/>
    <s v="Bestar Classic Bookcase"/>
    <n v="254.97450000000001"/>
    <n v="3"/>
    <n v="11.998799999999999"/>
    <x v="3"/>
    <x v="2"/>
    <x v="5"/>
  </r>
  <r>
    <s v="CA-2017-115602"/>
    <d v="2017-12-18T00:00:00"/>
    <d v="2017-12-24T00:00:00"/>
    <x v="1"/>
    <s v="DJ-13630"/>
    <s v="Doug Jacobs"/>
    <x v="0"/>
    <x v="13"/>
    <x v="7"/>
    <x v="2"/>
    <s v="FUR-CH-10001708"/>
    <s v="Furniture"/>
    <x v="1"/>
    <s v="Office Star - Contemporary Swivel Chair with Padded Adjustable Arms and Flex Back"/>
    <n v="1141.9380000000001"/>
    <n v="9"/>
    <n v="139.5702"/>
    <x v="6"/>
    <x v="3"/>
    <x v="5"/>
  </r>
  <r>
    <s v="CA-2017-144638"/>
    <d v="2017-03-10T00:00:00"/>
    <d v="2017-03-14T00:00:00"/>
    <x v="1"/>
    <s v="MH-18115"/>
    <s v="Mick Hernandez"/>
    <x v="2"/>
    <x v="100"/>
    <x v="3"/>
    <x v="2"/>
    <s v="FUR-FU-10003724"/>
    <s v="Furniture"/>
    <x v="3"/>
    <s v="Westinghouse Clip-On Gooseneck Lamps"/>
    <n v="6.6959999999999997"/>
    <n v="1"/>
    <n v="0.50219999999999998"/>
    <x v="4"/>
    <x v="3"/>
    <x v="9"/>
  </r>
  <r>
    <s v="CA-2017-144638"/>
    <d v="2017-03-10T00:00:00"/>
    <d v="2017-03-14T00:00:00"/>
    <x v="1"/>
    <s v="MH-18115"/>
    <s v="Mick Hernandez"/>
    <x v="2"/>
    <x v="100"/>
    <x v="3"/>
    <x v="2"/>
    <s v="FUR-FU-10003535"/>
    <s v="Furniture"/>
    <x v="3"/>
    <s v="Howard Miller Distant Time Traveler Alarm Clock"/>
    <n v="43.872"/>
    <n v="2"/>
    <n v="11.516400000000001"/>
    <x v="4"/>
    <x v="3"/>
    <x v="9"/>
  </r>
  <r>
    <s v="CA-2016-155992"/>
    <d v="2016-10-01T00:00:00"/>
    <d v="2016-10-02T00:00:00"/>
    <x v="2"/>
    <s v="CC-12220"/>
    <s v="Chris Cortes"/>
    <x v="0"/>
    <x v="101"/>
    <x v="6"/>
    <x v="3"/>
    <s v="FUR-FU-10003724"/>
    <s v="Furniture"/>
    <x v="3"/>
    <s v="Westinghouse Clip-On Gooseneck Lamps"/>
    <n v="41.85"/>
    <n v="5"/>
    <n v="10.881"/>
    <x v="5"/>
    <x v="0"/>
    <x v="1"/>
  </r>
  <r>
    <s v="US-2014-167738"/>
    <d v="2014-12-24T00:00:00"/>
    <d v="2014-12-29T00:00:00"/>
    <x v="1"/>
    <s v="JC-16105"/>
    <s v="Julie Creighton"/>
    <x v="1"/>
    <x v="2"/>
    <x v="2"/>
    <x v="1"/>
    <s v="FUR-CH-10001146"/>
    <s v="Furniture"/>
    <x v="1"/>
    <s v="Global Value Mid-Back Manager's Chair, Gray"/>
    <n v="292.27199999999999"/>
    <n v="6"/>
    <n v="18.266999999999999"/>
    <x v="2"/>
    <x v="2"/>
    <x v="5"/>
  </r>
  <r>
    <s v="CA-2017-121412"/>
    <d v="2017-09-23T00:00:00"/>
    <d v="2017-09-27T00:00:00"/>
    <x v="1"/>
    <s v="BG-11695"/>
    <s v="Brooke Gillingham"/>
    <x v="1"/>
    <x v="74"/>
    <x v="12"/>
    <x v="1"/>
    <s v="FUR-FU-10000246"/>
    <s v="Furniture"/>
    <x v="3"/>
    <s v="Aluminum Document Frame"/>
    <n v="29.327999999999999"/>
    <n v="3"/>
    <n v="3.6659999999999999"/>
    <x v="4"/>
    <x v="3"/>
    <x v="4"/>
  </r>
  <r>
    <s v="CA-2016-119186"/>
    <d v="2016-05-26T00:00:00"/>
    <d v="2016-05-26T00:00:00"/>
    <x v="3"/>
    <s v="MS-17710"/>
    <s v="Maurice Satty"/>
    <x v="0"/>
    <x v="50"/>
    <x v="5"/>
    <x v="3"/>
    <s v="FUR-CH-10001973"/>
    <s v="Furniture"/>
    <x v="1"/>
    <s v="Office Star Flex Back Scooter Chair with White Frame"/>
    <n v="388.43"/>
    <n v="5"/>
    <n v="-88.784000000000006"/>
    <x v="7"/>
    <x v="0"/>
    <x v="7"/>
  </r>
  <r>
    <s v="CA-2016-154711"/>
    <d v="2016-11-22T00:00:00"/>
    <d v="2016-11-26T00:00:00"/>
    <x v="1"/>
    <s v="TB-21355"/>
    <s v="Todd Boyes"/>
    <x v="1"/>
    <x v="13"/>
    <x v="7"/>
    <x v="2"/>
    <s v="FUR-FU-10000397"/>
    <s v="Furniture"/>
    <x v="3"/>
    <s v="Luxo Economy Swing Arm Lamp"/>
    <n v="39.880000000000003"/>
    <n v="2"/>
    <n v="11.166399999999999"/>
    <x v="4"/>
    <x v="0"/>
    <x v="0"/>
  </r>
  <r>
    <s v="CA-2016-137043"/>
    <d v="2016-12-23T00:00:00"/>
    <d v="2016-12-25T00:00:00"/>
    <x v="0"/>
    <s v="LC-17140"/>
    <s v="Logan Currie"/>
    <x v="0"/>
    <x v="76"/>
    <x v="25"/>
    <x v="0"/>
    <s v="FUR-FU-10003664"/>
    <s v="Furniture"/>
    <x v="3"/>
    <s v="Electrix Architect's Clamp-On Swing Arm Lamp, Black"/>
    <n v="572.76"/>
    <n v="6"/>
    <n v="166.10040000000001"/>
    <x v="3"/>
    <x v="0"/>
    <x v="5"/>
  </r>
  <r>
    <s v="CA-2016-137043"/>
    <d v="2016-12-23T00:00:00"/>
    <d v="2016-12-25T00:00:00"/>
    <x v="0"/>
    <s v="LC-17140"/>
    <s v="Logan Currie"/>
    <x v="0"/>
    <x v="76"/>
    <x v="25"/>
    <x v="0"/>
    <s v="FUR-FU-10003664"/>
    <s v="Furniture"/>
    <x v="3"/>
    <s v="Electrix Architect's Clamp-On Swing Arm Lamp, Black"/>
    <n v="286.38"/>
    <n v="3"/>
    <n v="83.050200000000004"/>
    <x v="3"/>
    <x v="0"/>
    <x v="5"/>
  </r>
  <r>
    <s v="CA-2015-115847"/>
    <d v="2015-09-19T00:00:00"/>
    <d v="2015-09-24T00:00:00"/>
    <x v="0"/>
    <s v="TC-21535"/>
    <s v="Tracy Collins"/>
    <x v="2"/>
    <x v="58"/>
    <x v="25"/>
    <x v="0"/>
    <s v="FUR-BO-10003433"/>
    <s v="Furniture"/>
    <x v="0"/>
    <s v="Sauder Cornerstone Collection Library"/>
    <n v="61.96"/>
    <n v="2"/>
    <n v="4.3372000000000002"/>
    <x v="2"/>
    <x v="1"/>
    <x v="4"/>
  </r>
  <r>
    <s v="US-2017-126179"/>
    <d v="2017-07-03T00:00:00"/>
    <d v="2017-07-07T00:00:00"/>
    <x v="1"/>
    <s v="CS-12460"/>
    <s v="Chuck Sachs"/>
    <x v="0"/>
    <x v="29"/>
    <x v="24"/>
    <x v="0"/>
    <s v="FUR-FU-10002554"/>
    <s v="Furniture"/>
    <x v="3"/>
    <s v="Westinghouse Floor Lamp with Metal Mesh Shade, Black"/>
    <n v="23.99"/>
    <n v="1"/>
    <n v="5.5176999999999996"/>
    <x v="4"/>
    <x v="3"/>
    <x v="3"/>
  </r>
  <r>
    <s v="CA-2016-141397"/>
    <d v="2016-06-20T00:00:00"/>
    <d v="2016-06-21T00:00:00"/>
    <x v="2"/>
    <s v="RC-19825"/>
    <s v="Roy Collins"/>
    <x v="0"/>
    <x v="102"/>
    <x v="2"/>
    <x v="1"/>
    <s v="FUR-CH-10003846"/>
    <s v="Furniture"/>
    <x v="1"/>
    <s v="Hon Valutask Swivel Chairs"/>
    <n v="161.56800000000001"/>
    <n v="2"/>
    <n v="-8.0784000000000002"/>
    <x v="5"/>
    <x v="0"/>
    <x v="2"/>
  </r>
  <r>
    <s v="US-2016-134488"/>
    <d v="2016-09-24T00:00:00"/>
    <d v="2016-10-01T00:00:00"/>
    <x v="1"/>
    <s v="PK-19075"/>
    <s v="Pete Kriz"/>
    <x v="0"/>
    <x v="29"/>
    <x v="15"/>
    <x v="2"/>
    <s v="FUR-CH-10003199"/>
    <s v="Furniture"/>
    <x v="1"/>
    <s v="Office Star - Contemporary Task Swivel Chair"/>
    <n v="155.37200000000001"/>
    <n v="2"/>
    <n v="-13.317600000000001"/>
    <x v="1"/>
    <x v="0"/>
    <x v="4"/>
  </r>
  <r>
    <s v="CA-2016-145919"/>
    <d v="2016-12-18T00:00:00"/>
    <d v="2016-12-23T00:00:00"/>
    <x v="1"/>
    <s v="HG-14965"/>
    <s v="Henry Goldwyn"/>
    <x v="1"/>
    <x v="2"/>
    <x v="2"/>
    <x v="1"/>
    <s v="FUR-FU-10004960"/>
    <s v="Furniture"/>
    <x v="3"/>
    <s v="Seth Thomas 12&quot; Clock w/ Goldtone Case"/>
    <n v="183.84"/>
    <n v="8"/>
    <n v="62.505600000000001"/>
    <x v="2"/>
    <x v="0"/>
    <x v="5"/>
  </r>
  <r>
    <s v="CA-2015-120439"/>
    <d v="2015-06-14T00:00:00"/>
    <d v="2015-06-18T00:00:00"/>
    <x v="1"/>
    <s v="AD-10180"/>
    <s v="Alan Dominguez"/>
    <x v="2"/>
    <x v="3"/>
    <x v="3"/>
    <x v="2"/>
    <s v="FUR-FU-10001867"/>
    <s v="Furniture"/>
    <x v="3"/>
    <s v="Eldon Expressions Punched Metal &amp; Wood Desk Accessories, Pewter &amp; Cherry"/>
    <n v="51.072000000000003"/>
    <n v="6"/>
    <n v="5.1071999999999997"/>
    <x v="4"/>
    <x v="1"/>
    <x v="2"/>
  </r>
  <r>
    <s v="CA-2016-142762"/>
    <d v="2016-05-23T00:00:00"/>
    <d v="2016-05-27T00:00:00"/>
    <x v="1"/>
    <s v="LD-17005"/>
    <s v="Lisa DeCherney"/>
    <x v="0"/>
    <x v="28"/>
    <x v="2"/>
    <x v="1"/>
    <s v="FUR-FU-10003691"/>
    <s v="Furniture"/>
    <x v="3"/>
    <s v="Eldon Image Series Desk Accessories, Ebony"/>
    <n v="37.049999999999997"/>
    <n v="3"/>
    <n v="16.302"/>
    <x v="4"/>
    <x v="0"/>
    <x v="7"/>
  </r>
  <r>
    <s v="US-2017-123281"/>
    <d v="2017-04-02T00:00:00"/>
    <d v="2017-04-07T00:00:00"/>
    <x v="1"/>
    <s v="JF-15190"/>
    <s v="Jamie Frazer"/>
    <x v="0"/>
    <x v="2"/>
    <x v="2"/>
    <x v="1"/>
    <s v="FUR-FU-10003724"/>
    <s v="Furniture"/>
    <x v="3"/>
    <s v="Westinghouse Clip-On Gooseneck Lamps"/>
    <n v="25.11"/>
    <n v="3"/>
    <n v="6.5286"/>
    <x v="2"/>
    <x v="3"/>
    <x v="6"/>
  </r>
  <r>
    <s v="CA-2017-100524"/>
    <d v="2017-03-31T00:00:00"/>
    <d v="2017-04-02T00:00:00"/>
    <x v="0"/>
    <s v="CM-12115"/>
    <s v="Chad McGuire"/>
    <x v="0"/>
    <x v="13"/>
    <x v="7"/>
    <x v="2"/>
    <s v="FUR-FU-10004018"/>
    <s v="Furniture"/>
    <x v="3"/>
    <s v="Tensor Computer Mounted Lamp"/>
    <n v="29.78"/>
    <n v="2"/>
    <n v="8.0405999999999995"/>
    <x v="3"/>
    <x v="3"/>
    <x v="9"/>
  </r>
  <r>
    <s v="CA-2014-153976"/>
    <d v="2014-10-03T00:00:00"/>
    <d v="2014-10-08T00:00:00"/>
    <x v="0"/>
    <s v="BP-11290"/>
    <s v="Beth Paige"/>
    <x v="0"/>
    <x v="103"/>
    <x v="8"/>
    <x v="3"/>
    <s v="FUR-CH-10002880"/>
    <s v="Furniture"/>
    <x v="1"/>
    <s v="Global High-Back Leather Tilter, Burgundy"/>
    <n v="258.279"/>
    <n v="3"/>
    <n v="-70.104299999999995"/>
    <x v="2"/>
    <x v="2"/>
    <x v="1"/>
  </r>
  <r>
    <s v="CA-2017-162978"/>
    <d v="2017-05-04T00:00:00"/>
    <d v="2017-05-09T00:00:00"/>
    <x v="1"/>
    <s v="LW-16990"/>
    <s v="Lindsay Williams"/>
    <x v="1"/>
    <x v="28"/>
    <x v="2"/>
    <x v="1"/>
    <s v="FUR-TA-10003473"/>
    <s v="Furniture"/>
    <x v="2"/>
    <s v="Bretford Rectangular Conference Table Tops"/>
    <n v="300.904"/>
    <n v="1"/>
    <n v="11.283899999999999"/>
    <x v="2"/>
    <x v="3"/>
    <x v="7"/>
  </r>
  <r>
    <s v="CA-2017-160045"/>
    <d v="2017-04-26T00:00:00"/>
    <d v="2017-04-27T00:00:00"/>
    <x v="2"/>
    <s v="LB-16735"/>
    <s v="Larry Blacks"/>
    <x v="0"/>
    <x v="50"/>
    <x v="5"/>
    <x v="3"/>
    <s v="FUR-FU-10000010"/>
    <s v="Furniture"/>
    <x v="3"/>
    <s v="DAX Value U-Channel Document Frames, Easel Back"/>
    <n v="1.988"/>
    <n v="1"/>
    <n v="-1.4413"/>
    <x v="5"/>
    <x v="3"/>
    <x v="6"/>
  </r>
  <r>
    <s v="US-2014-151925"/>
    <d v="2014-09-26T00:00:00"/>
    <d v="2014-10-01T00:00:00"/>
    <x v="0"/>
    <s v="KT-16465"/>
    <s v="Kean Takahito"/>
    <x v="0"/>
    <x v="2"/>
    <x v="2"/>
    <x v="1"/>
    <s v="FUR-CH-10002961"/>
    <s v="Furniture"/>
    <x v="1"/>
    <s v="Leather Task Chair, Black"/>
    <n v="145.56800000000001"/>
    <n v="2"/>
    <n v="0"/>
    <x v="2"/>
    <x v="2"/>
    <x v="4"/>
  </r>
  <r>
    <s v="US-2017-155425"/>
    <d v="2017-11-10T00:00:00"/>
    <d v="2017-11-11T00:00:00"/>
    <x v="2"/>
    <s v="AB-10600"/>
    <s v="Ann Blume"/>
    <x v="1"/>
    <x v="104"/>
    <x v="22"/>
    <x v="1"/>
    <s v="FUR-CH-10003312"/>
    <s v="Furniture"/>
    <x v="1"/>
    <s v="Hon 2090 ÒPillow SoftÓ Series Mid Back Swivel/Tilt Chairs"/>
    <n v="899.13599999999997"/>
    <n v="4"/>
    <n v="-146.1096"/>
    <x v="5"/>
    <x v="3"/>
    <x v="0"/>
  </r>
  <r>
    <s v="CA-2017-133249"/>
    <d v="2017-07-08T00:00:00"/>
    <d v="2017-07-11T00:00:00"/>
    <x v="2"/>
    <s v="SZ-20035"/>
    <s v="Sam Zeldin"/>
    <x v="2"/>
    <x v="105"/>
    <x v="2"/>
    <x v="1"/>
    <s v="FUR-FU-10001588"/>
    <s v="Furniture"/>
    <x v="3"/>
    <s v="Deflect-o SuperTray Unbreakable Stackable Tray, Letter, Black"/>
    <n v="145.9"/>
    <n v="5"/>
    <n v="62.737000000000002"/>
    <x v="0"/>
    <x v="3"/>
    <x v="3"/>
  </r>
  <r>
    <s v="US-2015-103471"/>
    <d v="2015-12-24T00:00:00"/>
    <d v="2015-12-28T00:00:00"/>
    <x v="1"/>
    <s v="JR-15670"/>
    <s v="Jim Radford"/>
    <x v="0"/>
    <x v="30"/>
    <x v="12"/>
    <x v="1"/>
    <s v="FUR-BO-10002613"/>
    <s v="Furniture"/>
    <x v="0"/>
    <s v="Atlantic Metals Mobile 4-Shelf Bookcases, Custom Colors"/>
    <n v="590.05799999999999"/>
    <n v="7"/>
    <n v="-786.74400000000003"/>
    <x v="4"/>
    <x v="1"/>
    <x v="5"/>
  </r>
  <r>
    <s v="CA-2015-120362"/>
    <d v="2015-09-14T00:00:00"/>
    <d v="2015-09-19T00:00:00"/>
    <x v="1"/>
    <s v="CA-12265"/>
    <s v="Christina Anderson"/>
    <x v="0"/>
    <x v="106"/>
    <x v="4"/>
    <x v="1"/>
    <s v="FUR-TA-10003008"/>
    <s v="Furniture"/>
    <x v="2"/>
    <s v="Lesro Round Back Collection Coffee Table, End Table"/>
    <n v="912.75"/>
    <n v="5"/>
    <n v="118.6575"/>
    <x v="2"/>
    <x v="1"/>
    <x v="4"/>
  </r>
  <r>
    <s v="US-2016-100566"/>
    <d v="2016-09-03T00:00:00"/>
    <d v="2016-09-09T00:00:00"/>
    <x v="1"/>
    <s v="JK-16120"/>
    <s v="Julie Kriz"/>
    <x v="2"/>
    <x v="14"/>
    <x v="8"/>
    <x v="3"/>
    <s v="FUR-FU-10003394"/>
    <s v="Furniture"/>
    <x v="3"/>
    <s v="Tenex &quot;The Solids&quot; Textured Chair Mats"/>
    <n v="83.951999999999998"/>
    <n v="3"/>
    <n v="-90.248400000000004"/>
    <x v="6"/>
    <x v="0"/>
    <x v="4"/>
  </r>
  <r>
    <s v="US-2016-108504"/>
    <d v="2016-02-05T00:00:00"/>
    <d v="2016-02-05T00:00:00"/>
    <x v="3"/>
    <s v="PP-18955"/>
    <s v="Paul Prost"/>
    <x v="2"/>
    <x v="107"/>
    <x v="24"/>
    <x v="0"/>
    <s v="FUR-FU-10004091"/>
    <s v="Furniture"/>
    <x v="3"/>
    <s v="Eldon 200 Class Desk Accessories, Black"/>
    <n v="18.84"/>
    <n v="3"/>
    <n v="7.1592000000000002"/>
    <x v="7"/>
    <x v="0"/>
    <x v="11"/>
  </r>
  <r>
    <s v="US-2016-108504"/>
    <d v="2016-02-05T00:00:00"/>
    <d v="2016-02-05T00:00:00"/>
    <x v="3"/>
    <s v="PP-18955"/>
    <s v="Paul Prost"/>
    <x v="2"/>
    <x v="107"/>
    <x v="24"/>
    <x v="0"/>
    <s v="FUR-BO-10004015"/>
    <s v="Furniture"/>
    <x v="0"/>
    <s v="Bush Andora Bookcase, Maple/Graphite Gray Finish"/>
    <n v="239.98"/>
    <n v="2"/>
    <n v="52.7956"/>
    <x v="7"/>
    <x v="0"/>
    <x v="11"/>
  </r>
  <r>
    <s v="US-2017-117247"/>
    <d v="2017-10-09T00:00:00"/>
    <d v="2017-10-14T00:00:00"/>
    <x v="1"/>
    <s v="CK-12760"/>
    <s v="Cyma Kinney"/>
    <x v="1"/>
    <x v="14"/>
    <x v="8"/>
    <x v="3"/>
    <s v="FUR-TA-10002958"/>
    <s v="Furniture"/>
    <x v="2"/>
    <s v="Bevis Oval Conference Table, Walnut"/>
    <n v="652.45000000000005"/>
    <n v="5"/>
    <n v="-430.61700000000002"/>
    <x v="2"/>
    <x v="3"/>
    <x v="1"/>
  </r>
  <r>
    <s v="US-2017-117247"/>
    <d v="2017-10-09T00:00:00"/>
    <d v="2017-10-14T00:00:00"/>
    <x v="1"/>
    <s v="CK-12760"/>
    <s v="Cyma Kinney"/>
    <x v="1"/>
    <x v="14"/>
    <x v="8"/>
    <x v="3"/>
    <s v="FUR-TA-10001676"/>
    <s v="Furniture"/>
    <x v="2"/>
    <s v="Hon 61000 Series Interactive Training Tables"/>
    <n v="66.644999999999996"/>
    <n v="3"/>
    <n v="-42.652799999999999"/>
    <x v="2"/>
    <x v="3"/>
    <x v="1"/>
  </r>
  <r>
    <s v="US-2016-161396"/>
    <d v="2016-04-19T00:00:00"/>
    <d v="2016-04-25T00:00:00"/>
    <x v="1"/>
    <s v="GM-14455"/>
    <s v="Gary Mitchum"/>
    <x v="2"/>
    <x v="29"/>
    <x v="15"/>
    <x v="2"/>
    <s v="FUR-TA-10002622"/>
    <s v="Furniture"/>
    <x v="2"/>
    <s v="Bush Andora Conference Table, Maple/Graphite Gray Finish"/>
    <n v="205.17599999999999"/>
    <n v="2"/>
    <n v="-58.133200000000002"/>
    <x v="6"/>
    <x v="0"/>
    <x v="6"/>
  </r>
  <r>
    <s v="US-2014-118486"/>
    <d v="2014-04-06T00:00:00"/>
    <d v="2014-04-08T00:00:00"/>
    <x v="2"/>
    <s v="SD-20485"/>
    <s v="Shirley Daniels"/>
    <x v="2"/>
    <x v="3"/>
    <x v="3"/>
    <x v="2"/>
    <s v="FUR-TA-10001039"/>
    <s v="Furniture"/>
    <x v="2"/>
    <s v="KI Adjustable-Height Table"/>
    <n v="154.76400000000001"/>
    <n v="3"/>
    <n v="-36.111600000000003"/>
    <x v="3"/>
    <x v="2"/>
    <x v="6"/>
  </r>
  <r>
    <s v="CA-2016-130407"/>
    <d v="2016-09-02T00:00:00"/>
    <d v="2016-09-06T00:00:00"/>
    <x v="1"/>
    <s v="KD-16270"/>
    <s v="Karen Daniels"/>
    <x v="0"/>
    <x v="13"/>
    <x v="7"/>
    <x v="2"/>
    <s v="FUR-FU-10001967"/>
    <s v="Furniture"/>
    <x v="3"/>
    <s v="Telescoping Adjustable Floor Lamp"/>
    <n v="39.979999999999997"/>
    <n v="2"/>
    <n v="9.9949999999999992"/>
    <x v="4"/>
    <x v="0"/>
    <x v="4"/>
  </r>
  <r>
    <s v="US-2016-122245"/>
    <d v="2016-09-25T00:00:00"/>
    <d v="2016-09-30T00:00:00"/>
    <x v="1"/>
    <s v="AB-10105"/>
    <s v="Adrian Barton"/>
    <x v="0"/>
    <x v="43"/>
    <x v="22"/>
    <x v="1"/>
    <s v="FUR-TA-10002356"/>
    <s v="Furniture"/>
    <x v="2"/>
    <s v="Bevis Boat-Shaped Conference Table"/>
    <n v="393.16500000000002"/>
    <n v="3"/>
    <n v="-204.44579999999999"/>
    <x v="2"/>
    <x v="0"/>
    <x v="4"/>
  </r>
  <r>
    <s v="CA-2016-136329"/>
    <d v="2016-07-09T00:00:00"/>
    <d v="2016-07-13T00:00:00"/>
    <x v="1"/>
    <s v="JD-15895"/>
    <s v="Jonathan Doherty"/>
    <x v="1"/>
    <x v="13"/>
    <x v="7"/>
    <x v="2"/>
    <s v="FUR-CH-10002335"/>
    <s v="Furniture"/>
    <x v="1"/>
    <s v="Hon GuestStacker Chair"/>
    <n v="408.00599999999997"/>
    <n v="2"/>
    <n v="72.534400000000005"/>
    <x v="4"/>
    <x v="0"/>
    <x v="3"/>
  </r>
  <r>
    <s v="CA-2016-136329"/>
    <d v="2016-07-09T00:00:00"/>
    <d v="2016-07-13T00:00:00"/>
    <x v="1"/>
    <s v="JD-15895"/>
    <s v="Jonathan Doherty"/>
    <x v="1"/>
    <x v="13"/>
    <x v="7"/>
    <x v="2"/>
    <s v="FUR-FU-10000723"/>
    <s v="Furniture"/>
    <x v="3"/>
    <s v="Deflect-o EconoMat Studded, No Bevel Mat for Low Pile Carpeting"/>
    <n v="165.28"/>
    <n v="4"/>
    <n v="14.8752"/>
    <x v="4"/>
    <x v="0"/>
    <x v="3"/>
  </r>
  <r>
    <s v="CA-2017-115994"/>
    <d v="2017-01-28T00:00:00"/>
    <d v="2017-01-31T00:00:00"/>
    <x v="0"/>
    <s v="BT-11305"/>
    <s v="Beth Thompson"/>
    <x v="2"/>
    <x v="46"/>
    <x v="2"/>
    <x v="1"/>
    <s v="FUR-FU-10003976"/>
    <s v="Furniture"/>
    <x v="3"/>
    <s v="DAX Executive Solid Wood Document Frame, Desktop or Hang, Mahogany, 5 x 7"/>
    <n v="37.74"/>
    <n v="3"/>
    <n v="12.8316"/>
    <x v="0"/>
    <x v="3"/>
    <x v="8"/>
  </r>
  <r>
    <s v="CA-2015-126697"/>
    <d v="2015-09-21T00:00:00"/>
    <d v="2015-09-24T00:00:00"/>
    <x v="2"/>
    <s v="SV-20815"/>
    <s v="Stuart Van"/>
    <x v="1"/>
    <x v="6"/>
    <x v="5"/>
    <x v="3"/>
    <s v="FUR-FU-10001706"/>
    <s v="Furniture"/>
    <x v="3"/>
    <s v="Longer-Life Soft White Bulbs"/>
    <n v="4.9279999999999999"/>
    <n v="4"/>
    <n v="-1.4783999999999999"/>
    <x v="0"/>
    <x v="1"/>
    <x v="4"/>
  </r>
  <r>
    <s v="CA-2014-120768"/>
    <d v="2014-12-19T00:00:00"/>
    <d v="2014-12-21T00:00:00"/>
    <x v="0"/>
    <s v="IM-15070"/>
    <s v="Irene Maddox"/>
    <x v="0"/>
    <x v="73"/>
    <x v="33"/>
    <x v="0"/>
    <s v="FUR-CH-10000513"/>
    <s v="Furniture"/>
    <x v="1"/>
    <s v="High-Back Leather Manager's Chair"/>
    <n v="1819.86"/>
    <n v="14"/>
    <n v="163.78739999999999"/>
    <x v="3"/>
    <x v="2"/>
    <x v="5"/>
  </r>
  <r>
    <s v="CA-2015-139731"/>
    <d v="2015-10-15T00:00:00"/>
    <d v="2015-10-15T00:00:00"/>
    <x v="3"/>
    <s v="JE-15745"/>
    <s v="Joel Eaton"/>
    <x v="0"/>
    <x v="45"/>
    <x v="5"/>
    <x v="3"/>
    <s v="FUR-CH-10002024"/>
    <s v="Furniture"/>
    <x v="1"/>
    <s v="HON 5400 Series Task Chairs for Big and Tall"/>
    <n v="2453.4299999999998"/>
    <n v="5"/>
    <n v="-350.49"/>
    <x v="7"/>
    <x v="1"/>
    <x v="1"/>
  </r>
  <r>
    <s v="CA-2017-102337"/>
    <d v="2017-06-13T00:00:00"/>
    <d v="2017-06-16T00:00:00"/>
    <x v="2"/>
    <s v="SD-20485"/>
    <s v="Shirley Daniels"/>
    <x v="2"/>
    <x v="9"/>
    <x v="8"/>
    <x v="3"/>
    <s v="FUR-CH-10004289"/>
    <s v="Furniture"/>
    <x v="1"/>
    <s v="Global Super Steno Chair"/>
    <n v="470.30200000000002"/>
    <n v="7"/>
    <n v="-87.341800000000006"/>
    <x v="0"/>
    <x v="3"/>
    <x v="2"/>
  </r>
  <r>
    <s v="CA-2017-148474"/>
    <d v="2017-06-12T00:00:00"/>
    <d v="2017-06-19T00:00:00"/>
    <x v="1"/>
    <s v="ME-17320"/>
    <s v="Maria Etezadi"/>
    <x v="2"/>
    <x v="29"/>
    <x v="24"/>
    <x v="0"/>
    <s v="FUR-TA-10002530"/>
    <s v="Furniture"/>
    <x v="2"/>
    <s v="Iceberg OfficeWorks 42&quot; Round Tables"/>
    <n v="452.94"/>
    <n v="3"/>
    <n v="67.941000000000003"/>
    <x v="1"/>
    <x v="3"/>
    <x v="2"/>
  </r>
  <r>
    <s v="CA-2014-155271"/>
    <d v="2014-05-04T00:00:00"/>
    <d v="2014-05-04T00:00:00"/>
    <x v="3"/>
    <s v="AA-10480"/>
    <s v="Andrew Allen"/>
    <x v="0"/>
    <x v="108"/>
    <x v="19"/>
    <x v="2"/>
    <s v="FUR-FU-10001473"/>
    <s v="Furniture"/>
    <x v="3"/>
    <s v="DAX Wood Document Frame"/>
    <n v="27.46"/>
    <n v="2"/>
    <n v="9.8856000000000002"/>
    <x v="7"/>
    <x v="2"/>
    <x v="7"/>
  </r>
  <r>
    <s v="US-2016-128902"/>
    <d v="2016-03-11T00:00:00"/>
    <d v="2016-03-15T00:00:00"/>
    <x v="1"/>
    <s v="MB-18085"/>
    <s v="Mick Brown"/>
    <x v="0"/>
    <x v="109"/>
    <x v="18"/>
    <x v="2"/>
    <s v="FUR-TA-10001095"/>
    <s v="Furniture"/>
    <x v="2"/>
    <s v="Chromcraft Round Conference Tables"/>
    <n v="244.006"/>
    <n v="2"/>
    <n v="-31.372199999999999"/>
    <x v="4"/>
    <x v="0"/>
    <x v="9"/>
  </r>
  <r>
    <s v="CA-2016-152289"/>
    <d v="2016-08-26T00:00:00"/>
    <d v="2016-08-28T00:00:00"/>
    <x v="2"/>
    <s v="LC-16930"/>
    <s v="Linda Cazamias"/>
    <x v="1"/>
    <x v="102"/>
    <x v="5"/>
    <x v="3"/>
    <s v="FUR-CH-10002126"/>
    <s v="Furniture"/>
    <x v="1"/>
    <s v="Hon Deluxe Fabric Upholstered Stacking Chairs"/>
    <n v="1024.7159999999999"/>
    <n v="6"/>
    <n v="-29.2776"/>
    <x v="3"/>
    <x v="0"/>
    <x v="10"/>
  </r>
  <r>
    <s v="CA-2014-151708"/>
    <d v="2014-08-08T00:00:00"/>
    <d v="2014-08-14T00:00:00"/>
    <x v="1"/>
    <s v="MB-17305"/>
    <s v="Maria Bertelson"/>
    <x v="0"/>
    <x v="110"/>
    <x v="22"/>
    <x v="1"/>
    <s v="FUR-FU-10001602"/>
    <s v="Furniture"/>
    <x v="3"/>
    <s v="Eldon Delta Triangular Chair Mat, 52&quot; x 58&quot;, Clear"/>
    <n v="121.376"/>
    <n v="4"/>
    <n v="-3.0344000000000002"/>
    <x v="6"/>
    <x v="2"/>
    <x v="10"/>
  </r>
  <r>
    <s v="CA-2017-139199"/>
    <d v="2017-12-09T00:00:00"/>
    <d v="2017-12-13T00:00:00"/>
    <x v="1"/>
    <s v="DK-12835"/>
    <s v="Damala Kotsonis"/>
    <x v="1"/>
    <x v="25"/>
    <x v="17"/>
    <x v="3"/>
    <s v="FUR-CH-10000847"/>
    <s v="Furniture"/>
    <x v="1"/>
    <s v="Global Executive Mid-Back Manager's Chair"/>
    <n v="872.94"/>
    <n v="3"/>
    <n v="226.96440000000001"/>
    <x v="4"/>
    <x v="3"/>
    <x v="5"/>
  </r>
  <r>
    <s v="US-2015-105676"/>
    <d v="2015-12-01T00:00:00"/>
    <d v="2015-12-02T00:00:00"/>
    <x v="3"/>
    <s v="NM-18520"/>
    <s v="Neoma Murray"/>
    <x v="0"/>
    <x v="6"/>
    <x v="5"/>
    <x v="3"/>
    <s v="FUR-FU-10004270"/>
    <s v="Furniture"/>
    <x v="3"/>
    <s v="Eldon Image Series Desk Accessories, Burgundy"/>
    <n v="6.6879999999999997"/>
    <n v="4"/>
    <n v="-4.0128000000000004"/>
    <x v="5"/>
    <x v="1"/>
    <x v="5"/>
  </r>
  <r>
    <s v="CA-2015-140410"/>
    <d v="2015-11-03T00:00:00"/>
    <d v="2015-11-07T00:00:00"/>
    <x v="1"/>
    <s v="CM-12655"/>
    <s v="Corinna Mitchell"/>
    <x v="2"/>
    <x v="2"/>
    <x v="2"/>
    <x v="1"/>
    <s v="FUR-FU-10003347"/>
    <s v="Furniture"/>
    <x v="3"/>
    <s v="Coloredge Poster Frame"/>
    <n v="42.6"/>
    <n v="3"/>
    <n v="16.614000000000001"/>
    <x v="4"/>
    <x v="1"/>
    <x v="0"/>
  </r>
  <r>
    <s v="CA-2017-166436"/>
    <d v="2017-11-24T00:00:00"/>
    <d v="2017-11-28T00:00:00"/>
    <x v="1"/>
    <s v="TS-21370"/>
    <s v="Todd Sumrall"/>
    <x v="1"/>
    <x v="13"/>
    <x v="7"/>
    <x v="2"/>
    <s v="FUR-CH-10000785"/>
    <s v="Furniture"/>
    <x v="1"/>
    <s v="Global Ergonomic Managers Chair"/>
    <n v="977.29200000000003"/>
    <n v="6"/>
    <n v="173.74080000000001"/>
    <x v="4"/>
    <x v="3"/>
    <x v="0"/>
  </r>
  <r>
    <s v="CA-2017-139661"/>
    <d v="2017-10-30T00:00:00"/>
    <d v="2017-11-03T00:00:00"/>
    <x v="1"/>
    <s v="JW-15220"/>
    <s v="Jane Waco"/>
    <x v="1"/>
    <x v="57"/>
    <x v="13"/>
    <x v="1"/>
    <s v="FUR-FU-10002885"/>
    <s v="Furniture"/>
    <x v="3"/>
    <s v="Magna Visual Magnetic Picture Hangers"/>
    <n v="9.64"/>
    <n v="2"/>
    <n v="3.6631999999999998"/>
    <x v="4"/>
    <x v="3"/>
    <x v="1"/>
  </r>
  <r>
    <s v="CA-2016-100468"/>
    <d v="2016-11-24T00:00:00"/>
    <d v="2016-12-01T00:00:00"/>
    <x v="1"/>
    <s v="AT-10435"/>
    <s v="Alyssa Tate"/>
    <x v="2"/>
    <x v="2"/>
    <x v="2"/>
    <x v="1"/>
    <s v="FUR-FU-10000010"/>
    <s v="Furniture"/>
    <x v="3"/>
    <s v="DAX Value U-Channel Document Frames, Easel Back"/>
    <n v="9.94"/>
    <n v="2"/>
    <n v="3.0813999999999999"/>
    <x v="1"/>
    <x v="0"/>
    <x v="0"/>
  </r>
  <r>
    <s v="CA-2015-153388"/>
    <d v="2015-08-01T00:00:00"/>
    <d v="2015-08-07T00:00:00"/>
    <x v="1"/>
    <s v="PC-19000"/>
    <s v="Pauline Chand"/>
    <x v="2"/>
    <x v="2"/>
    <x v="2"/>
    <x v="1"/>
    <s v="FUR-TA-10003715"/>
    <s v="Furniture"/>
    <x v="2"/>
    <s v="Hon 2111 Invitation Series Corner Table"/>
    <n v="1004.976"/>
    <n v="6"/>
    <n v="-175.8708"/>
    <x v="6"/>
    <x v="1"/>
    <x v="10"/>
  </r>
  <r>
    <s v="CA-2017-103611"/>
    <d v="2017-09-12T00:00:00"/>
    <d v="2017-09-15T00:00:00"/>
    <x v="2"/>
    <s v="JM-15535"/>
    <s v="Jessica Myrick"/>
    <x v="0"/>
    <x v="2"/>
    <x v="2"/>
    <x v="1"/>
    <s v="FUR-FU-10004270"/>
    <s v="Furniture"/>
    <x v="3"/>
    <s v="Eldon Image Series Desk Accessories, Burgundy"/>
    <n v="8.36"/>
    <n v="2"/>
    <n v="3.0095999999999998"/>
    <x v="0"/>
    <x v="3"/>
    <x v="4"/>
  </r>
  <r>
    <s v="US-2017-160759"/>
    <d v="2017-12-11T00:00:00"/>
    <d v="2017-12-17T00:00:00"/>
    <x v="1"/>
    <s v="AI-10855"/>
    <s v="Arianne Irving"/>
    <x v="0"/>
    <x v="3"/>
    <x v="3"/>
    <x v="2"/>
    <s v="FUR-CH-10002961"/>
    <s v="Furniture"/>
    <x v="1"/>
    <s v="Leather Task Chair, Black"/>
    <n v="63.686"/>
    <n v="1"/>
    <n v="-9.0980000000000008"/>
    <x v="6"/>
    <x v="3"/>
    <x v="5"/>
  </r>
  <r>
    <s v="CA-2017-148446"/>
    <d v="2017-12-10T00:00:00"/>
    <d v="2017-12-14T00:00:00"/>
    <x v="0"/>
    <s v="MC-17845"/>
    <s v="Michael Chen"/>
    <x v="0"/>
    <x v="111"/>
    <x v="34"/>
    <x v="1"/>
    <s v="FUR-TA-10004256"/>
    <s v="Furniture"/>
    <x v="2"/>
    <s v="Bretford ÒJust In TimeÓ Height-Adjustable Multi-Task Work Tables"/>
    <n v="1669.6"/>
    <n v="4"/>
    <n v="116.872"/>
    <x v="4"/>
    <x v="3"/>
    <x v="5"/>
  </r>
  <r>
    <s v="CA-2015-144806"/>
    <d v="2015-12-06T00:00:00"/>
    <d v="2015-12-11T00:00:00"/>
    <x v="1"/>
    <s v="GH-14425"/>
    <s v="Gary Hwang"/>
    <x v="0"/>
    <x v="104"/>
    <x v="22"/>
    <x v="1"/>
    <s v="FUR-FU-10002253"/>
    <s v="Furniture"/>
    <x v="3"/>
    <s v="Howard Miller 13&quot; Diameter Pewter Finish Round Wall Clock"/>
    <n v="206.11199999999999"/>
    <n v="6"/>
    <n v="48.951599999999999"/>
    <x v="2"/>
    <x v="1"/>
    <x v="5"/>
  </r>
  <r>
    <s v="CA-2016-122392"/>
    <d v="2016-07-22T00:00:00"/>
    <d v="2016-07-27T00:00:00"/>
    <x v="1"/>
    <s v="CJ-12010"/>
    <s v="Caroline Jumper"/>
    <x v="0"/>
    <x v="112"/>
    <x v="3"/>
    <x v="2"/>
    <s v="FUR-FU-10002456"/>
    <s v="Furniture"/>
    <x v="3"/>
    <s v="Master Caster Door Stop, Large Neon Orange"/>
    <n v="11.648"/>
    <n v="2"/>
    <n v="3.3488000000000002"/>
    <x v="2"/>
    <x v="0"/>
    <x v="3"/>
  </r>
  <r>
    <s v="CA-2017-124086"/>
    <d v="2017-02-10T00:00:00"/>
    <d v="2017-02-14T00:00:00"/>
    <x v="1"/>
    <s v="MP-18175"/>
    <s v="Mike Pelletier"/>
    <x v="2"/>
    <x v="113"/>
    <x v="2"/>
    <x v="1"/>
    <s v="FUR-BO-10004015"/>
    <s v="Furniture"/>
    <x v="0"/>
    <s v="Bush Andora Bookcase, Maple/Graphite Gray Finish"/>
    <n v="203.983"/>
    <n v="2"/>
    <n v="16.7986"/>
    <x v="4"/>
    <x v="3"/>
    <x v="11"/>
  </r>
  <r>
    <s v="CA-2017-121888"/>
    <d v="2017-09-15T00:00:00"/>
    <d v="2017-09-17T00:00:00"/>
    <x v="0"/>
    <s v="CL-11890"/>
    <s v="Carl Ludwig"/>
    <x v="0"/>
    <x v="114"/>
    <x v="20"/>
    <x v="2"/>
    <s v="FUR-BO-10002545"/>
    <s v="Furniture"/>
    <x v="0"/>
    <s v="Atlantic Metals Mobile 3-Shelf Bookcases, Custom Colors"/>
    <n v="782.94"/>
    <n v="3"/>
    <n v="203.56440000000001"/>
    <x v="3"/>
    <x v="3"/>
    <x v="4"/>
  </r>
  <r>
    <s v="CA-2014-166884"/>
    <d v="2014-03-11T00:00:00"/>
    <d v="2014-03-16T00:00:00"/>
    <x v="0"/>
    <s v="CK-12205"/>
    <s v="Chloris Kastensmidt"/>
    <x v="0"/>
    <x v="29"/>
    <x v="15"/>
    <x v="2"/>
    <s v="FUR-FU-10003981"/>
    <s v="Furniture"/>
    <x v="3"/>
    <s v="Eldon Wave Desk Accessories"/>
    <n v="8.32"/>
    <n v="5"/>
    <n v="2.2879999999999998"/>
    <x v="2"/>
    <x v="2"/>
    <x v="9"/>
  </r>
  <r>
    <s v="CA-2014-150245"/>
    <d v="2014-12-31T00:00:00"/>
    <d v="2015-01-04T00:00:00"/>
    <x v="0"/>
    <s v="PC-18745"/>
    <s v="Pamela Coakley"/>
    <x v="1"/>
    <x v="115"/>
    <x v="7"/>
    <x v="2"/>
    <s v="FUR-BO-10002613"/>
    <s v="Furniture"/>
    <x v="0"/>
    <s v="Atlantic Metals Mobile 4-Shelf Bookcases, Custom Colors"/>
    <n v="1573.4880000000001"/>
    <n v="7"/>
    <n v="196.68600000000001"/>
    <x v="4"/>
    <x v="2"/>
    <x v="5"/>
  </r>
  <r>
    <s v="CA-2015-112116"/>
    <d v="2015-03-16T00:00:00"/>
    <d v="2015-03-18T00:00:00"/>
    <x v="0"/>
    <s v="JE-15475"/>
    <s v="Jeremy Ellison"/>
    <x v="0"/>
    <x v="15"/>
    <x v="13"/>
    <x v="1"/>
    <s v="FUR-TA-10001039"/>
    <s v="Furniture"/>
    <x v="2"/>
    <s v="KI Adjustable-Height Table"/>
    <n v="171.96"/>
    <n v="2"/>
    <n v="44.709600000000002"/>
    <x v="3"/>
    <x v="1"/>
    <x v="9"/>
  </r>
  <r>
    <s v="US-2017-102890"/>
    <d v="2017-06-30T00:00:00"/>
    <d v="2017-06-30T00:00:00"/>
    <x v="3"/>
    <s v="SG-20470"/>
    <s v="Sheri Gordon"/>
    <x v="0"/>
    <x v="13"/>
    <x v="7"/>
    <x v="2"/>
    <s v="FUR-TA-10000577"/>
    <s v="Furniture"/>
    <x v="2"/>
    <s v="Bretford CR4500 Series Slim Rectangular Table"/>
    <n v="1044.6300000000001"/>
    <n v="5"/>
    <n v="-295.9785"/>
    <x v="7"/>
    <x v="3"/>
    <x v="2"/>
  </r>
  <r>
    <s v="US-2014-157385"/>
    <d v="2014-11-23T00:00:00"/>
    <d v="2014-11-25T00:00:00"/>
    <x v="2"/>
    <s v="SC-20095"/>
    <s v="Sanjit Chand"/>
    <x v="0"/>
    <x v="2"/>
    <x v="2"/>
    <x v="1"/>
    <s v="FUR-CH-10000863"/>
    <s v="Furniture"/>
    <x v="1"/>
    <s v="Novimex Swivel Fabric Task Chair"/>
    <n v="603.91999999999996"/>
    <n v="5"/>
    <n v="-67.941000000000003"/>
    <x v="3"/>
    <x v="2"/>
    <x v="0"/>
  </r>
  <r>
    <s v="US-2014-157385"/>
    <d v="2014-11-23T00:00:00"/>
    <d v="2014-11-25T00:00:00"/>
    <x v="2"/>
    <s v="SC-20095"/>
    <s v="Sanjit Chand"/>
    <x v="0"/>
    <x v="2"/>
    <x v="2"/>
    <x v="1"/>
    <s v="FUR-CH-10000595"/>
    <s v="Furniture"/>
    <x v="1"/>
    <s v="Safco Contoured Stacking Chairs"/>
    <n v="381.44"/>
    <n v="2"/>
    <n v="23.84"/>
    <x v="3"/>
    <x v="2"/>
    <x v="0"/>
  </r>
  <r>
    <s v="CA-2014-101602"/>
    <d v="2014-12-15T00:00:00"/>
    <d v="2014-12-18T00:00:00"/>
    <x v="2"/>
    <s v="MC-18100"/>
    <s v="Mick Crebagga"/>
    <x v="0"/>
    <x v="116"/>
    <x v="5"/>
    <x v="3"/>
    <s v="FUR-CH-10004675"/>
    <s v="Furniture"/>
    <x v="1"/>
    <s v="Lifetime Advantage Folding Chairs, 4/Carton"/>
    <n v="763.28"/>
    <n v="5"/>
    <n v="-21.808"/>
    <x v="0"/>
    <x v="2"/>
    <x v="5"/>
  </r>
  <r>
    <s v="CA-2015-131338"/>
    <d v="2015-08-09T00:00:00"/>
    <d v="2015-08-12T00:00:00"/>
    <x v="2"/>
    <s v="NP-18325"/>
    <s v="Naresj Patel"/>
    <x v="0"/>
    <x v="13"/>
    <x v="7"/>
    <x v="2"/>
    <s v="FUR-TA-10002607"/>
    <s v="Furniture"/>
    <x v="2"/>
    <s v="KI Conference Tables"/>
    <n v="382.80599999999998"/>
    <n v="9"/>
    <n v="-153.1224"/>
    <x v="0"/>
    <x v="1"/>
    <x v="10"/>
  </r>
  <r>
    <s v="CA-2015-131338"/>
    <d v="2015-08-09T00:00:00"/>
    <d v="2015-08-12T00:00:00"/>
    <x v="2"/>
    <s v="NP-18325"/>
    <s v="Naresj Patel"/>
    <x v="0"/>
    <x v="13"/>
    <x v="7"/>
    <x v="2"/>
    <s v="FUR-FU-10002157"/>
    <s v="Furniture"/>
    <x v="3"/>
    <s v="Artistic Insta-Plaque"/>
    <n v="47.04"/>
    <n v="3"/>
    <n v="18.345600000000001"/>
    <x v="0"/>
    <x v="1"/>
    <x v="10"/>
  </r>
  <r>
    <s v="CA-2015-131338"/>
    <d v="2015-08-09T00:00:00"/>
    <d v="2015-08-12T00:00:00"/>
    <x v="2"/>
    <s v="NP-18325"/>
    <s v="Naresj Patel"/>
    <x v="0"/>
    <x v="13"/>
    <x v="7"/>
    <x v="2"/>
    <s v="FUR-FU-10001706"/>
    <s v="Furniture"/>
    <x v="3"/>
    <s v="Longer-Life Soft White Bulbs"/>
    <n v="6.16"/>
    <n v="2"/>
    <n v="2.9567999999999999"/>
    <x v="0"/>
    <x v="1"/>
    <x v="10"/>
  </r>
  <r>
    <s v="CA-2015-118423"/>
    <d v="2015-03-24T00:00:00"/>
    <d v="2015-03-27T00:00:00"/>
    <x v="2"/>
    <s v="DP-13390"/>
    <s v="Dennis Pardue"/>
    <x v="2"/>
    <x v="117"/>
    <x v="8"/>
    <x v="3"/>
    <s v="FUR-BO-10000362"/>
    <s v="Furniture"/>
    <x v="0"/>
    <s v="Sauder Inglewood Library Bookcases"/>
    <n v="359.05799999999999"/>
    <n v="3"/>
    <n v="-35.905799999999999"/>
    <x v="0"/>
    <x v="1"/>
    <x v="9"/>
  </r>
  <r>
    <s v="CA-2017-149181"/>
    <d v="2017-05-08T00:00:00"/>
    <d v="2017-05-12T00:00:00"/>
    <x v="1"/>
    <s v="MD-17350"/>
    <s v="Maribeth Dona"/>
    <x v="0"/>
    <x v="29"/>
    <x v="15"/>
    <x v="2"/>
    <s v="FUR-CH-10004540"/>
    <s v="Furniture"/>
    <x v="1"/>
    <s v="Global Chrome Stack Chair"/>
    <n v="47.991999999999997"/>
    <n v="2"/>
    <n v="-2.0568"/>
    <x v="4"/>
    <x v="3"/>
    <x v="7"/>
  </r>
  <r>
    <s v="CA-2017-132234"/>
    <d v="2017-10-16T00:00:00"/>
    <d v="2017-10-18T00:00:00"/>
    <x v="2"/>
    <s v="MY-17380"/>
    <s v="Maribeth Yedwab"/>
    <x v="1"/>
    <x v="13"/>
    <x v="7"/>
    <x v="2"/>
    <s v="FUR-FU-10001290"/>
    <s v="Furniture"/>
    <x v="3"/>
    <s v="Executive Impressions Supervisor Wall Clock"/>
    <n v="547.29999999999995"/>
    <n v="13"/>
    <n v="175.136"/>
    <x v="3"/>
    <x v="3"/>
    <x v="1"/>
  </r>
  <r>
    <s v="CA-2017-158876"/>
    <d v="2017-11-19T00:00:00"/>
    <d v="2017-11-21T00:00:00"/>
    <x v="0"/>
    <s v="AB-10150"/>
    <s v="Aimee Bixby"/>
    <x v="0"/>
    <x v="118"/>
    <x v="5"/>
    <x v="3"/>
    <s v="FUR-FU-10001967"/>
    <s v="Furniture"/>
    <x v="3"/>
    <s v="Telescoping Adjustable Floor Lamp"/>
    <n v="15.992000000000001"/>
    <n v="2"/>
    <n v="-13.993"/>
    <x v="3"/>
    <x v="3"/>
    <x v="0"/>
  </r>
  <r>
    <s v="CA-2016-164672"/>
    <d v="2016-05-08T00:00:00"/>
    <d v="2016-05-13T00:00:00"/>
    <x v="0"/>
    <s v="GB-14530"/>
    <s v="George Bell"/>
    <x v="1"/>
    <x v="63"/>
    <x v="14"/>
    <x v="2"/>
    <s v="FUR-FU-10001488"/>
    <s v="Furniture"/>
    <x v="3"/>
    <s v="Tenex 46&quot; x 60&quot; Computer Anti-Static Chairmat, Rectangular Shaped"/>
    <n v="211.96"/>
    <n v="2"/>
    <n v="42.392000000000003"/>
    <x v="2"/>
    <x v="0"/>
    <x v="7"/>
  </r>
  <r>
    <s v="CA-2014-156349"/>
    <d v="2014-05-26T00:00:00"/>
    <d v="2014-05-30T00:00:00"/>
    <x v="1"/>
    <s v="ML-17395"/>
    <s v="Marina Lichtenstein"/>
    <x v="1"/>
    <x v="2"/>
    <x v="2"/>
    <x v="1"/>
    <s v="FUR-BO-10000362"/>
    <s v="Furniture"/>
    <x v="0"/>
    <s v="Sauder Inglewood Library Bookcases"/>
    <n v="290.666"/>
    <n v="2"/>
    <n v="27.3568"/>
    <x v="4"/>
    <x v="2"/>
    <x v="7"/>
  </r>
  <r>
    <s v="CA-2017-108560"/>
    <d v="2017-07-08T00:00:00"/>
    <d v="2017-07-15T00:00:00"/>
    <x v="1"/>
    <s v="JC-15385"/>
    <s v="Jenna Caffey"/>
    <x v="0"/>
    <x v="119"/>
    <x v="13"/>
    <x v="1"/>
    <s v="FUR-FU-10002937"/>
    <s v="Furniture"/>
    <x v="3"/>
    <s v="GE 48&quot; Fluorescent Tube, Cool White Energy Saver, 34 Watts, 30/Box"/>
    <n v="198.46"/>
    <n v="2"/>
    <n v="99.23"/>
    <x v="1"/>
    <x v="3"/>
    <x v="3"/>
  </r>
  <r>
    <s v="CA-2015-143119"/>
    <d v="2015-09-24T00:00:00"/>
    <d v="2015-09-30T00:00:00"/>
    <x v="1"/>
    <s v="MC-17275"/>
    <s v="Marc Crier"/>
    <x v="0"/>
    <x v="120"/>
    <x v="35"/>
    <x v="0"/>
    <s v="FUR-CH-10001270"/>
    <s v="Furniture"/>
    <x v="1"/>
    <s v="Harbour Creations Steel Folding Chair"/>
    <n v="517.5"/>
    <n v="6"/>
    <n v="155.25"/>
    <x v="6"/>
    <x v="1"/>
    <x v="4"/>
  </r>
  <r>
    <s v="CA-2017-101049"/>
    <d v="2017-06-21T00:00:00"/>
    <d v="2017-06-25T00:00:00"/>
    <x v="0"/>
    <s v="AS-10240"/>
    <s v="Alan Shonely"/>
    <x v="0"/>
    <x v="59"/>
    <x v="15"/>
    <x v="2"/>
    <s v="FUR-FU-10004415"/>
    <s v="Furniture"/>
    <x v="3"/>
    <s v="Stacking Tray, Side-Loading, Legal, Smoke"/>
    <n v="17.920000000000002"/>
    <n v="5"/>
    <n v="2.464"/>
    <x v="4"/>
    <x v="3"/>
    <x v="2"/>
  </r>
  <r>
    <s v="CA-2016-157266"/>
    <d v="2016-05-26T00:00:00"/>
    <d v="2016-06-01T00:00:00"/>
    <x v="1"/>
    <s v="TB-21280"/>
    <s v="Toby Braunhardt"/>
    <x v="0"/>
    <x v="85"/>
    <x v="29"/>
    <x v="2"/>
    <s v="FUR-FU-10000629"/>
    <s v="Furniture"/>
    <x v="3"/>
    <s v="9-3/4 Diameter Round Wall Clock"/>
    <n v="41.37"/>
    <n v="3"/>
    <n v="17.375399999999999"/>
    <x v="6"/>
    <x v="0"/>
    <x v="7"/>
  </r>
  <r>
    <s v="CA-2014-127159"/>
    <d v="2014-05-12T00:00:00"/>
    <d v="2014-05-15T00:00:00"/>
    <x v="2"/>
    <s v="HL-15040"/>
    <s v="Hunter Lopez"/>
    <x v="0"/>
    <x v="79"/>
    <x v="16"/>
    <x v="3"/>
    <s v="FUR-FU-10000010"/>
    <s v="Furniture"/>
    <x v="3"/>
    <s v="DAX Value U-Channel Document Frames, Easel Back"/>
    <n v="34.79"/>
    <n v="7"/>
    <n v="10.7849"/>
    <x v="0"/>
    <x v="2"/>
    <x v="7"/>
  </r>
  <r>
    <s v="US-2015-157154"/>
    <d v="2015-01-10T00:00:00"/>
    <d v="2015-01-15T00:00:00"/>
    <x v="1"/>
    <s v="MM-17920"/>
    <s v="Michael Moore"/>
    <x v="0"/>
    <x v="13"/>
    <x v="7"/>
    <x v="2"/>
    <s v="FUR-TA-10001889"/>
    <s v="Furniture"/>
    <x v="2"/>
    <s v="Bush Advantage Collection Racetrack Conference Table"/>
    <n v="1018.104"/>
    <n v="4"/>
    <n v="-373.3048"/>
    <x v="2"/>
    <x v="1"/>
    <x v="8"/>
  </r>
  <r>
    <s v="CA-2015-143077"/>
    <d v="2015-09-17T00:00:00"/>
    <d v="2015-09-21T00:00:00"/>
    <x v="1"/>
    <s v="SF-20965"/>
    <s v="Sylvia Foulston"/>
    <x v="1"/>
    <x v="6"/>
    <x v="5"/>
    <x v="3"/>
    <s v="FUR-FU-10003535"/>
    <s v="Furniture"/>
    <x v="3"/>
    <s v="Howard Miller Distant Time Traveler Alarm Clock"/>
    <n v="21.936"/>
    <n v="2"/>
    <n v="-10.419600000000001"/>
    <x v="4"/>
    <x v="1"/>
    <x v="4"/>
  </r>
  <r>
    <s v="CA-2014-122882"/>
    <d v="2014-09-07T00:00:00"/>
    <d v="2014-09-13T00:00:00"/>
    <x v="1"/>
    <s v="SB-20290"/>
    <s v="Sean Braxton"/>
    <x v="1"/>
    <x v="3"/>
    <x v="3"/>
    <x v="2"/>
    <s v="FUR-FU-10000758"/>
    <s v="Furniture"/>
    <x v="3"/>
    <s v="DAX Natural Wood-Tone Poster Frame"/>
    <n v="42.368000000000002"/>
    <n v="2"/>
    <n v="8.4735999999999994"/>
    <x v="6"/>
    <x v="2"/>
    <x v="4"/>
  </r>
  <r>
    <s v="CA-2016-147585"/>
    <d v="2016-11-07T00:00:00"/>
    <d v="2016-11-12T00:00:00"/>
    <x v="1"/>
    <s v="CB-12535"/>
    <s v="Claudia Bergmann"/>
    <x v="1"/>
    <x v="28"/>
    <x v="2"/>
    <x v="1"/>
    <s v="FUR-FU-10002597"/>
    <s v="Furniture"/>
    <x v="3"/>
    <s v="C-Line Magnetic Cubicle Keepers, Clear Polypropylene"/>
    <n v="14.82"/>
    <n v="3"/>
    <n v="6.2244000000000002"/>
    <x v="2"/>
    <x v="0"/>
    <x v="0"/>
  </r>
  <r>
    <s v="CA-2017-143798"/>
    <d v="2017-12-10T00:00:00"/>
    <d v="2017-12-12T00:00:00"/>
    <x v="2"/>
    <s v="AW-10840"/>
    <s v="Anthony Witt"/>
    <x v="0"/>
    <x v="3"/>
    <x v="3"/>
    <x v="2"/>
    <s v="FUR-FU-10004306"/>
    <s v="Furniture"/>
    <x v="3"/>
    <s v="Electrix Halogen Magnifier Lamp"/>
    <n v="310.88"/>
    <n v="2"/>
    <n v="23.315999999999999"/>
    <x v="3"/>
    <x v="3"/>
    <x v="5"/>
  </r>
  <r>
    <s v="CA-2014-142839"/>
    <d v="2014-08-16T00:00:00"/>
    <d v="2014-08-20T00:00:00"/>
    <x v="1"/>
    <s v="TS-21610"/>
    <s v="Troy Staebel"/>
    <x v="0"/>
    <x v="3"/>
    <x v="3"/>
    <x v="2"/>
    <s v="FUR-TA-10001539"/>
    <s v="Furniture"/>
    <x v="2"/>
    <s v="Chromcraft Rectangular Conference Tables"/>
    <n v="853.09199999999998"/>
    <n v="6"/>
    <n v="-227.49119999999999"/>
    <x v="4"/>
    <x v="2"/>
    <x v="10"/>
  </r>
  <r>
    <s v="US-2016-154361"/>
    <d v="2016-03-14T00:00:00"/>
    <d v="2016-03-19T00:00:00"/>
    <x v="1"/>
    <s v="HZ-14950"/>
    <s v="Henia Zydlo"/>
    <x v="0"/>
    <x v="29"/>
    <x v="15"/>
    <x v="2"/>
    <s v="FUR-FU-10004020"/>
    <s v="Furniture"/>
    <x v="3"/>
    <s v="Advantus Panel Wall Acrylic Frame"/>
    <n v="21.88"/>
    <n v="5"/>
    <n v="6.2904999999999998"/>
    <x v="2"/>
    <x v="0"/>
    <x v="9"/>
  </r>
  <r>
    <s v="CA-2014-135657"/>
    <d v="2014-06-03T00:00:00"/>
    <d v="2014-06-07T00:00:00"/>
    <x v="0"/>
    <s v="SC-20725"/>
    <s v="Steven Cartwright"/>
    <x v="0"/>
    <x v="15"/>
    <x v="13"/>
    <x v="1"/>
    <s v="FUR-TA-10004086"/>
    <s v="Furniture"/>
    <x v="2"/>
    <s v="KI Adjustable-Height Table"/>
    <n v="515.88"/>
    <n v="6"/>
    <n v="113.4936"/>
    <x v="4"/>
    <x v="2"/>
    <x v="2"/>
  </r>
  <r>
    <s v="CA-2015-114069"/>
    <d v="2015-07-13T00:00:00"/>
    <d v="2015-07-15T00:00:00"/>
    <x v="0"/>
    <s v="ND-18370"/>
    <s v="Natalie DeCherney"/>
    <x v="0"/>
    <x v="13"/>
    <x v="7"/>
    <x v="2"/>
    <s v="FUR-CH-10000595"/>
    <s v="Furniture"/>
    <x v="1"/>
    <s v="Safco Contoured Stacking Chairs"/>
    <n v="1931.04"/>
    <n v="9"/>
    <n v="321.83999999999997"/>
    <x v="3"/>
    <x v="1"/>
    <x v="3"/>
  </r>
  <r>
    <s v="CA-2017-123491"/>
    <d v="2017-10-30T00:00:00"/>
    <d v="2017-11-05T00:00:00"/>
    <x v="1"/>
    <s v="JK-15205"/>
    <s v="Jamie Kunitz"/>
    <x v="0"/>
    <x v="28"/>
    <x v="2"/>
    <x v="1"/>
    <s v="FUR-CH-10003061"/>
    <s v="Furniture"/>
    <x v="1"/>
    <s v="Global Leather Task Chair, Black"/>
    <n v="71.992000000000004"/>
    <n v="1"/>
    <n v="-0.89990000000000003"/>
    <x v="6"/>
    <x v="3"/>
    <x v="1"/>
  </r>
  <r>
    <s v="US-2017-124968"/>
    <d v="2017-09-08T00:00:00"/>
    <d v="2017-09-13T00:00:00"/>
    <x v="0"/>
    <s v="MM-18055"/>
    <s v="Michelle Moray"/>
    <x v="0"/>
    <x v="9"/>
    <x v="8"/>
    <x v="3"/>
    <s v="FUR-TA-10004289"/>
    <s v="Furniture"/>
    <x v="2"/>
    <s v="BoxOffice By Design Rectangular and Half-Moon Meeting Room Tables"/>
    <n v="765.625"/>
    <n v="7"/>
    <n v="-566.5625"/>
    <x v="2"/>
    <x v="3"/>
    <x v="4"/>
  </r>
  <r>
    <s v="CA-2017-104003"/>
    <d v="2017-10-07T00:00:00"/>
    <d v="2017-10-13T00:00:00"/>
    <x v="1"/>
    <s v="DC-13285"/>
    <s v="Debra Catini"/>
    <x v="0"/>
    <x v="28"/>
    <x v="2"/>
    <x v="1"/>
    <s v="FUR-BO-10003965"/>
    <s v="Furniture"/>
    <x v="0"/>
    <s v="O'Sullivan Manor Hill 2-Door Library in Brianna Oak"/>
    <n v="307.666"/>
    <n v="2"/>
    <n v="-14.478400000000001"/>
    <x v="6"/>
    <x v="3"/>
    <x v="1"/>
  </r>
  <r>
    <s v="CA-2016-169943"/>
    <d v="2016-05-19T00:00:00"/>
    <d v="2016-05-24T00:00:00"/>
    <x v="1"/>
    <s v="BN-11515"/>
    <s v="Bradley Nguyen"/>
    <x v="0"/>
    <x v="13"/>
    <x v="7"/>
    <x v="2"/>
    <s v="FUR-FU-10002088"/>
    <s v="Furniture"/>
    <x v="3"/>
    <s v="Nu-Dell Float Frame 11 x 14 1/2"/>
    <n v="35.92"/>
    <n v="4"/>
    <n v="15.086399999999999"/>
    <x v="2"/>
    <x v="0"/>
    <x v="7"/>
  </r>
  <r>
    <s v="CA-2016-169943"/>
    <d v="2016-05-19T00:00:00"/>
    <d v="2016-05-24T00:00:00"/>
    <x v="1"/>
    <s v="BN-11515"/>
    <s v="Bradley Nguyen"/>
    <x v="0"/>
    <x v="13"/>
    <x v="7"/>
    <x v="2"/>
    <s v="FUR-FU-10000010"/>
    <s v="Furniture"/>
    <x v="3"/>
    <s v="DAX Value U-Channel Document Frames, Easel Back"/>
    <n v="39.76"/>
    <n v="8"/>
    <n v="12.3256"/>
    <x v="2"/>
    <x v="0"/>
    <x v="7"/>
  </r>
  <r>
    <s v="US-2015-123218"/>
    <d v="2015-12-20T00:00:00"/>
    <d v="2015-12-25T00:00:00"/>
    <x v="1"/>
    <s v="KD-16345"/>
    <s v="Katherine Ducich"/>
    <x v="0"/>
    <x v="9"/>
    <x v="8"/>
    <x v="3"/>
    <s v="FUR-BO-10003966"/>
    <s v="Furniture"/>
    <x v="0"/>
    <s v="Sauder Facets Collection Library, Sky Alder Finish"/>
    <n v="359.05799999999999"/>
    <n v="3"/>
    <n v="-71.811599999999999"/>
    <x v="2"/>
    <x v="1"/>
    <x v="5"/>
  </r>
  <r>
    <s v="US-2017-164056"/>
    <d v="2017-04-29T00:00:00"/>
    <d v="2017-05-04T00:00:00"/>
    <x v="0"/>
    <s v="FM-14215"/>
    <s v="Filia McAdams"/>
    <x v="1"/>
    <x v="24"/>
    <x v="15"/>
    <x v="2"/>
    <s v="FUR-TA-10001307"/>
    <s v="Furniture"/>
    <x v="2"/>
    <s v="SAFCO PlanMaster Heigh-Adjustable Drafting Table Base, 43w x 30d x 30-37h, Black"/>
    <n v="1048.3499999999999"/>
    <n v="5"/>
    <n v="-69.89"/>
    <x v="2"/>
    <x v="3"/>
    <x v="6"/>
  </r>
  <r>
    <s v="CA-2017-152807"/>
    <d v="2017-10-30T00:00:00"/>
    <d v="2017-11-03T00:00:00"/>
    <x v="1"/>
    <s v="MC-18100"/>
    <s v="Mick Crebagga"/>
    <x v="0"/>
    <x v="3"/>
    <x v="3"/>
    <x v="2"/>
    <s v="FUR-FU-10004415"/>
    <s v="Furniture"/>
    <x v="3"/>
    <s v="Stacking Tray, Side-Loading, Legal, Smoke"/>
    <n v="7.1680000000000001"/>
    <n v="2"/>
    <n v="0.98560000000000003"/>
    <x v="4"/>
    <x v="3"/>
    <x v="1"/>
  </r>
  <r>
    <s v="CA-2015-139094"/>
    <d v="2015-11-22T00:00:00"/>
    <d v="2015-11-27T00:00:00"/>
    <x v="1"/>
    <s v="MO-17800"/>
    <s v="Meg O'Connel"/>
    <x v="2"/>
    <x v="21"/>
    <x v="5"/>
    <x v="3"/>
    <s v="FUR-TA-10004607"/>
    <s v="Furniture"/>
    <x v="2"/>
    <s v="Hon 2111 Invitation Series Straight Table"/>
    <n v="206.96199999999999"/>
    <n v="2"/>
    <n v="-32.522599999999997"/>
    <x v="2"/>
    <x v="1"/>
    <x v="0"/>
  </r>
  <r>
    <s v="CA-2017-168837"/>
    <d v="2017-10-14T00:00:00"/>
    <d v="2017-10-17T00:00:00"/>
    <x v="2"/>
    <s v="JW-15955"/>
    <s v="Joni Wasserman"/>
    <x v="0"/>
    <x v="121"/>
    <x v="2"/>
    <x v="1"/>
    <s v="FUR-FU-10001918"/>
    <s v="Furniture"/>
    <x v="3"/>
    <s v="C-Line Cubicle Keepers Polyproplyene Holder With Velcro Backings"/>
    <n v="9.4600000000000009"/>
    <n v="2"/>
    <n v="3.6894"/>
    <x v="0"/>
    <x v="3"/>
    <x v="1"/>
  </r>
  <r>
    <s v="CA-2015-130785"/>
    <d v="2015-09-05T00:00:00"/>
    <d v="2015-09-09T00:00:00"/>
    <x v="1"/>
    <s v="AG-10900"/>
    <s v="Arthur Gainer"/>
    <x v="0"/>
    <x v="53"/>
    <x v="2"/>
    <x v="1"/>
    <s v="FUR-BO-10000330"/>
    <s v="Furniture"/>
    <x v="0"/>
    <s v="Sauder Camden County Barrister Bookcase, Planked Cherry Finish"/>
    <n v="411.33199999999999"/>
    <n v="4"/>
    <n v="-4.8391999999999999"/>
    <x v="4"/>
    <x v="1"/>
    <x v="4"/>
  </r>
  <r>
    <s v="CA-2015-130785"/>
    <d v="2015-09-05T00:00:00"/>
    <d v="2015-09-09T00:00:00"/>
    <x v="1"/>
    <s v="AG-10900"/>
    <s v="Arthur Gainer"/>
    <x v="0"/>
    <x v="53"/>
    <x v="2"/>
    <x v="1"/>
    <s v="FUR-BO-10003159"/>
    <s v="Furniture"/>
    <x v="0"/>
    <s v="Sauder Camden County Collection Libraries, Planked Cherry Finish"/>
    <n v="293.19900000000001"/>
    <n v="3"/>
    <n v="-20.696400000000001"/>
    <x v="4"/>
    <x v="1"/>
    <x v="4"/>
  </r>
  <r>
    <s v="CA-2016-110254"/>
    <d v="2016-08-04T00:00:00"/>
    <d v="2016-08-08T00:00:00"/>
    <x v="1"/>
    <s v="ML-17755"/>
    <s v="Max Ludwig"/>
    <x v="2"/>
    <x v="122"/>
    <x v="25"/>
    <x v="0"/>
    <s v="FUR-FU-10001591"/>
    <s v="Furniture"/>
    <x v="3"/>
    <s v="Advantus Panel Wall Certificate Holder - 8.5x11"/>
    <n v="109.8"/>
    <n v="9"/>
    <n v="46.116"/>
    <x v="4"/>
    <x v="0"/>
    <x v="10"/>
  </r>
  <r>
    <s v="CA-2014-120474"/>
    <d v="2014-12-01T00:00:00"/>
    <d v="2014-12-03T00:00:00"/>
    <x v="2"/>
    <s v="RP-19390"/>
    <s v="Resi Pšlking"/>
    <x v="0"/>
    <x v="123"/>
    <x v="16"/>
    <x v="3"/>
    <s v="FUR-CH-10001854"/>
    <s v="Furniture"/>
    <x v="1"/>
    <s v="Office Star - Professional Matrix Back Chair with 2-to-1 Synchro Tilt and Mesh Fabric Seat"/>
    <n v="2807.84"/>
    <n v="8"/>
    <n v="673.88160000000005"/>
    <x v="3"/>
    <x v="2"/>
    <x v="5"/>
  </r>
  <r>
    <s v="CA-2016-100965"/>
    <d v="2016-07-07T00:00:00"/>
    <d v="2016-07-11T00:00:00"/>
    <x v="1"/>
    <s v="RM-19375"/>
    <s v="Raymond Messe"/>
    <x v="0"/>
    <x v="124"/>
    <x v="2"/>
    <x v="1"/>
    <s v="FUR-FU-10003039"/>
    <s v="Furniture"/>
    <x v="3"/>
    <s v="Howard Miller 11-1/2&quot; Diameter Grantwood Wall Clock"/>
    <n v="215.65"/>
    <n v="5"/>
    <n v="73.320999999999998"/>
    <x v="4"/>
    <x v="0"/>
    <x v="3"/>
  </r>
  <r>
    <s v="CA-2016-149461"/>
    <d v="2016-11-13T00:00:00"/>
    <d v="2016-11-19T00:00:00"/>
    <x v="1"/>
    <s v="AS-10135"/>
    <s v="Adrian Shami"/>
    <x v="2"/>
    <x v="83"/>
    <x v="13"/>
    <x v="1"/>
    <s v="FUR-FU-10004270"/>
    <s v="Furniture"/>
    <x v="3"/>
    <s v="Eldon Image Series Desk Accessories, Burgundy"/>
    <n v="4.18"/>
    <n v="1"/>
    <n v="1.5047999999999999"/>
    <x v="6"/>
    <x v="0"/>
    <x v="0"/>
  </r>
  <r>
    <s v="CA-2016-165484"/>
    <d v="2016-10-23T00:00:00"/>
    <d v="2016-10-29T00:00:00"/>
    <x v="1"/>
    <s v="HK-14890"/>
    <s v="Heather Kirkland"/>
    <x v="1"/>
    <x v="9"/>
    <x v="8"/>
    <x v="3"/>
    <s v="FUR-FU-10001196"/>
    <s v="Furniture"/>
    <x v="3"/>
    <s v="DAX Cubicle Frames - 8x10"/>
    <n v="16.155999999999999"/>
    <n v="7"/>
    <n v="-12.117000000000001"/>
    <x v="6"/>
    <x v="0"/>
    <x v="1"/>
  </r>
  <r>
    <s v="CA-2014-132612"/>
    <d v="2014-06-09T00:00:00"/>
    <d v="2014-06-11T00:00:00"/>
    <x v="0"/>
    <s v="FO-14305"/>
    <s v="Frank Olsen"/>
    <x v="0"/>
    <x v="95"/>
    <x v="25"/>
    <x v="0"/>
    <s v="FUR-TA-10004534"/>
    <s v="Furniture"/>
    <x v="2"/>
    <s v="Bevis 44 x 96 Conference Tables"/>
    <n v="1441.3"/>
    <n v="7"/>
    <n v="245.02099999999999"/>
    <x v="3"/>
    <x v="2"/>
    <x v="2"/>
  </r>
  <r>
    <s v="US-2017-161193"/>
    <d v="2017-11-20T00:00:00"/>
    <d v="2017-11-26T00:00:00"/>
    <x v="1"/>
    <s v="BT-11680"/>
    <s v="Brian Thompson"/>
    <x v="0"/>
    <x v="19"/>
    <x v="15"/>
    <x v="2"/>
    <s v="FUR-FU-10001861"/>
    <s v="Furniture"/>
    <x v="3"/>
    <s v="Floodlight Indoor Halogen Bulbs, 1 Bulb per Pack, 60 Watts"/>
    <n v="77.599999999999994"/>
    <n v="5"/>
    <n v="28.13"/>
    <x v="6"/>
    <x v="3"/>
    <x v="0"/>
  </r>
  <r>
    <s v="US-2017-161193"/>
    <d v="2017-11-20T00:00:00"/>
    <d v="2017-11-26T00:00:00"/>
    <x v="1"/>
    <s v="BT-11680"/>
    <s v="Brian Thompson"/>
    <x v="0"/>
    <x v="19"/>
    <x v="15"/>
    <x v="2"/>
    <s v="FUR-FU-10000206"/>
    <s v="Furniture"/>
    <x v="3"/>
    <s v="GE General Purpose, Extra Long Life, Showcase &amp; Floodlight Incandescent Bulbs"/>
    <n v="4.6559999999999997"/>
    <n v="2"/>
    <n v="1.5713999999999999"/>
    <x v="6"/>
    <x v="3"/>
    <x v="0"/>
  </r>
  <r>
    <s v="CA-2015-131597"/>
    <d v="2015-09-14T00:00:00"/>
    <d v="2015-09-18T00:00:00"/>
    <x v="1"/>
    <s v="SP-20620"/>
    <s v="Stefania Perrino"/>
    <x v="1"/>
    <x v="2"/>
    <x v="2"/>
    <x v="1"/>
    <s v="FUR-TA-10002607"/>
    <s v="Furniture"/>
    <x v="2"/>
    <s v="KI Conference Tables"/>
    <n v="170.136"/>
    <n v="3"/>
    <n v="-8.5068000000000001"/>
    <x v="4"/>
    <x v="1"/>
    <x v="4"/>
  </r>
  <r>
    <s v="US-2014-130379"/>
    <d v="2014-05-25T00:00:00"/>
    <d v="2014-05-29T00:00:00"/>
    <x v="1"/>
    <s v="JL-15235"/>
    <s v="Janet Lee"/>
    <x v="0"/>
    <x v="9"/>
    <x v="8"/>
    <x v="3"/>
    <s v="FUR-FU-10002553"/>
    <s v="Furniture"/>
    <x v="3"/>
    <s v="Electrix Incandescent Magnifying Lamp, Black"/>
    <n v="29.32"/>
    <n v="2"/>
    <n v="-24.189"/>
    <x v="4"/>
    <x v="2"/>
    <x v="7"/>
  </r>
  <r>
    <s v="CA-2016-168956"/>
    <d v="2016-02-16T00:00:00"/>
    <d v="2016-02-20T00:00:00"/>
    <x v="1"/>
    <s v="EA-14035"/>
    <s v="Erin Ashbrook"/>
    <x v="1"/>
    <x v="9"/>
    <x v="8"/>
    <x v="3"/>
    <s v="FUR-CH-10004754"/>
    <s v="Furniture"/>
    <x v="1"/>
    <s v="Global Stack Chair with Arms, Black"/>
    <n v="62.957999999999998"/>
    <n v="3"/>
    <n v="-2.6981999999999999"/>
    <x v="4"/>
    <x v="0"/>
    <x v="11"/>
  </r>
  <r>
    <s v="CA-2016-167507"/>
    <d v="2016-12-22T00:00:00"/>
    <d v="2016-12-28T00:00:00"/>
    <x v="1"/>
    <s v="SA-20830"/>
    <s v="Sue Ann Reed"/>
    <x v="0"/>
    <x v="125"/>
    <x v="36"/>
    <x v="1"/>
    <s v="FUR-FU-10001935"/>
    <s v="Furniture"/>
    <x v="3"/>
    <s v="3M Hangers With Command Adhesive"/>
    <n v="11.84"/>
    <n v="4"/>
    <n v="3.1080000000000001"/>
    <x v="6"/>
    <x v="0"/>
    <x v="5"/>
  </r>
  <r>
    <s v="CA-2016-167507"/>
    <d v="2016-12-22T00:00:00"/>
    <d v="2016-12-28T00:00:00"/>
    <x v="1"/>
    <s v="SA-20830"/>
    <s v="Sue Ann Reed"/>
    <x v="0"/>
    <x v="125"/>
    <x v="36"/>
    <x v="1"/>
    <s v="FUR-FU-10002878"/>
    <s v="Furniture"/>
    <x v="3"/>
    <s v="Seth Thomas 14&quot; Day/Date Wall Clock"/>
    <n v="22.783999999999999"/>
    <n v="1"/>
    <n v="4.8415999999999997"/>
    <x v="6"/>
    <x v="0"/>
    <x v="5"/>
  </r>
  <r>
    <s v="CA-2017-145884"/>
    <d v="2017-10-21T00:00:00"/>
    <d v="2017-10-21T00:00:00"/>
    <x v="3"/>
    <s v="SL-20155"/>
    <s v="Sara Luxemburg"/>
    <x v="2"/>
    <x v="126"/>
    <x v="37"/>
    <x v="3"/>
    <s v="FUR-TA-10002356"/>
    <s v="Furniture"/>
    <x v="2"/>
    <s v="Bevis Boat-Shaped Conference Table"/>
    <n v="262.11"/>
    <n v="1"/>
    <n v="62.906399999999998"/>
    <x v="7"/>
    <x v="3"/>
    <x v="1"/>
  </r>
  <r>
    <s v="CA-2015-131422"/>
    <d v="2015-11-05T00:00:00"/>
    <d v="2015-11-09T00:00:00"/>
    <x v="1"/>
    <s v="GB-14530"/>
    <s v="George Bell"/>
    <x v="1"/>
    <x v="91"/>
    <x v="30"/>
    <x v="0"/>
    <s v="FUR-CH-10001270"/>
    <s v="Furniture"/>
    <x v="1"/>
    <s v="Harbour Creations Steel Folding Chair"/>
    <n v="207"/>
    <n v="3"/>
    <n v="25.875"/>
    <x v="4"/>
    <x v="1"/>
    <x v="0"/>
  </r>
  <r>
    <s v="CA-2014-117345"/>
    <d v="2014-08-01T00:00:00"/>
    <d v="2014-08-05T00:00:00"/>
    <x v="1"/>
    <s v="BF-10975"/>
    <s v="Barbara Fisher"/>
    <x v="1"/>
    <x v="127"/>
    <x v="30"/>
    <x v="0"/>
    <s v="FUR-FU-10000629"/>
    <s v="Furniture"/>
    <x v="3"/>
    <s v="9-3/4 Diameter Round Wall Clock"/>
    <n v="44.128"/>
    <n v="4"/>
    <n v="12.135199999999999"/>
    <x v="4"/>
    <x v="2"/>
    <x v="10"/>
  </r>
  <r>
    <s v="CA-2016-157763"/>
    <d v="2016-07-18T00:00:00"/>
    <d v="2016-07-23T00:00:00"/>
    <x v="1"/>
    <s v="KH-16330"/>
    <s v="Katharine Harms"/>
    <x v="1"/>
    <x v="128"/>
    <x v="0"/>
    <x v="0"/>
    <s v="FUR-CH-10000988"/>
    <s v="Furniture"/>
    <x v="1"/>
    <s v="Hon Olson Stacker Stools"/>
    <n v="140.81"/>
    <n v="1"/>
    <n v="39.4268"/>
    <x v="2"/>
    <x v="0"/>
    <x v="3"/>
  </r>
  <r>
    <s v="CA-2015-135391"/>
    <d v="2015-02-09T00:00:00"/>
    <d v="2015-02-11T00:00:00"/>
    <x v="0"/>
    <s v="FA-14230"/>
    <s v="Frank Atkinson"/>
    <x v="1"/>
    <x v="21"/>
    <x v="5"/>
    <x v="3"/>
    <s v="FUR-FU-10001986"/>
    <s v="Furniture"/>
    <x v="3"/>
    <s v="Dana Fluorescent Magnifying Lamp, White, 36&quot;"/>
    <n v="40.783999999999999"/>
    <n v="2"/>
    <n v="-30.588000000000001"/>
    <x v="3"/>
    <x v="1"/>
    <x v="11"/>
  </r>
  <r>
    <s v="US-2017-158512"/>
    <d v="2017-01-12T00:00:00"/>
    <d v="2017-01-17T00:00:00"/>
    <x v="0"/>
    <s v="DA-13450"/>
    <s v="Dianna Arnett"/>
    <x v="2"/>
    <x v="85"/>
    <x v="29"/>
    <x v="2"/>
    <s v="FUR-FU-10004973"/>
    <s v="Furniture"/>
    <x v="3"/>
    <s v="Flat Face Poster Frame"/>
    <n v="37.68"/>
    <n v="2"/>
    <n v="15.8256"/>
    <x v="2"/>
    <x v="3"/>
    <x v="8"/>
  </r>
  <r>
    <s v="CA-2017-128370"/>
    <d v="2017-09-10T00:00:00"/>
    <d v="2017-09-10T00:00:00"/>
    <x v="3"/>
    <s v="FH-14275"/>
    <s v="Frank Hawley"/>
    <x v="1"/>
    <x v="2"/>
    <x v="2"/>
    <x v="1"/>
    <s v="FUR-CH-10002602"/>
    <s v="Furniture"/>
    <x v="1"/>
    <s v="DMI Arturo Collection Mission-style Design Wood Chair"/>
    <n v="362.35199999999998"/>
    <n v="3"/>
    <n v="27.176400000000001"/>
    <x v="7"/>
    <x v="3"/>
    <x v="4"/>
  </r>
  <r>
    <s v="US-2017-121251"/>
    <d v="2017-03-26T00:00:00"/>
    <d v="2017-03-27T00:00:00"/>
    <x v="2"/>
    <s v="GM-14440"/>
    <s v="Gary McGarr"/>
    <x v="0"/>
    <x v="13"/>
    <x v="7"/>
    <x v="2"/>
    <s v="FUR-BO-10001918"/>
    <s v="Furniture"/>
    <x v="0"/>
    <s v="Sauder Forest Hills Library with Doors, Woodland Oak Finish"/>
    <n v="257.56799999999998"/>
    <n v="2"/>
    <n v="-28.976400000000002"/>
    <x v="5"/>
    <x v="3"/>
    <x v="9"/>
  </r>
  <r>
    <s v="US-2016-100839"/>
    <d v="2016-10-13T00:00:00"/>
    <d v="2016-10-17T00:00:00"/>
    <x v="1"/>
    <s v="NC-18625"/>
    <s v="Noah Childs"/>
    <x v="1"/>
    <x v="14"/>
    <x v="12"/>
    <x v="1"/>
    <s v="FUR-TA-10004575"/>
    <s v="Furniture"/>
    <x v="2"/>
    <s v="Hon 5100 Series Wood Tables"/>
    <n v="727.45"/>
    <n v="5"/>
    <n v="-465.56799999999998"/>
    <x v="4"/>
    <x v="0"/>
    <x v="1"/>
  </r>
  <r>
    <s v="US-2016-100839"/>
    <d v="2016-10-13T00:00:00"/>
    <d v="2016-10-17T00:00:00"/>
    <x v="1"/>
    <s v="NC-18625"/>
    <s v="Noah Childs"/>
    <x v="1"/>
    <x v="14"/>
    <x v="12"/>
    <x v="1"/>
    <s v="FUR-FU-10001617"/>
    <s v="Furniture"/>
    <x v="3"/>
    <s v="Executive Impressions 8-1/2&quot; Career Panel/Partition Cubicle Clock"/>
    <n v="24.96"/>
    <n v="3"/>
    <n v="4.3680000000000003"/>
    <x v="4"/>
    <x v="0"/>
    <x v="1"/>
  </r>
  <r>
    <s v="CA-2017-118857"/>
    <d v="2017-04-15T00:00:00"/>
    <d v="2017-04-18T00:00:00"/>
    <x v="2"/>
    <s v="AH-10075"/>
    <s v="Adam Hart"/>
    <x v="1"/>
    <x v="0"/>
    <x v="34"/>
    <x v="1"/>
    <s v="FUR-FU-10004460"/>
    <s v="Furniture"/>
    <x v="3"/>
    <s v="Howard Miller 12&quot; Round Wall Clock"/>
    <n v="196.45"/>
    <n v="5"/>
    <n v="70.721999999999994"/>
    <x v="0"/>
    <x v="3"/>
    <x v="6"/>
  </r>
  <r>
    <s v="CA-2014-116932"/>
    <d v="2014-07-21T00:00:00"/>
    <d v="2014-07-25T00:00:00"/>
    <x v="1"/>
    <s v="ME-18010"/>
    <s v="Michelle Ellison"/>
    <x v="1"/>
    <x v="28"/>
    <x v="2"/>
    <x v="1"/>
    <s v="FUR-CH-10001215"/>
    <s v="Furniture"/>
    <x v="1"/>
    <s v="Global Troy Executive Leather Low-Back Tilter"/>
    <n v="801.56799999999998"/>
    <n v="2"/>
    <n v="50.097999999999999"/>
    <x v="4"/>
    <x v="2"/>
    <x v="3"/>
  </r>
  <r>
    <s v="CA-2014-116932"/>
    <d v="2014-07-21T00:00:00"/>
    <d v="2014-07-25T00:00:00"/>
    <x v="1"/>
    <s v="ME-18010"/>
    <s v="Michelle Ellison"/>
    <x v="1"/>
    <x v="28"/>
    <x v="2"/>
    <x v="1"/>
    <s v="FUR-TA-10004175"/>
    <s v="Furniture"/>
    <x v="2"/>
    <s v="Hon 30&quot; x 60&quot; Table with Locking Drawer"/>
    <n v="272.84800000000001"/>
    <n v="1"/>
    <n v="27.284800000000001"/>
    <x v="4"/>
    <x v="2"/>
    <x v="3"/>
  </r>
  <r>
    <s v="CA-2017-142888"/>
    <d v="2017-11-21T00:00:00"/>
    <d v="2017-11-25T00:00:00"/>
    <x v="1"/>
    <s v="BP-11230"/>
    <s v="Benjamin Patterson"/>
    <x v="0"/>
    <x v="129"/>
    <x v="13"/>
    <x v="1"/>
    <s v="FUR-TA-10004767"/>
    <s v="Furniture"/>
    <x v="2"/>
    <s v="Safco Drafting Table"/>
    <n v="70.98"/>
    <n v="1"/>
    <n v="20.584199999999999"/>
    <x v="4"/>
    <x v="3"/>
    <x v="0"/>
  </r>
  <r>
    <s v="US-2016-112977"/>
    <d v="2016-03-10T00:00:00"/>
    <d v="2016-03-16T00:00:00"/>
    <x v="1"/>
    <s v="CJ-12010"/>
    <s v="Caroline Jumper"/>
    <x v="0"/>
    <x v="62"/>
    <x v="7"/>
    <x v="2"/>
    <s v="FUR-BO-10003272"/>
    <s v="Furniture"/>
    <x v="0"/>
    <s v="O'Sullivan Living Dimensions 5-Shelf Bookcases"/>
    <n v="176.78399999999999"/>
    <n v="1"/>
    <n v="-22.097999999999999"/>
    <x v="6"/>
    <x v="0"/>
    <x v="9"/>
  </r>
  <r>
    <s v="CA-2017-118885"/>
    <d v="2017-12-29T00:00:00"/>
    <d v="2018-01-02T00:00:00"/>
    <x v="1"/>
    <s v="JG-15160"/>
    <s v="James Galang"/>
    <x v="0"/>
    <x v="2"/>
    <x v="2"/>
    <x v="1"/>
    <s v="FUR-CH-10002880"/>
    <s v="Furniture"/>
    <x v="1"/>
    <s v="Global High-Back Leather Tilter, Burgundy"/>
    <n v="393.56799999999998"/>
    <n v="4"/>
    <n v="-44.276400000000002"/>
    <x v="4"/>
    <x v="3"/>
    <x v="5"/>
  </r>
  <r>
    <s v="CA-2015-109512"/>
    <d v="2015-03-05T00:00:00"/>
    <d v="2015-03-05T00:00:00"/>
    <x v="3"/>
    <s v="LF-17185"/>
    <s v="Luke Foster"/>
    <x v="0"/>
    <x v="13"/>
    <x v="7"/>
    <x v="2"/>
    <s v="FUR-CH-10001146"/>
    <s v="Furniture"/>
    <x v="1"/>
    <s v="Global Value Mid-Back Manager's Chair, Gray"/>
    <n v="383.60700000000003"/>
    <n v="7"/>
    <n v="63.9345"/>
    <x v="7"/>
    <x v="1"/>
    <x v="9"/>
  </r>
  <r>
    <s v="CA-2016-147578"/>
    <d v="2016-04-22T00:00:00"/>
    <d v="2016-04-26T00:00:00"/>
    <x v="0"/>
    <s v="PG-18895"/>
    <s v="Paul Gonzalez"/>
    <x v="0"/>
    <x v="28"/>
    <x v="2"/>
    <x v="1"/>
    <s v="FUR-FU-10001889"/>
    <s v="Furniture"/>
    <x v="3"/>
    <s v="Ultra Door Pull Handle"/>
    <n v="31.56"/>
    <n v="3"/>
    <n v="10.4148"/>
    <x v="4"/>
    <x v="0"/>
    <x v="6"/>
  </r>
  <r>
    <s v="CA-2014-142587"/>
    <d v="2014-10-21T00:00:00"/>
    <d v="2014-10-22T00:00:00"/>
    <x v="2"/>
    <s v="TB-21520"/>
    <s v="Tracy Blumstein"/>
    <x v="0"/>
    <x v="130"/>
    <x v="15"/>
    <x v="2"/>
    <s v="FUR-TA-10000617"/>
    <s v="Furniture"/>
    <x v="2"/>
    <s v="Hon Practical Foundations 30 x 60 Training Table, Light Gray/Charcoal"/>
    <n v="409.59"/>
    <n v="3"/>
    <n v="-122.877"/>
    <x v="5"/>
    <x v="2"/>
    <x v="1"/>
  </r>
  <r>
    <s v="CA-2014-169775"/>
    <d v="2014-08-29T00:00:00"/>
    <d v="2014-09-02T00:00:00"/>
    <x v="0"/>
    <s v="RA-19945"/>
    <s v="Ryan Akin"/>
    <x v="0"/>
    <x v="89"/>
    <x v="1"/>
    <x v="0"/>
    <s v="FUR-TA-10001857"/>
    <s v="Furniture"/>
    <x v="2"/>
    <s v="Balt Solid Wood Rectangular Table"/>
    <n v="174.05850000000001"/>
    <n v="3"/>
    <n v="-110.7645"/>
    <x v="4"/>
    <x v="2"/>
    <x v="10"/>
  </r>
  <r>
    <s v="CA-2017-167094"/>
    <d v="2017-10-21T00:00:00"/>
    <d v="2017-10-22T00:00:00"/>
    <x v="2"/>
    <s v="DK-12835"/>
    <s v="Damala Kotsonis"/>
    <x v="1"/>
    <x v="76"/>
    <x v="36"/>
    <x v="1"/>
    <s v="FUR-CH-10000155"/>
    <s v="Furniture"/>
    <x v="1"/>
    <s v="Global Comet Stacking Armless Chair"/>
    <n v="478.48"/>
    <n v="2"/>
    <n v="47.847999999999999"/>
    <x v="5"/>
    <x v="3"/>
    <x v="1"/>
  </r>
  <r>
    <s v="CA-2015-157959"/>
    <d v="2015-02-03T00:00:00"/>
    <d v="2015-02-04T00:00:00"/>
    <x v="2"/>
    <s v="RW-19540"/>
    <s v="Rick Wilson"/>
    <x v="1"/>
    <x v="2"/>
    <x v="2"/>
    <x v="1"/>
    <s v="FUR-FU-10004093"/>
    <s v="Furniture"/>
    <x v="3"/>
    <s v="Hand-Finished Solid Wood Document Frame"/>
    <n v="136.91999999999999"/>
    <n v="4"/>
    <n v="41.076000000000001"/>
    <x v="5"/>
    <x v="1"/>
    <x v="11"/>
  </r>
  <r>
    <s v="CA-2017-105886"/>
    <d v="2017-12-18T00:00:00"/>
    <d v="2017-12-23T00:00:00"/>
    <x v="1"/>
    <s v="DB-13660"/>
    <s v="Duane Benoit"/>
    <x v="0"/>
    <x v="64"/>
    <x v="7"/>
    <x v="2"/>
    <s v="FUR-FU-10001037"/>
    <s v="Furniture"/>
    <x v="3"/>
    <s v="DAX Charcoal/Nickel-Tone Document Frame, 5 x 7"/>
    <n v="18.96"/>
    <n v="2"/>
    <n v="8.532"/>
    <x v="2"/>
    <x v="3"/>
    <x v="5"/>
  </r>
  <r>
    <s v="US-2017-111423"/>
    <d v="2017-08-17T00:00:00"/>
    <d v="2017-08-19T00:00:00"/>
    <x v="2"/>
    <s v="EH-13765"/>
    <s v="Edward Hooks"/>
    <x v="1"/>
    <x v="115"/>
    <x v="7"/>
    <x v="2"/>
    <s v="FUR-CH-10003981"/>
    <s v="Furniture"/>
    <x v="1"/>
    <s v="Global Commerce Series Low-Back Swivel/Tilt Chairs"/>
    <n v="462.56400000000002"/>
    <n v="2"/>
    <n v="97.6524"/>
    <x v="3"/>
    <x v="3"/>
    <x v="10"/>
  </r>
  <r>
    <s v="CA-2017-161200"/>
    <d v="2017-08-06T00:00:00"/>
    <d v="2017-08-10T00:00:00"/>
    <x v="0"/>
    <s v="SV-20365"/>
    <s v="Seth Vernon"/>
    <x v="0"/>
    <x v="120"/>
    <x v="35"/>
    <x v="0"/>
    <s v="FUR-BO-10000468"/>
    <s v="Furniture"/>
    <x v="0"/>
    <s v="O'Sullivan 2-Shelf Heavy-Duty Bookcases"/>
    <n v="145.74"/>
    <n v="3"/>
    <n v="23.3184"/>
    <x v="4"/>
    <x v="3"/>
    <x v="10"/>
  </r>
  <r>
    <s v="CA-2017-161200"/>
    <d v="2017-08-06T00:00:00"/>
    <d v="2017-08-10T00:00:00"/>
    <x v="0"/>
    <s v="SV-20365"/>
    <s v="Seth Vernon"/>
    <x v="0"/>
    <x v="120"/>
    <x v="35"/>
    <x v="0"/>
    <s v="FUR-FU-10001706"/>
    <s v="Furniture"/>
    <x v="3"/>
    <s v="Longer-Life Soft White Bulbs"/>
    <n v="15.4"/>
    <n v="5"/>
    <n v="7.3920000000000003"/>
    <x v="4"/>
    <x v="3"/>
    <x v="10"/>
  </r>
  <r>
    <s v="CA-2015-141768"/>
    <d v="2015-05-25T00:00:00"/>
    <d v="2015-05-27T00:00:00"/>
    <x v="0"/>
    <s v="NP-18685"/>
    <s v="Nora Pelletier"/>
    <x v="2"/>
    <x v="28"/>
    <x v="2"/>
    <x v="1"/>
    <s v="FUR-FU-10002268"/>
    <s v="Furniture"/>
    <x v="3"/>
    <s v="Ultra Door Push Plate"/>
    <n v="14.73"/>
    <n v="3"/>
    <n v="4.8609"/>
    <x v="3"/>
    <x v="1"/>
    <x v="7"/>
  </r>
  <r>
    <s v="CA-2016-112109"/>
    <d v="2016-07-08T00:00:00"/>
    <d v="2016-07-12T00:00:00"/>
    <x v="1"/>
    <s v="JE-15715"/>
    <s v="Joe Elijah"/>
    <x v="0"/>
    <x v="131"/>
    <x v="12"/>
    <x v="1"/>
    <s v="FUR-CH-10004287"/>
    <s v="Furniture"/>
    <x v="1"/>
    <s v="SAFCO Arco Folding Chair"/>
    <n v="662.88"/>
    <n v="3"/>
    <n v="74.573999999999998"/>
    <x v="4"/>
    <x v="0"/>
    <x v="3"/>
  </r>
  <r>
    <s v="CA-2017-157987"/>
    <d v="2017-09-02T00:00:00"/>
    <d v="2017-09-06T00:00:00"/>
    <x v="1"/>
    <s v="AC-10615"/>
    <s v="Ann Chong"/>
    <x v="1"/>
    <x v="13"/>
    <x v="7"/>
    <x v="2"/>
    <s v="FUR-FU-10001196"/>
    <s v="Furniture"/>
    <x v="3"/>
    <s v="DAX Cubicle Frames - 8x10"/>
    <n v="11.54"/>
    <n v="2"/>
    <n v="3.4620000000000002"/>
    <x v="4"/>
    <x v="3"/>
    <x v="4"/>
  </r>
  <r>
    <s v="CA-2017-157987"/>
    <d v="2017-09-02T00:00:00"/>
    <d v="2017-09-06T00:00:00"/>
    <x v="1"/>
    <s v="AC-10615"/>
    <s v="Ann Chong"/>
    <x v="1"/>
    <x v="13"/>
    <x v="7"/>
    <x v="2"/>
    <s v="FUR-TA-10001889"/>
    <s v="Furniture"/>
    <x v="2"/>
    <s v="Bush Advantage Collection Racetrack Conference Table"/>
    <n v="254.52600000000001"/>
    <n v="1"/>
    <n v="-93.3262"/>
    <x v="4"/>
    <x v="3"/>
    <x v="4"/>
  </r>
  <r>
    <s v="CA-2017-157987"/>
    <d v="2017-09-02T00:00:00"/>
    <d v="2017-09-06T00:00:00"/>
    <x v="1"/>
    <s v="AC-10615"/>
    <s v="Ann Chong"/>
    <x v="1"/>
    <x v="13"/>
    <x v="7"/>
    <x v="2"/>
    <s v="FUR-CH-10003379"/>
    <s v="Furniture"/>
    <x v="1"/>
    <s v="Global Commerce Series High-Back Swivel/Tilt Chairs"/>
    <n v="1282.4100000000001"/>
    <n v="5"/>
    <n v="213.73500000000001"/>
    <x v="4"/>
    <x v="3"/>
    <x v="4"/>
  </r>
  <r>
    <s v="CA-2014-110408"/>
    <d v="2014-10-18T00:00:00"/>
    <d v="2014-10-20T00:00:00"/>
    <x v="0"/>
    <s v="AS-10225"/>
    <s v="Alan Schoenberger"/>
    <x v="1"/>
    <x v="132"/>
    <x v="33"/>
    <x v="0"/>
    <s v="FUR-CH-10003774"/>
    <s v="Furniture"/>
    <x v="1"/>
    <s v="Global Wood Trimmed Manager's Task Chair, Khaki"/>
    <n v="545.88"/>
    <n v="6"/>
    <n v="70.964399999999998"/>
    <x v="3"/>
    <x v="2"/>
    <x v="1"/>
  </r>
  <r>
    <s v="CA-2016-112669"/>
    <d v="2016-04-14T00:00:00"/>
    <d v="2016-04-14T00:00:00"/>
    <x v="3"/>
    <s v="KT-16465"/>
    <s v="Kean Takahito"/>
    <x v="0"/>
    <x v="110"/>
    <x v="22"/>
    <x v="1"/>
    <s v="FUR-CH-10004086"/>
    <s v="Furniture"/>
    <x v="1"/>
    <s v="Hon 4070 Series Pagoda Armless Upholstered Stacking Chairs"/>
    <n v="933.53599999999994"/>
    <n v="4"/>
    <n v="105.0228"/>
    <x v="7"/>
    <x v="0"/>
    <x v="6"/>
  </r>
  <r>
    <s v="CA-2014-164721"/>
    <d v="2014-11-25T00:00:00"/>
    <d v="2014-11-27T00:00:00"/>
    <x v="0"/>
    <s v="LW-16825"/>
    <s v="Laurel Workman"/>
    <x v="1"/>
    <x v="133"/>
    <x v="2"/>
    <x v="1"/>
    <s v="FUR-FU-10001940"/>
    <s v="Furniture"/>
    <x v="3"/>
    <s v="Staple-based wall hangings"/>
    <n v="23.88"/>
    <n v="3"/>
    <n v="10.507199999999999"/>
    <x v="3"/>
    <x v="2"/>
    <x v="0"/>
  </r>
  <r>
    <s v="CA-2015-127509"/>
    <d v="2015-11-09T00:00:00"/>
    <d v="2015-11-13T00:00:00"/>
    <x v="1"/>
    <s v="AS-10090"/>
    <s v="Adam Shillingsburg"/>
    <x v="0"/>
    <x v="76"/>
    <x v="23"/>
    <x v="3"/>
    <s v="FUR-TA-10002855"/>
    <s v="Furniture"/>
    <x v="2"/>
    <s v="Bevis Round Conference Table Top &amp; Single Column Base"/>
    <n v="1024.3800000000001"/>
    <n v="7"/>
    <n v="215.1198"/>
    <x v="4"/>
    <x v="1"/>
    <x v="0"/>
  </r>
  <r>
    <s v="US-2017-147221"/>
    <d v="2017-12-02T00:00:00"/>
    <d v="2017-12-04T00:00:00"/>
    <x v="0"/>
    <s v="JS-16030"/>
    <s v="Joy Smith"/>
    <x v="0"/>
    <x v="6"/>
    <x v="5"/>
    <x v="3"/>
    <s v="FUR-FU-10004020"/>
    <s v="Furniture"/>
    <x v="3"/>
    <s v="Advantus Panel Wall Acrylic Frame"/>
    <n v="8.7520000000000007"/>
    <n v="4"/>
    <n v="-3.7195999999999998"/>
    <x v="3"/>
    <x v="3"/>
    <x v="5"/>
  </r>
  <r>
    <s v="CA-2017-163510"/>
    <d v="2017-12-25T00:00:00"/>
    <d v="2017-12-28T00:00:00"/>
    <x v="0"/>
    <s v="JW-15955"/>
    <s v="Joni Wasserman"/>
    <x v="0"/>
    <x v="74"/>
    <x v="0"/>
    <x v="0"/>
    <s v="FUR-CH-10001146"/>
    <s v="Furniture"/>
    <x v="1"/>
    <s v="Global Value Mid-Back Manager's Chair, Gray"/>
    <n v="304.45"/>
    <n v="5"/>
    <n v="76.112499999999997"/>
    <x v="0"/>
    <x v="3"/>
    <x v="5"/>
  </r>
  <r>
    <s v="CA-2017-165386"/>
    <d v="2017-08-03T00:00:00"/>
    <d v="2017-08-04T00:00:00"/>
    <x v="2"/>
    <s v="CM-12190"/>
    <s v="Charlotte Melton"/>
    <x v="0"/>
    <x v="9"/>
    <x v="8"/>
    <x v="3"/>
    <s v="FUR-BO-10003034"/>
    <s v="Furniture"/>
    <x v="0"/>
    <s v="O'Sullivan Elevations Bookcase, Cherry Finish"/>
    <n v="183.37200000000001"/>
    <n v="2"/>
    <n v="-36.674399999999999"/>
    <x v="5"/>
    <x v="3"/>
    <x v="10"/>
  </r>
  <r>
    <s v="CA-2016-145905"/>
    <d v="2016-09-18T00:00:00"/>
    <d v="2016-09-23T00:00:00"/>
    <x v="1"/>
    <s v="AM-10705"/>
    <s v="Anne McFarland"/>
    <x v="0"/>
    <x v="83"/>
    <x v="33"/>
    <x v="0"/>
    <s v="FUR-CH-10001854"/>
    <s v="Furniture"/>
    <x v="1"/>
    <s v="Office Star - Professional Matrix Back Chair with 2-to-1 Synchro Tilt and Mesh Fabric Seat"/>
    <n v="350.98"/>
    <n v="1"/>
    <n v="84.235200000000006"/>
    <x v="2"/>
    <x v="0"/>
    <x v="4"/>
  </r>
  <r>
    <s v="CA-2016-168354"/>
    <d v="2016-09-19T00:00:00"/>
    <d v="2016-09-21T00:00:00"/>
    <x v="2"/>
    <s v="RH-19510"/>
    <s v="Rick Huthwaite"/>
    <x v="2"/>
    <x v="134"/>
    <x v="38"/>
    <x v="2"/>
    <s v="FUR-CH-10004675"/>
    <s v="Furniture"/>
    <x v="1"/>
    <s v="Lifetime Advantage Folding Chairs, 4/Carton"/>
    <n v="872.32"/>
    <n v="4"/>
    <n v="244.24959999999999"/>
    <x v="3"/>
    <x v="0"/>
    <x v="4"/>
  </r>
  <r>
    <s v="CA-2015-114237"/>
    <d v="2015-03-13T00:00:00"/>
    <d v="2015-03-15T00:00:00"/>
    <x v="2"/>
    <s v="MC-17275"/>
    <s v="Marc Crier"/>
    <x v="0"/>
    <x v="15"/>
    <x v="13"/>
    <x v="1"/>
    <s v="FUR-BO-10004409"/>
    <s v="Furniture"/>
    <x v="0"/>
    <s v="Safco Value Mate Series Steel Bookcases, Baked Enamel Finish on Steel, Gray"/>
    <n v="141.96"/>
    <n v="2"/>
    <n v="39.748800000000003"/>
    <x v="3"/>
    <x v="1"/>
    <x v="9"/>
  </r>
  <r>
    <s v="CA-2017-162481"/>
    <d v="2017-09-25T00:00:00"/>
    <d v="2017-09-29T00:00:00"/>
    <x v="1"/>
    <s v="CT-11995"/>
    <s v="Carol Triggs"/>
    <x v="0"/>
    <x v="77"/>
    <x v="11"/>
    <x v="3"/>
    <s v="FUR-CH-10003061"/>
    <s v="Furniture"/>
    <x v="1"/>
    <s v="Global Leather Task Chair, Black"/>
    <n v="269.97000000000003"/>
    <n v="3"/>
    <n v="51.2943"/>
    <x v="4"/>
    <x v="3"/>
    <x v="4"/>
  </r>
  <r>
    <s v="CA-2015-122287"/>
    <d v="2015-06-18T00:00:00"/>
    <d v="2015-06-23T00:00:00"/>
    <x v="1"/>
    <s v="SN-20560"/>
    <s v="Skye Norling"/>
    <x v="2"/>
    <x v="117"/>
    <x v="22"/>
    <x v="1"/>
    <s v="FUR-FU-10004973"/>
    <s v="Furniture"/>
    <x v="3"/>
    <s v="Flat Face Poster Frame"/>
    <n v="75.36"/>
    <n v="5"/>
    <n v="20.724"/>
    <x v="2"/>
    <x v="1"/>
    <x v="2"/>
  </r>
  <r>
    <s v="CA-2015-142237"/>
    <d v="2015-07-11T00:00:00"/>
    <d v="2015-07-13T00:00:00"/>
    <x v="2"/>
    <s v="CK-12595"/>
    <s v="Clytie Kelty"/>
    <x v="0"/>
    <x v="3"/>
    <x v="3"/>
    <x v="2"/>
    <s v="FUR-FU-10004848"/>
    <s v="Furniture"/>
    <x v="3"/>
    <s v="Howard Miller 13-3/4&quot; Diameter Brushed Chrome Round Wall Clock"/>
    <n v="289.8"/>
    <n v="7"/>
    <n v="36.225000000000001"/>
    <x v="3"/>
    <x v="1"/>
    <x v="3"/>
  </r>
  <r>
    <s v="CA-2015-142237"/>
    <d v="2015-07-11T00:00:00"/>
    <d v="2015-07-13T00:00:00"/>
    <x v="2"/>
    <s v="CK-12595"/>
    <s v="Clytie Kelty"/>
    <x v="0"/>
    <x v="3"/>
    <x v="3"/>
    <x v="2"/>
    <s v="FUR-CH-10003833"/>
    <s v="Furniture"/>
    <x v="1"/>
    <s v="Novimex Fabric Task Chair"/>
    <n v="341.488"/>
    <n v="8"/>
    <n v="-73.176000000000002"/>
    <x v="3"/>
    <x v="1"/>
    <x v="3"/>
  </r>
  <r>
    <s v="CA-2015-142237"/>
    <d v="2015-07-11T00:00:00"/>
    <d v="2015-07-13T00:00:00"/>
    <x v="2"/>
    <s v="CK-12595"/>
    <s v="Clytie Kelty"/>
    <x v="0"/>
    <x v="3"/>
    <x v="3"/>
    <x v="2"/>
    <s v="FUR-FU-10003142"/>
    <s v="Furniture"/>
    <x v="3"/>
    <s v="Master Big Foot Doorstop, Beige"/>
    <n v="25.344000000000001"/>
    <n v="6"/>
    <n v="3.4847999999999999"/>
    <x v="3"/>
    <x v="1"/>
    <x v="3"/>
  </r>
  <r>
    <s v="CA-2016-136434"/>
    <d v="2016-12-01T00:00:00"/>
    <d v="2016-12-07T00:00:00"/>
    <x v="1"/>
    <s v="RD-19480"/>
    <s v="Rick Duston"/>
    <x v="0"/>
    <x v="52"/>
    <x v="6"/>
    <x v="3"/>
    <s v="FUR-FU-10001196"/>
    <s v="Furniture"/>
    <x v="3"/>
    <s v="DAX Cubicle Frames - 8x10"/>
    <n v="17.309999999999999"/>
    <n v="3"/>
    <n v="5.1929999999999996"/>
    <x v="6"/>
    <x v="0"/>
    <x v="5"/>
  </r>
  <r>
    <s v="CA-2017-120376"/>
    <d v="2017-12-22T00:00:00"/>
    <d v="2017-12-25T00:00:00"/>
    <x v="2"/>
    <s v="TP-21130"/>
    <s v="Theone Pippenger"/>
    <x v="0"/>
    <x v="25"/>
    <x v="17"/>
    <x v="3"/>
    <s v="FUR-CH-10002335"/>
    <s v="Furniture"/>
    <x v="1"/>
    <s v="Hon GuestStacker Chair"/>
    <n v="1586.69"/>
    <n v="7"/>
    <n v="412.5394"/>
    <x v="0"/>
    <x v="3"/>
    <x v="5"/>
  </r>
  <r>
    <s v="CA-2017-120376"/>
    <d v="2017-12-22T00:00:00"/>
    <d v="2017-12-25T00:00:00"/>
    <x v="2"/>
    <s v="TP-21130"/>
    <s v="Theone Pippenger"/>
    <x v="0"/>
    <x v="25"/>
    <x v="17"/>
    <x v="3"/>
    <s v="FUR-TA-10004534"/>
    <s v="Furniture"/>
    <x v="2"/>
    <s v="Bevis 44 x 96 Conference Tables"/>
    <n v="411.8"/>
    <n v="2"/>
    <n v="70.006"/>
    <x v="0"/>
    <x v="3"/>
    <x v="5"/>
  </r>
  <r>
    <s v="CA-2014-106439"/>
    <d v="2014-10-31T00:00:00"/>
    <d v="2014-11-04T00:00:00"/>
    <x v="1"/>
    <s v="GG-14650"/>
    <s v="Greg Guthrie"/>
    <x v="1"/>
    <x v="2"/>
    <x v="2"/>
    <x v="1"/>
    <s v="FUR-CH-10003833"/>
    <s v="Furniture"/>
    <x v="1"/>
    <s v="Novimex Fabric Task Chair"/>
    <n v="146.352"/>
    <n v="3"/>
    <n v="-9.1470000000000002"/>
    <x v="4"/>
    <x v="2"/>
    <x v="1"/>
  </r>
  <r>
    <s v="CA-2015-133452"/>
    <d v="2015-04-13T00:00:00"/>
    <d v="2015-04-19T00:00:00"/>
    <x v="1"/>
    <s v="ZC-21910"/>
    <s v="Zuschuss Carroll"/>
    <x v="0"/>
    <x v="135"/>
    <x v="2"/>
    <x v="1"/>
    <s v="FUR-TA-10003954"/>
    <s v="Furniture"/>
    <x v="2"/>
    <s v="Hon 94000 Series Round Tables"/>
    <n v="710.83199999999999"/>
    <n v="3"/>
    <n v="-97.739400000000003"/>
    <x v="6"/>
    <x v="1"/>
    <x v="6"/>
  </r>
  <r>
    <s v="US-2017-110996"/>
    <d v="2017-11-20T00:00:00"/>
    <d v="2017-11-25T00:00:00"/>
    <x v="1"/>
    <s v="KA-16525"/>
    <s v="Kelly Andreada"/>
    <x v="0"/>
    <x v="136"/>
    <x v="2"/>
    <x v="1"/>
    <s v="FUR-CH-10003956"/>
    <s v="Furniture"/>
    <x v="1"/>
    <s v="Novimex High-Tech Fabric Mesh Task Chair"/>
    <n v="283.92"/>
    <n v="5"/>
    <n v="-46.137"/>
    <x v="2"/>
    <x v="3"/>
    <x v="0"/>
  </r>
  <r>
    <s v="CA-2014-131051"/>
    <d v="2014-12-01T00:00:00"/>
    <d v="2014-12-05T00:00:00"/>
    <x v="1"/>
    <s v="TR-21325"/>
    <s v="Toby Ritter"/>
    <x v="0"/>
    <x v="28"/>
    <x v="2"/>
    <x v="1"/>
    <s v="FUR-FU-10001861"/>
    <s v="Furniture"/>
    <x v="3"/>
    <s v="Floodlight Indoor Halogen Bulbs, 1 Bulb per Pack, 60 Watts"/>
    <n v="58.2"/>
    <n v="3"/>
    <n v="28.518000000000001"/>
    <x v="4"/>
    <x v="2"/>
    <x v="5"/>
  </r>
  <r>
    <s v="CA-2015-120103"/>
    <d v="2015-12-24T00:00:00"/>
    <d v="2015-12-29T00:00:00"/>
    <x v="1"/>
    <s v="MS-17365"/>
    <s v="Maribeth Schnelling"/>
    <x v="0"/>
    <x v="43"/>
    <x v="22"/>
    <x v="1"/>
    <s v="FUR-FU-10002885"/>
    <s v="Furniture"/>
    <x v="3"/>
    <s v="Magna Visual Magnetic Picture Hangers"/>
    <n v="7.7119999999999997"/>
    <n v="2"/>
    <n v="1.7352000000000001"/>
    <x v="2"/>
    <x v="1"/>
    <x v="5"/>
  </r>
  <r>
    <s v="CA-2017-166142"/>
    <d v="2017-07-15T00:00:00"/>
    <d v="2017-07-19T00:00:00"/>
    <x v="1"/>
    <s v="MM-17260"/>
    <s v="Magdelene Morse"/>
    <x v="0"/>
    <x v="16"/>
    <x v="14"/>
    <x v="2"/>
    <s v="FUR-TA-10004607"/>
    <s v="Furniture"/>
    <x v="2"/>
    <s v="Hon 2111 Invitation Series Straight Table"/>
    <n v="310.44299999999998"/>
    <n v="3"/>
    <n v="-48.783900000000003"/>
    <x v="4"/>
    <x v="3"/>
    <x v="3"/>
  </r>
  <r>
    <s v="CA-2014-145926"/>
    <d v="2014-11-17T00:00:00"/>
    <d v="2014-11-21T00:00:00"/>
    <x v="1"/>
    <s v="MP-17470"/>
    <s v="Mark Packer"/>
    <x v="2"/>
    <x v="137"/>
    <x v="11"/>
    <x v="3"/>
    <s v="FUR-CH-10004289"/>
    <s v="Furniture"/>
    <x v="1"/>
    <s v="Global Super Steno Chair"/>
    <n v="479.9"/>
    <n v="5"/>
    <n v="81.582999999999998"/>
    <x v="4"/>
    <x v="2"/>
    <x v="0"/>
  </r>
  <r>
    <s v="CA-2014-123295"/>
    <d v="2014-07-18T00:00:00"/>
    <d v="2014-07-18T00:00:00"/>
    <x v="3"/>
    <s v="AH-10120"/>
    <s v="Adrian Hane"/>
    <x v="2"/>
    <x v="104"/>
    <x v="22"/>
    <x v="1"/>
    <s v="FUR-CH-10002372"/>
    <s v="Furniture"/>
    <x v="1"/>
    <s v="Office Star - Ergonomically Designed Knee Chair"/>
    <n v="259.13600000000002"/>
    <n v="4"/>
    <n v="-25.913599999999999"/>
    <x v="7"/>
    <x v="2"/>
    <x v="3"/>
  </r>
  <r>
    <s v="CA-2015-164882"/>
    <d v="2015-10-31T00:00:00"/>
    <d v="2015-10-31T00:00:00"/>
    <x v="3"/>
    <s v="SG-20080"/>
    <s v="Sandra Glassco"/>
    <x v="0"/>
    <x v="138"/>
    <x v="2"/>
    <x v="1"/>
    <s v="FUR-CH-10004218"/>
    <s v="Furniture"/>
    <x v="1"/>
    <s v="Global Fabric Manager's Chair, Dark Gray"/>
    <n v="323.13600000000002"/>
    <n v="4"/>
    <n v="20.196000000000002"/>
    <x v="7"/>
    <x v="1"/>
    <x v="1"/>
  </r>
  <r>
    <s v="CA-2015-164882"/>
    <d v="2015-10-31T00:00:00"/>
    <d v="2015-10-31T00:00:00"/>
    <x v="3"/>
    <s v="SG-20080"/>
    <s v="Sandra Glassco"/>
    <x v="0"/>
    <x v="138"/>
    <x v="2"/>
    <x v="1"/>
    <s v="FUR-BO-10002213"/>
    <s v="Furniture"/>
    <x v="0"/>
    <s v="DMI Eclipse Executive Suite Bookcases"/>
    <n v="425.83300000000003"/>
    <n v="1"/>
    <n v="20.039200000000001"/>
    <x v="7"/>
    <x v="1"/>
    <x v="1"/>
  </r>
  <r>
    <s v="CA-2015-159786"/>
    <d v="2015-10-12T00:00:00"/>
    <d v="2015-10-17T00:00:00"/>
    <x v="0"/>
    <s v="RK-19300"/>
    <s v="Ralph Kennedy"/>
    <x v="0"/>
    <x v="77"/>
    <x v="7"/>
    <x v="2"/>
    <s v="FUR-TA-10001307"/>
    <s v="Furniture"/>
    <x v="2"/>
    <s v="SAFCO PlanMaster Heigh-Adjustable Drafting Table Base, 43w x 30d x 30-37h, Black"/>
    <n v="209.67"/>
    <n v="1"/>
    <n v="-13.978"/>
    <x v="2"/>
    <x v="1"/>
    <x v="1"/>
  </r>
  <r>
    <s v="CA-2017-158246"/>
    <d v="2017-11-09T00:00:00"/>
    <d v="2017-11-11T00:00:00"/>
    <x v="2"/>
    <s v="JB-15400"/>
    <s v="Jennifer Braxton"/>
    <x v="1"/>
    <x v="139"/>
    <x v="2"/>
    <x v="1"/>
    <s v="FUR-CH-10003061"/>
    <s v="Furniture"/>
    <x v="1"/>
    <s v="Global Leather Task Chair, Black"/>
    <n v="215.976"/>
    <n v="3"/>
    <n v="-2.6997"/>
    <x v="3"/>
    <x v="3"/>
    <x v="0"/>
  </r>
  <r>
    <s v="CA-2017-167381"/>
    <d v="2017-09-22T00:00:00"/>
    <d v="2017-09-24T00:00:00"/>
    <x v="0"/>
    <s v="EH-14005"/>
    <s v="Erica Hernandez"/>
    <x v="2"/>
    <x v="140"/>
    <x v="17"/>
    <x v="3"/>
    <s v="FUR-BO-10001972"/>
    <s v="Furniture"/>
    <x v="0"/>
    <s v="O'Sullivan 4-Shelf Bookcase in Odessa Pine"/>
    <n v="241.96"/>
    <n v="2"/>
    <n v="41.133200000000002"/>
    <x v="3"/>
    <x v="3"/>
    <x v="4"/>
  </r>
  <r>
    <s v="CA-2015-134859"/>
    <d v="2015-10-04T00:00:00"/>
    <d v="2015-10-09T00:00:00"/>
    <x v="1"/>
    <s v="JK-16120"/>
    <s v="Julie Kriz"/>
    <x v="2"/>
    <x v="3"/>
    <x v="3"/>
    <x v="2"/>
    <s v="FUR-FU-10003623"/>
    <s v="Furniture"/>
    <x v="3"/>
    <s v="DataProducts Ampli Magnifier Task Lamp, Black,"/>
    <n v="64.944000000000003"/>
    <n v="3"/>
    <n v="6.4943999999999997"/>
    <x v="2"/>
    <x v="1"/>
    <x v="1"/>
  </r>
  <r>
    <s v="US-2014-114188"/>
    <d v="2014-05-20T00:00:00"/>
    <d v="2014-05-22T00:00:00"/>
    <x v="0"/>
    <s v="RF-19345"/>
    <s v="Randy Ferguson"/>
    <x v="1"/>
    <x v="63"/>
    <x v="28"/>
    <x v="2"/>
    <s v="FUR-FU-10000076"/>
    <s v="Furniture"/>
    <x v="3"/>
    <s v="24-Hour Round Wall Clock"/>
    <n v="139.86000000000001"/>
    <n v="7"/>
    <n v="60.139800000000001"/>
    <x v="3"/>
    <x v="2"/>
    <x v="7"/>
  </r>
  <r>
    <s v="CA-2015-156377"/>
    <d v="2015-12-31T00:00:00"/>
    <d v="2016-01-05T00:00:00"/>
    <x v="1"/>
    <s v="TB-21625"/>
    <s v="Trudy Brown"/>
    <x v="0"/>
    <x v="141"/>
    <x v="5"/>
    <x v="3"/>
    <s v="FUR-FU-10002364"/>
    <s v="Furniture"/>
    <x v="3"/>
    <s v="Eldon Expressions Wood Desk Accessories, Oak"/>
    <n v="14.76"/>
    <n v="5"/>
    <n v="-11.439"/>
    <x v="2"/>
    <x v="1"/>
    <x v="5"/>
  </r>
  <r>
    <s v="CA-2014-159520"/>
    <d v="2014-06-06T00:00:00"/>
    <d v="2014-06-11T00:00:00"/>
    <x v="1"/>
    <s v="GT-14635"/>
    <s v="Grant Thornton"/>
    <x v="1"/>
    <x v="62"/>
    <x v="7"/>
    <x v="2"/>
    <s v="FUR-TA-10003238"/>
    <s v="Furniture"/>
    <x v="2"/>
    <s v="Chromcraft Bull-Nose Wood 48&quot; x 96&quot; Rectangular Conference Tables"/>
    <n v="991.76400000000001"/>
    <n v="3"/>
    <n v="-347.11739999999998"/>
    <x v="2"/>
    <x v="2"/>
    <x v="2"/>
  </r>
  <r>
    <s v="US-2016-152051"/>
    <d v="2016-06-25T00:00:00"/>
    <d v="2016-06-29T00:00:00"/>
    <x v="1"/>
    <s v="TS-21160"/>
    <s v="Theresa Swint"/>
    <x v="1"/>
    <x v="142"/>
    <x v="3"/>
    <x v="2"/>
    <s v="FUR-CH-10002965"/>
    <s v="Furniture"/>
    <x v="1"/>
    <s v="Global Leather Highback Executive Chair with Pneumatic Height Adjustment, Black"/>
    <n v="422.05799999999999"/>
    <n v="3"/>
    <n v="-18.088200000000001"/>
    <x v="4"/>
    <x v="0"/>
    <x v="2"/>
  </r>
  <r>
    <s v="CA-2014-141607"/>
    <d v="2014-12-12T00:00:00"/>
    <d v="2014-12-17T00:00:00"/>
    <x v="1"/>
    <s v="WB-21850"/>
    <s v="William Brown"/>
    <x v="0"/>
    <x v="41"/>
    <x v="2"/>
    <x v="1"/>
    <s v="FUR-FU-10003975"/>
    <s v="Furniture"/>
    <x v="3"/>
    <s v="Eldon Advantage Chair Mats for Low to Medium Pile Carpets"/>
    <n v="43.31"/>
    <n v="1"/>
    <n v="4.3310000000000004"/>
    <x v="2"/>
    <x v="2"/>
    <x v="5"/>
  </r>
  <r>
    <s v="US-2017-139969"/>
    <d v="2017-11-19T00:00:00"/>
    <d v="2017-11-26T00:00:00"/>
    <x v="1"/>
    <s v="AF-10870"/>
    <s v="Art Ferguson"/>
    <x v="0"/>
    <x v="143"/>
    <x v="5"/>
    <x v="3"/>
    <s v="FUR-CH-10001973"/>
    <s v="Furniture"/>
    <x v="1"/>
    <s v="Office Star Flex Back Scooter Chair with White Frame"/>
    <n v="233.05799999999999"/>
    <n v="3"/>
    <n v="-53.270400000000002"/>
    <x v="1"/>
    <x v="3"/>
    <x v="0"/>
  </r>
  <r>
    <s v="US-2016-120460"/>
    <d v="2016-04-30T00:00:00"/>
    <d v="2016-05-05T00:00:00"/>
    <x v="1"/>
    <s v="BF-11170"/>
    <s v="Ben Ferrer"/>
    <x v="2"/>
    <x v="144"/>
    <x v="5"/>
    <x v="3"/>
    <s v="FUR-FU-10004973"/>
    <s v="Furniture"/>
    <x v="3"/>
    <s v="Flat Face Poster Frame"/>
    <n v="22.608000000000001"/>
    <n v="3"/>
    <n v="-10.1736"/>
    <x v="2"/>
    <x v="0"/>
    <x v="6"/>
  </r>
  <r>
    <s v="CA-2016-141019"/>
    <d v="2016-05-14T00:00:00"/>
    <d v="2016-05-14T00:00:00"/>
    <x v="3"/>
    <s v="LH-17155"/>
    <s v="Logan Haushalter"/>
    <x v="0"/>
    <x v="145"/>
    <x v="15"/>
    <x v="2"/>
    <s v="FUR-FU-10002937"/>
    <s v="Furniture"/>
    <x v="3"/>
    <s v="GE 48&quot; Fluorescent Tube, Cool White Energy Saver, 34 Watts, 30/Box"/>
    <n v="79.384"/>
    <n v="1"/>
    <n v="29.768999999999998"/>
    <x v="7"/>
    <x v="0"/>
    <x v="7"/>
  </r>
  <r>
    <s v="CA-2016-154018"/>
    <d v="2016-10-13T00:00:00"/>
    <d v="2016-10-19T00:00:00"/>
    <x v="1"/>
    <s v="HA-14920"/>
    <s v="Helen Andreada"/>
    <x v="0"/>
    <x v="146"/>
    <x v="5"/>
    <x v="3"/>
    <s v="FUR-FU-10003394"/>
    <s v="Furniture"/>
    <x v="3"/>
    <s v="Tenex &quot;The Solids&quot; Textured Chair Mats"/>
    <n v="139.91999999999999"/>
    <n v="5"/>
    <n v="-150.41399999999999"/>
    <x v="6"/>
    <x v="0"/>
    <x v="1"/>
  </r>
  <r>
    <s v="US-2017-137491"/>
    <d v="2017-11-19T00:00:00"/>
    <d v="2017-11-25T00:00:00"/>
    <x v="1"/>
    <s v="LC-16930"/>
    <s v="Linda Cazamias"/>
    <x v="1"/>
    <x v="147"/>
    <x v="5"/>
    <x v="3"/>
    <s v="FUR-CH-10004675"/>
    <s v="Furniture"/>
    <x v="1"/>
    <s v="Lifetime Advantage Folding Chairs, 4/Carton"/>
    <n v="305.31200000000001"/>
    <n v="2"/>
    <n v="-8.7232000000000003"/>
    <x v="6"/>
    <x v="3"/>
    <x v="0"/>
  </r>
  <r>
    <s v="CA-2016-128818"/>
    <d v="2016-05-07T00:00:00"/>
    <d v="2016-05-11T00:00:00"/>
    <x v="1"/>
    <s v="CJ-12010"/>
    <s v="Caroline Jumper"/>
    <x v="0"/>
    <x v="13"/>
    <x v="7"/>
    <x v="2"/>
    <s v="FUR-CH-10002084"/>
    <s v="Furniture"/>
    <x v="1"/>
    <s v="Hon Mobius Operator's Chair"/>
    <n v="442.76400000000001"/>
    <n v="4"/>
    <n v="59.035200000000003"/>
    <x v="4"/>
    <x v="0"/>
    <x v="7"/>
  </r>
  <r>
    <s v="CA-2016-128818"/>
    <d v="2016-05-07T00:00:00"/>
    <d v="2016-05-11T00:00:00"/>
    <x v="1"/>
    <s v="CJ-12010"/>
    <s v="Caroline Jumper"/>
    <x v="0"/>
    <x v="13"/>
    <x v="7"/>
    <x v="2"/>
    <s v="FUR-FU-10001940"/>
    <s v="Furniture"/>
    <x v="3"/>
    <s v="Staple-based wall hangings"/>
    <n v="63.68"/>
    <n v="8"/>
    <n v="28.019200000000001"/>
    <x v="4"/>
    <x v="0"/>
    <x v="7"/>
  </r>
  <r>
    <s v="CA-2017-143063"/>
    <d v="2017-08-10T00:00:00"/>
    <d v="2017-08-15T00:00:00"/>
    <x v="1"/>
    <s v="IL-15100"/>
    <s v="Ivan Liston"/>
    <x v="0"/>
    <x v="29"/>
    <x v="6"/>
    <x v="3"/>
    <s v="FUR-FU-10003708"/>
    <s v="Furniture"/>
    <x v="3"/>
    <s v="Tenex Traditional Chairmats for Medium Pile Carpet, Standard Lip, 36&quot; x 48&quot;"/>
    <n v="121.3"/>
    <n v="2"/>
    <n v="25.472999999999999"/>
    <x v="2"/>
    <x v="3"/>
    <x v="10"/>
  </r>
  <r>
    <s v="US-2014-165659"/>
    <d v="2014-06-01T00:00:00"/>
    <d v="2014-06-06T00:00:00"/>
    <x v="1"/>
    <s v="LT-17110"/>
    <s v="Liz Thompson"/>
    <x v="0"/>
    <x v="148"/>
    <x v="31"/>
    <x v="0"/>
    <s v="FUR-FU-10001935"/>
    <s v="Furniture"/>
    <x v="3"/>
    <s v="3M Hangers With Command Adhesive"/>
    <n v="22.2"/>
    <n v="6"/>
    <n v="9.1020000000000003"/>
    <x v="2"/>
    <x v="2"/>
    <x v="2"/>
  </r>
  <r>
    <s v="CA-2015-138002"/>
    <d v="2015-09-06T00:00:00"/>
    <d v="2015-09-12T00:00:00"/>
    <x v="1"/>
    <s v="BT-11305"/>
    <s v="Beth Thompson"/>
    <x v="2"/>
    <x v="15"/>
    <x v="13"/>
    <x v="1"/>
    <s v="FUR-FU-10004748"/>
    <s v="Furniture"/>
    <x v="3"/>
    <s v="Howard Miller 16&quot; Diameter Gallery Wall Clock"/>
    <n v="191.82"/>
    <n v="3"/>
    <n v="74.809799999999996"/>
    <x v="6"/>
    <x v="1"/>
    <x v="4"/>
  </r>
  <r>
    <s v="CA-2015-128860"/>
    <d v="2015-06-29T00:00:00"/>
    <d v="2015-07-05T00:00:00"/>
    <x v="1"/>
    <s v="SC-20725"/>
    <s v="Steven Cartwright"/>
    <x v="0"/>
    <x v="68"/>
    <x v="3"/>
    <x v="2"/>
    <s v="FUR-FU-10001473"/>
    <s v="Furniture"/>
    <x v="3"/>
    <s v="Eldon Executive Woodline II Desk Accessories, Mahogany"/>
    <n v="20.103999999999999"/>
    <n v="1"/>
    <n v="1.7591000000000001"/>
    <x v="6"/>
    <x v="1"/>
    <x v="2"/>
  </r>
  <r>
    <s v="CA-2017-107874"/>
    <d v="2017-11-21T00:00:00"/>
    <d v="2017-11-25T00:00:00"/>
    <x v="1"/>
    <s v="SW-20275"/>
    <s v="Scott Williamson"/>
    <x v="0"/>
    <x v="13"/>
    <x v="7"/>
    <x v="2"/>
    <s v="FUR-FU-10003535"/>
    <s v="Furniture"/>
    <x v="3"/>
    <s v="Howard Miller Distant Time Traveler Alarm Clock"/>
    <n v="27.42"/>
    <n v="1"/>
    <n v="11.2422"/>
    <x v="4"/>
    <x v="3"/>
    <x v="0"/>
  </r>
  <r>
    <s v="CA-2017-129378"/>
    <d v="2017-10-01T00:00:00"/>
    <d v="2017-10-02T00:00:00"/>
    <x v="2"/>
    <s v="NS-18505"/>
    <s v="Neola Schneider"/>
    <x v="0"/>
    <x v="124"/>
    <x v="2"/>
    <x v="1"/>
    <s v="FUR-CH-10000553"/>
    <s v="Furniture"/>
    <x v="1"/>
    <s v="Metal Folding Chairs, Beige, 4/Carton"/>
    <n v="108.608"/>
    <n v="4"/>
    <n v="9.5031999999999996"/>
    <x v="5"/>
    <x v="3"/>
    <x v="1"/>
  </r>
  <r>
    <s v="CA-2015-131884"/>
    <d v="2015-12-06T00:00:00"/>
    <d v="2015-12-06T00:00:00"/>
    <x v="3"/>
    <s v="DK-13375"/>
    <s v="Dennis Kane"/>
    <x v="0"/>
    <x v="149"/>
    <x v="15"/>
    <x v="2"/>
    <s v="FUR-CH-10004860"/>
    <s v="Furniture"/>
    <x v="1"/>
    <s v="Global Low Back Tilter Chair"/>
    <n v="70.686000000000007"/>
    <n v="1"/>
    <n v="-24.235199999999999"/>
    <x v="7"/>
    <x v="1"/>
    <x v="5"/>
  </r>
  <r>
    <s v="CA-2016-106383"/>
    <d v="2016-03-19T00:00:00"/>
    <d v="2016-03-21T00:00:00"/>
    <x v="0"/>
    <s v="BT-11440"/>
    <s v="Bobby Trafton"/>
    <x v="0"/>
    <x v="150"/>
    <x v="12"/>
    <x v="1"/>
    <s v="FUR-BO-10002202"/>
    <s v="Furniture"/>
    <x v="0"/>
    <s v="Atlantic Metals Mobile 2-Shelf Bookcases, Custom Colors"/>
    <n v="72.293999999999997"/>
    <n v="1"/>
    <n v="-98.8018"/>
    <x v="3"/>
    <x v="0"/>
    <x v="9"/>
  </r>
  <r>
    <s v="CA-2016-139157"/>
    <d v="2016-10-01T00:00:00"/>
    <d v="2016-10-05T00:00:00"/>
    <x v="1"/>
    <s v="GM-14680"/>
    <s v="Greg Matthias"/>
    <x v="0"/>
    <x v="13"/>
    <x v="7"/>
    <x v="2"/>
    <s v="FUR-TA-10003238"/>
    <s v="Furniture"/>
    <x v="2"/>
    <s v="Chromcraft Bull-Nose Wood 48&quot; x 96&quot; Rectangular Conference Tables"/>
    <n v="330.58800000000002"/>
    <n v="1"/>
    <n v="-115.7058"/>
    <x v="4"/>
    <x v="0"/>
    <x v="1"/>
  </r>
  <r>
    <s v="CA-2017-157091"/>
    <d v="2017-06-26T00:00:00"/>
    <d v="2017-07-01T00:00:00"/>
    <x v="1"/>
    <s v="DB-13405"/>
    <s v="Denny Blanton"/>
    <x v="0"/>
    <x v="101"/>
    <x v="6"/>
    <x v="3"/>
    <s v="FUR-FU-10000293"/>
    <s v="Furniture"/>
    <x v="3"/>
    <s v="Eldon Antistatic Chair Mats for Low to Medium Pile Carpets"/>
    <n v="526.45000000000005"/>
    <n v="5"/>
    <n v="31.587"/>
    <x v="2"/>
    <x v="3"/>
    <x v="2"/>
  </r>
  <r>
    <s v="CA-2017-166849"/>
    <d v="2017-04-20T00:00:00"/>
    <d v="2017-04-26T00:00:00"/>
    <x v="1"/>
    <s v="SJ-20125"/>
    <s v="Sanjit Jacobs"/>
    <x v="2"/>
    <x v="9"/>
    <x v="8"/>
    <x v="3"/>
    <s v="FUR-FU-10004597"/>
    <s v="Furniture"/>
    <x v="3"/>
    <s v="Eldon Cleatmat Chair Mats for Medium Pile Carpets"/>
    <n v="44.4"/>
    <n v="2"/>
    <n v="-52.17"/>
    <x v="6"/>
    <x v="3"/>
    <x v="6"/>
  </r>
  <r>
    <s v="CA-2016-164091"/>
    <d v="2016-09-17T00:00:00"/>
    <d v="2016-09-22T00:00:00"/>
    <x v="1"/>
    <s v="LA-16780"/>
    <s v="Laura Armstrong"/>
    <x v="1"/>
    <x v="151"/>
    <x v="39"/>
    <x v="2"/>
    <s v="FUR-FU-10004952"/>
    <s v="Furniture"/>
    <x v="3"/>
    <s v="C-Line Cubicle Keepers Polyproplyene Holder w/Velcro Back, 8-1/2x11, 25/Bx"/>
    <n v="109.48"/>
    <n v="2"/>
    <n v="33.938800000000001"/>
    <x v="2"/>
    <x v="0"/>
    <x v="4"/>
  </r>
  <r>
    <s v="CA-2017-105214"/>
    <d v="2017-06-16T00:00:00"/>
    <d v="2017-06-19T00:00:00"/>
    <x v="2"/>
    <s v="TS-21610"/>
    <s v="Troy Staebel"/>
    <x v="0"/>
    <x v="28"/>
    <x v="2"/>
    <x v="1"/>
    <s v="FUR-CH-10000015"/>
    <s v="Furniture"/>
    <x v="1"/>
    <s v="Hon Multipurpose Stacking Arm Chairs"/>
    <n v="1212.96"/>
    <n v="7"/>
    <n v="90.971999999999994"/>
    <x v="0"/>
    <x v="3"/>
    <x v="2"/>
  </r>
  <r>
    <s v="CA-2017-122994"/>
    <d v="2017-02-06T00:00:00"/>
    <d v="2017-02-09T00:00:00"/>
    <x v="2"/>
    <s v="MV-17485"/>
    <s v="Mark Van Huff"/>
    <x v="0"/>
    <x v="58"/>
    <x v="25"/>
    <x v="0"/>
    <s v="FUR-BO-10004015"/>
    <s v="Furniture"/>
    <x v="0"/>
    <s v="Bush Andora Bookcase, Maple/Graphite Gray Finish"/>
    <n v="359.97"/>
    <n v="3"/>
    <n v="79.193399999999997"/>
    <x v="0"/>
    <x v="3"/>
    <x v="11"/>
  </r>
  <r>
    <s v="CA-2015-142944"/>
    <d v="2015-03-06T00:00:00"/>
    <d v="2015-03-11T00:00:00"/>
    <x v="1"/>
    <s v="JL-15850"/>
    <s v="John Lucas"/>
    <x v="0"/>
    <x v="28"/>
    <x v="2"/>
    <x v="1"/>
    <s v="FUR-FU-10000308"/>
    <s v="Furniture"/>
    <x v="3"/>
    <s v="Deflect-o Glass Clear Studded Chair Mats"/>
    <n v="435.26"/>
    <n v="7"/>
    <n v="95.757199999999997"/>
    <x v="2"/>
    <x v="1"/>
    <x v="9"/>
  </r>
  <r>
    <s v="CA-2014-157882"/>
    <d v="2014-10-03T00:00:00"/>
    <d v="2014-10-08T00:00:00"/>
    <x v="0"/>
    <s v="AR-10405"/>
    <s v="Allen Rosenblatt"/>
    <x v="1"/>
    <x v="2"/>
    <x v="2"/>
    <x v="1"/>
    <s v="FUR-TA-10001866"/>
    <s v="Furniture"/>
    <x v="2"/>
    <s v="Bevis Round Conference Room Tables and Bases"/>
    <n v="143.43199999999999"/>
    <n v="1"/>
    <n v="3.5857999999999999"/>
    <x v="2"/>
    <x v="2"/>
    <x v="1"/>
  </r>
  <r>
    <s v="CA-2014-157882"/>
    <d v="2014-10-03T00:00:00"/>
    <d v="2014-10-08T00:00:00"/>
    <x v="0"/>
    <s v="AR-10405"/>
    <s v="Allen Rosenblatt"/>
    <x v="1"/>
    <x v="2"/>
    <x v="2"/>
    <x v="1"/>
    <s v="FUR-CH-10002774"/>
    <s v="Furniture"/>
    <x v="1"/>
    <s v="Global Deluxe Stacking Chair, Gray"/>
    <n v="122.352"/>
    <n v="3"/>
    <n v="13.7646"/>
    <x v="2"/>
    <x v="2"/>
    <x v="1"/>
  </r>
  <r>
    <s v="CA-2014-104283"/>
    <d v="2014-06-27T00:00:00"/>
    <d v="2014-07-01T00:00:00"/>
    <x v="1"/>
    <s v="LM-17065"/>
    <s v="Liz MacKendrick"/>
    <x v="0"/>
    <x v="152"/>
    <x v="21"/>
    <x v="0"/>
    <s v="FUR-TA-10001039"/>
    <s v="Furniture"/>
    <x v="2"/>
    <s v="KI Adjustable-Height Table"/>
    <n v="85.98"/>
    <n v="1"/>
    <n v="22.354800000000001"/>
    <x v="4"/>
    <x v="2"/>
    <x v="2"/>
  </r>
  <r>
    <s v="CA-2017-142622"/>
    <d v="2017-10-30T00:00:00"/>
    <d v="2017-11-02T00:00:00"/>
    <x v="2"/>
    <s v="JK-15625"/>
    <s v="Jim Karlsson"/>
    <x v="0"/>
    <x v="15"/>
    <x v="13"/>
    <x v="1"/>
    <s v="FUR-CH-10003833"/>
    <s v="Furniture"/>
    <x v="1"/>
    <s v="Novimex Fabric Task Chair"/>
    <n v="97.567999999999998"/>
    <n v="2"/>
    <n v="-6.0979999999999999"/>
    <x v="0"/>
    <x v="3"/>
    <x v="1"/>
  </r>
  <r>
    <s v="CA-2017-142622"/>
    <d v="2017-10-30T00:00:00"/>
    <d v="2017-11-02T00:00:00"/>
    <x v="2"/>
    <s v="JK-15625"/>
    <s v="Jim Karlsson"/>
    <x v="0"/>
    <x v="15"/>
    <x v="13"/>
    <x v="1"/>
    <s v="FUR-CH-10004289"/>
    <s v="Furniture"/>
    <x v="1"/>
    <s v="Global Super Steno Chair"/>
    <n v="614.27200000000005"/>
    <n v="8"/>
    <n v="-23.0352"/>
    <x v="0"/>
    <x v="3"/>
    <x v="1"/>
  </r>
  <r>
    <s v="CA-2017-142622"/>
    <d v="2017-10-30T00:00:00"/>
    <d v="2017-11-02T00:00:00"/>
    <x v="2"/>
    <s v="JK-15625"/>
    <s v="Jim Karlsson"/>
    <x v="0"/>
    <x v="15"/>
    <x v="13"/>
    <x v="1"/>
    <s v="FUR-BO-10004467"/>
    <s v="Furniture"/>
    <x v="0"/>
    <s v="Bestar Classic Bookcase"/>
    <n v="199.98"/>
    <n v="2"/>
    <n v="37.996200000000002"/>
    <x v="0"/>
    <x v="3"/>
    <x v="1"/>
  </r>
  <r>
    <s v="CA-2017-115154"/>
    <d v="2017-01-08T00:00:00"/>
    <d v="2017-01-11T00:00:00"/>
    <x v="2"/>
    <s v="RS-19420"/>
    <s v="Ricardo Sperren"/>
    <x v="1"/>
    <x v="15"/>
    <x v="13"/>
    <x v="1"/>
    <s v="FUR-TA-10001950"/>
    <s v="Furniture"/>
    <x v="2"/>
    <s v="Balt Solid Wood Round Tables"/>
    <n v="892.98"/>
    <n v="2"/>
    <n v="80.368200000000002"/>
    <x v="0"/>
    <x v="3"/>
    <x v="8"/>
  </r>
  <r>
    <s v="CA-2015-149342"/>
    <d v="2015-04-20T00:00:00"/>
    <d v="2015-04-25T00:00:00"/>
    <x v="1"/>
    <s v="TS-21160"/>
    <s v="Theresa Swint"/>
    <x v="1"/>
    <x v="29"/>
    <x v="24"/>
    <x v="0"/>
    <s v="FUR-FU-10002937"/>
    <s v="Furniture"/>
    <x v="3"/>
    <s v="GE 48&quot; Fluorescent Tube, Cool White Energy Saver, 34 Watts, 30/Box"/>
    <n v="595.38"/>
    <n v="6"/>
    <n v="297.69"/>
    <x v="2"/>
    <x v="1"/>
    <x v="6"/>
  </r>
  <r>
    <s v="CA-2017-127929"/>
    <d v="2017-12-23T00:00:00"/>
    <d v="2017-12-27T00:00:00"/>
    <x v="1"/>
    <s v="FM-14215"/>
    <s v="Filia McAdams"/>
    <x v="1"/>
    <x v="108"/>
    <x v="19"/>
    <x v="2"/>
    <s v="FUR-FU-10003708"/>
    <s v="Furniture"/>
    <x v="3"/>
    <s v="Tenex Traditional Chairmats for Medium Pile Carpet, Standard Lip, 36&quot; x 48&quot;"/>
    <n v="181.95"/>
    <n v="3"/>
    <n v="38.209499999999998"/>
    <x v="4"/>
    <x v="3"/>
    <x v="5"/>
  </r>
  <r>
    <s v="CA-2015-113145"/>
    <d v="2015-11-01T00:00:00"/>
    <d v="2015-11-05T00:00:00"/>
    <x v="1"/>
    <s v="VD-21670"/>
    <s v="Valerie Dominguez"/>
    <x v="0"/>
    <x v="13"/>
    <x v="7"/>
    <x v="2"/>
    <s v="FUR-FU-10000965"/>
    <s v="Furniture"/>
    <x v="3"/>
    <s v="Howard Miller 11-1/2&quot; Diameter Ridgewood Wall Clock"/>
    <n v="259.7"/>
    <n v="5"/>
    <n v="106.477"/>
    <x v="4"/>
    <x v="1"/>
    <x v="0"/>
  </r>
  <r>
    <s v="CA-2017-157931"/>
    <d v="2017-09-17T00:00:00"/>
    <d v="2017-09-22T00:00:00"/>
    <x v="0"/>
    <s v="MO-17800"/>
    <s v="Meg O'Connel"/>
    <x v="2"/>
    <x v="153"/>
    <x v="24"/>
    <x v="0"/>
    <s v="FUR-CH-10000785"/>
    <s v="Furniture"/>
    <x v="1"/>
    <s v="Global Ergonomic Managers Chair"/>
    <n v="723.92"/>
    <n v="4"/>
    <n v="188.2192"/>
    <x v="2"/>
    <x v="3"/>
    <x v="4"/>
  </r>
  <r>
    <s v="CA-2016-115574"/>
    <d v="2016-12-23T00:00:00"/>
    <d v="2016-12-24T00:00:00"/>
    <x v="2"/>
    <s v="BP-11185"/>
    <s v="Ben Peterman"/>
    <x v="1"/>
    <x v="9"/>
    <x v="8"/>
    <x v="3"/>
    <s v="FUR-BO-10003441"/>
    <s v="Furniture"/>
    <x v="0"/>
    <s v="Bush Westfield Collection Bookcases, Fully Assembled"/>
    <n v="141.37200000000001"/>
    <n v="2"/>
    <n v="-14.1372"/>
    <x v="5"/>
    <x v="0"/>
    <x v="5"/>
  </r>
  <r>
    <s v="US-2017-120418"/>
    <d v="2017-06-11T00:00:00"/>
    <d v="2017-06-12T00:00:00"/>
    <x v="2"/>
    <s v="BC-11125"/>
    <s v="Becky Castell"/>
    <x v="2"/>
    <x v="117"/>
    <x v="22"/>
    <x v="1"/>
    <s v="FUR-CH-10001394"/>
    <s v="Furniture"/>
    <x v="1"/>
    <s v="Global Leather Executive Chair"/>
    <n v="280.79199999999997"/>
    <n v="1"/>
    <n v="35.098999999999997"/>
    <x v="5"/>
    <x v="3"/>
    <x v="2"/>
  </r>
  <r>
    <s v="CA-2017-122035"/>
    <d v="2017-07-20T00:00:00"/>
    <d v="2017-07-25T00:00:00"/>
    <x v="1"/>
    <s v="EM-13825"/>
    <s v="Elizabeth Moffitt"/>
    <x v="1"/>
    <x v="154"/>
    <x v="40"/>
    <x v="3"/>
    <s v="FUR-CH-10003833"/>
    <s v="Furniture"/>
    <x v="1"/>
    <s v="Novimex Fabric Task Chair"/>
    <n v="182.94"/>
    <n v="3"/>
    <n v="27.440999999999999"/>
    <x v="2"/>
    <x v="3"/>
    <x v="3"/>
  </r>
  <r>
    <s v="CA-2015-105102"/>
    <d v="2015-09-15T00:00:00"/>
    <d v="2015-09-19T00:00:00"/>
    <x v="0"/>
    <s v="BM-11575"/>
    <s v="Brendan Murry"/>
    <x v="1"/>
    <x v="13"/>
    <x v="7"/>
    <x v="2"/>
    <s v="FUR-BO-10004709"/>
    <s v="Furniture"/>
    <x v="0"/>
    <s v="Bush Westfield Collection Bookcases, Medium Cherry Finish"/>
    <n v="46.384"/>
    <n v="1"/>
    <n v="1.1596"/>
    <x v="4"/>
    <x v="1"/>
    <x v="4"/>
  </r>
  <r>
    <s v="US-2015-147739"/>
    <d v="2015-12-25T00:00:00"/>
    <d v="2015-12-29T00:00:00"/>
    <x v="1"/>
    <s v="JD-16150"/>
    <s v="Justin Deggeller"/>
    <x v="1"/>
    <x v="3"/>
    <x v="3"/>
    <x v="2"/>
    <s v="FUR-FU-10001468"/>
    <s v="Furniture"/>
    <x v="3"/>
    <s v="Tenex Antistatic Computer Chair Mats"/>
    <n v="547.13599999999997"/>
    <n v="4"/>
    <n v="-68.391999999999996"/>
    <x v="4"/>
    <x v="1"/>
    <x v="5"/>
  </r>
  <r>
    <s v="US-2014-143231"/>
    <d v="2014-12-31T00:00:00"/>
    <d v="2015-01-03T00:00:00"/>
    <x v="2"/>
    <s v="GM-14455"/>
    <s v="Gary Mitchum"/>
    <x v="2"/>
    <x v="20"/>
    <x v="20"/>
    <x v="2"/>
    <s v="FUR-FU-10002501"/>
    <s v="Furniture"/>
    <x v="3"/>
    <s v="Nu-Dell Executive Frame"/>
    <n v="63.2"/>
    <n v="5"/>
    <n v="23.384"/>
    <x v="0"/>
    <x v="2"/>
    <x v="5"/>
  </r>
  <r>
    <s v="CA-2016-159373"/>
    <d v="2016-03-13T00:00:00"/>
    <d v="2016-03-18T00:00:00"/>
    <x v="1"/>
    <s v="LT-17110"/>
    <s v="Liz Thompson"/>
    <x v="0"/>
    <x v="21"/>
    <x v="5"/>
    <x v="3"/>
    <s v="FUR-TA-10004619"/>
    <s v="Furniture"/>
    <x v="2"/>
    <s v="Hon Non-Folding Utility Tables"/>
    <n v="557.58500000000004"/>
    <n v="5"/>
    <n v="0"/>
    <x v="2"/>
    <x v="0"/>
    <x v="9"/>
  </r>
  <r>
    <s v="CA-2015-111514"/>
    <d v="2015-08-31T00:00:00"/>
    <d v="2015-09-02T00:00:00"/>
    <x v="2"/>
    <s v="SC-20260"/>
    <s v="Scott Cohen"/>
    <x v="1"/>
    <x v="28"/>
    <x v="2"/>
    <x v="1"/>
    <s v="FUR-BO-10002545"/>
    <s v="Furniture"/>
    <x v="0"/>
    <s v="Atlantic Metals Mobile 3-Shelf Bookcases, Custom Colors"/>
    <n v="1552.8309999999999"/>
    <n v="7"/>
    <n v="200.9546"/>
    <x v="3"/>
    <x v="1"/>
    <x v="10"/>
  </r>
  <r>
    <s v="US-2014-148838"/>
    <d v="2014-03-17T00:00:00"/>
    <d v="2014-03-21T00:00:00"/>
    <x v="1"/>
    <s v="CP-12340"/>
    <s v="Christine Phan"/>
    <x v="1"/>
    <x v="13"/>
    <x v="7"/>
    <x v="2"/>
    <s v="FUR-TA-10003473"/>
    <s v="Furniture"/>
    <x v="2"/>
    <s v="Bretford Rectangular Conference Table Tops"/>
    <n v="1579.7460000000001"/>
    <n v="7"/>
    <n v="-447.59469999999999"/>
    <x v="4"/>
    <x v="2"/>
    <x v="9"/>
  </r>
  <r>
    <s v="US-2014-148838"/>
    <d v="2014-03-17T00:00:00"/>
    <d v="2014-03-21T00:00:00"/>
    <x v="1"/>
    <s v="CP-12340"/>
    <s v="Christine Phan"/>
    <x v="1"/>
    <x v="13"/>
    <x v="7"/>
    <x v="2"/>
    <s v="FUR-TA-10001950"/>
    <s v="Furniture"/>
    <x v="2"/>
    <s v="Balt Solid Wood Round Tables"/>
    <n v="1071.576"/>
    <n v="4"/>
    <n v="-553.64760000000001"/>
    <x v="4"/>
    <x v="2"/>
    <x v="9"/>
  </r>
  <r>
    <s v="US-2014-148838"/>
    <d v="2014-03-17T00:00:00"/>
    <d v="2014-03-21T00:00:00"/>
    <x v="1"/>
    <s v="CP-12340"/>
    <s v="Christine Phan"/>
    <x v="1"/>
    <x v="13"/>
    <x v="7"/>
    <x v="2"/>
    <s v="FUR-TA-10004175"/>
    <s v="Furniture"/>
    <x v="2"/>
    <s v="Hon 30&quot; x 60&quot; Table with Locking Drawer"/>
    <n v="613.90800000000002"/>
    <n v="3"/>
    <n v="-122.7816"/>
    <x v="4"/>
    <x v="2"/>
    <x v="9"/>
  </r>
  <r>
    <s v="US-2016-108637"/>
    <d v="2016-03-13T00:00:00"/>
    <d v="2016-03-18T00:00:00"/>
    <x v="1"/>
    <s v="AB-10060"/>
    <s v="Adam Bellavance"/>
    <x v="2"/>
    <x v="61"/>
    <x v="25"/>
    <x v="0"/>
    <s v="FUR-FU-10004864"/>
    <s v="Furniture"/>
    <x v="3"/>
    <s v="Howard Miller 14-1/2&quot; Diameter Chrome Round Wall Clock"/>
    <n v="127.88"/>
    <n v="2"/>
    <n v="40.921599999999998"/>
    <x v="2"/>
    <x v="0"/>
    <x v="9"/>
  </r>
  <r>
    <s v="CA-2014-102295"/>
    <d v="2014-11-24T00:00:00"/>
    <d v="2014-11-26T00:00:00"/>
    <x v="0"/>
    <s v="EH-13990"/>
    <s v="Erica Hackney"/>
    <x v="0"/>
    <x v="155"/>
    <x v="2"/>
    <x v="1"/>
    <s v="FUR-CH-10001714"/>
    <s v="Furniture"/>
    <x v="1"/>
    <s v="Global Leather &amp; Oak Executive Chair, Burgundy"/>
    <n v="120.712"/>
    <n v="1"/>
    <n v="-18.1068"/>
    <x v="3"/>
    <x v="2"/>
    <x v="0"/>
  </r>
  <r>
    <s v="US-2016-129469"/>
    <d v="2016-09-23T00:00:00"/>
    <d v="2016-09-27T00:00:00"/>
    <x v="1"/>
    <s v="KL-16555"/>
    <s v="Kelly Lampkin"/>
    <x v="1"/>
    <x v="130"/>
    <x v="15"/>
    <x v="2"/>
    <s v="FUR-FU-10002298"/>
    <s v="Furniture"/>
    <x v="3"/>
    <s v="Rubbermaid ClusterMat Chairmats, Mat Size- 66&quot; x 60&quot;, Lip 20&quot; x 11&quot; -90 Degree Angle"/>
    <n v="532.70399999999995"/>
    <n v="6"/>
    <n v="-26.635200000000001"/>
    <x v="4"/>
    <x v="0"/>
    <x v="4"/>
  </r>
  <r>
    <s v="CA-2016-159940"/>
    <d v="2016-07-07T00:00:00"/>
    <d v="2016-07-11T00:00:00"/>
    <x v="0"/>
    <s v="BF-11020"/>
    <s v="Barry Franzšsisch"/>
    <x v="1"/>
    <x v="14"/>
    <x v="8"/>
    <x v="3"/>
    <s v="FUR-FU-10004973"/>
    <s v="Furniture"/>
    <x v="3"/>
    <s v="Flat Face Poster Frame"/>
    <n v="60.287999999999997"/>
    <n v="8"/>
    <n v="-27.1296"/>
    <x v="4"/>
    <x v="0"/>
    <x v="3"/>
  </r>
  <r>
    <s v="CA-2016-159940"/>
    <d v="2016-07-07T00:00:00"/>
    <d v="2016-07-11T00:00:00"/>
    <x v="0"/>
    <s v="BF-11020"/>
    <s v="Barry Franzšsisch"/>
    <x v="1"/>
    <x v="14"/>
    <x v="8"/>
    <x v="3"/>
    <s v="FUR-CH-10000785"/>
    <s v="Furniture"/>
    <x v="1"/>
    <s v="Global Ergonomic Managers Chair"/>
    <n v="253.37200000000001"/>
    <n v="2"/>
    <n v="-14.478400000000001"/>
    <x v="4"/>
    <x v="0"/>
    <x v="3"/>
  </r>
  <r>
    <s v="CA-2016-118052"/>
    <d v="2016-05-06T00:00:00"/>
    <d v="2016-05-10T00:00:00"/>
    <x v="1"/>
    <s v="BE-11455"/>
    <s v="Brad Eason"/>
    <x v="2"/>
    <x v="75"/>
    <x v="15"/>
    <x v="2"/>
    <s v="FUR-FU-10004848"/>
    <s v="Furniture"/>
    <x v="3"/>
    <s v="DAX Solid Wood Frames"/>
    <n v="54.712000000000003"/>
    <n v="7"/>
    <n v="11.626300000000001"/>
    <x v="4"/>
    <x v="0"/>
    <x v="7"/>
  </r>
  <r>
    <s v="US-2015-127040"/>
    <d v="2015-12-06T00:00:00"/>
    <d v="2015-12-10T00:00:00"/>
    <x v="1"/>
    <s v="SG-20605"/>
    <s v="Speros Goranitis"/>
    <x v="0"/>
    <x v="13"/>
    <x v="7"/>
    <x v="2"/>
    <s v="FUR-FU-10002878"/>
    <s v="Furniture"/>
    <x v="3"/>
    <s v="Seth Thomas 14&quot; Day/Date Wall Clock"/>
    <n v="113.92"/>
    <n v="4"/>
    <n v="42.150399999999998"/>
    <x v="4"/>
    <x v="1"/>
    <x v="5"/>
  </r>
  <r>
    <s v="US-2016-110170"/>
    <d v="2016-09-27T00:00:00"/>
    <d v="2016-10-03T00:00:00"/>
    <x v="1"/>
    <s v="HM-14860"/>
    <s v="Harry Marie"/>
    <x v="1"/>
    <x v="156"/>
    <x v="5"/>
    <x v="3"/>
    <s v="FUR-BO-10000780"/>
    <s v="Furniture"/>
    <x v="0"/>
    <s v="O'Sullivan Plantations 2-Door Library in Landvery Oak"/>
    <n v="956.66480000000001"/>
    <n v="7"/>
    <n v="-225.0976"/>
    <x v="6"/>
    <x v="0"/>
    <x v="4"/>
  </r>
  <r>
    <s v="CA-2017-155985"/>
    <d v="2017-03-23T00:00:00"/>
    <d v="2017-03-25T00:00:00"/>
    <x v="2"/>
    <s v="BE-11335"/>
    <s v="Bill Eplett"/>
    <x v="2"/>
    <x v="28"/>
    <x v="2"/>
    <x v="1"/>
    <s v="FUR-FU-10000758"/>
    <s v="Furniture"/>
    <x v="3"/>
    <s v="DAX Natural Wood-Tone Poster Frame"/>
    <n v="211.84"/>
    <n v="8"/>
    <n v="76.2624"/>
    <x v="3"/>
    <x v="3"/>
    <x v="9"/>
  </r>
  <r>
    <s v="CA-2014-151295"/>
    <d v="2014-11-12T00:00:00"/>
    <d v="2014-11-16T00:00:00"/>
    <x v="1"/>
    <s v="JA-15970"/>
    <s v="Joseph Airdo"/>
    <x v="0"/>
    <x v="2"/>
    <x v="2"/>
    <x v="1"/>
    <s v="FUR-TA-10002356"/>
    <s v="Furniture"/>
    <x v="2"/>
    <s v="Bevis Boat-Shaped Conference Table"/>
    <n v="629.06399999999996"/>
    <n v="3"/>
    <n v="31.453199999999999"/>
    <x v="4"/>
    <x v="2"/>
    <x v="0"/>
  </r>
  <r>
    <s v="CA-2016-156300"/>
    <d v="2016-12-29T00:00:00"/>
    <d v="2017-01-02T00:00:00"/>
    <x v="1"/>
    <s v="TB-21595"/>
    <s v="Troy Blackwell"/>
    <x v="0"/>
    <x v="79"/>
    <x v="16"/>
    <x v="3"/>
    <s v="FUR-CH-10001714"/>
    <s v="Furniture"/>
    <x v="1"/>
    <s v="Global Leather &amp; Oak Executive Chair, Burgundy"/>
    <n v="754.45"/>
    <n v="5"/>
    <n v="60.356000000000002"/>
    <x v="4"/>
    <x v="0"/>
    <x v="5"/>
  </r>
  <r>
    <s v="CA-2015-146087"/>
    <d v="2015-07-06T00:00:00"/>
    <d v="2015-07-11T00:00:00"/>
    <x v="1"/>
    <s v="PP-18955"/>
    <s v="Paul Prost"/>
    <x v="2"/>
    <x v="157"/>
    <x v="20"/>
    <x v="2"/>
    <s v="FUR-BO-10002824"/>
    <s v="Furniture"/>
    <x v="0"/>
    <s v="Bush Mission Pointe Library"/>
    <n v="301.95999999999998"/>
    <n v="2"/>
    <n v="60.392000000000003"/>
    <x v="2"/>
    <x v="1"/>
    <x v="3"/>
  </r>
  <r>
    <s v="US-2017-147669"/>
    <d v="2017-12-25T00:00:00"/>
    <d v="2017-12-30T00:00:00"/>
    <x v="1"/>
    <s v="SV-20935"/>
    <s v="Susan Vittorini"/>
    <x v="0"/>
    <x v="130"/>
    <x v="15"/>
    <x v="2"/>
    <s v="FUR-TA-10002645"/>
    <s v="Furniture"/>
    <x v="2"/>
    <s v="Hon Rectangular Conference Tables"/>
    <n v="273.06"/>
    <n v="2"/>
    <n v="-104.673"/>
    <x v="2"/>
    <x v="3"/>
    <x v="5"/>
  </r>
  <r>
    <s v="CA-2016-169922"/>
    <d v="2016-06-11T00:00:00"/>
    <d v="2016-06-17T00:00:00"/>
    <x v="1"/>
    <s v="MZ-17515"/>
    <s v="Mary Zewe"/>
    <x v="1"/>
    <x v="58"/>
    <x v="5"/>
    <x v="3"/>
    <s v="FUR-FU-10004415"/>
    <s v="Furniture"/>
    <x v="3"/>
    <s v="Stacking Tray, Side-Loading, Legal, Smoke"/>
    <n v="12.544"/>
    <n v="7"/>
    <n v="-9.0944000000000003"/>
    <x v="6"/>
    <x v="0"/>
    <x v="2"/>
  </r>
  <r>
    <s v="CA-2017-129805"/>
    <d v="2017-12-28T00:00:00"/>
    <d v="2018-01-02T00:00:00"/>
    <x v="1"/>
    <s v="HM-14860"/>
    <s v="Harry Marie"/>
    <x v="1"/>
    <x v="15"/>
    <x v="13"/>
    <x v="1"/>
    <s v="FUR-FU-10001935"/>
    <s v="Furniture"/>
    <x v="3"/>
    <s v="3M Hangers With Command Adhesive"/>
    <n v="7.4"/>
    <n v="2"/>
    <n v="3.0339999999999998"/>
    <x v="2"/>
    <x v="3"/>
    <x v="5"/>
  </r>
  <r>
    <s v="CA-2014-148586"/>
    <d v="2014-03-25T00:00:00"/>
    <d v="2014-04-01T00:00:00"/>
    <x v="1"/>
    <s v="AZ-10750"/>
    <s v="Annie Zypern"/>
    <x v="0"/>
    <x v="13"/>
    <x v="7"/>
    <x v="2"/>
    <s v="FUR-CH-10002439"/>
    <s v="Furniture"/>
    <x v="1"/>
    <s v="Iceberg Nesting Folding Chair, 19w x 6d x 43h"/>
    <n v="366.786"/>
    <n v="7"/>
    <n v="65.206400000000002"/>
    <x v="1"/>
    <x v="2"/>
    <x v="9"/>
  </r>
  <r>
    <s v="CA-2017-140053"/>
    <d v="2017-07-03T00:00:00"/>
    <d v="2017-07-10T00:00:00"/>
    <x v="1"/>
    <s v="CA-12265"/>
    <s v="Christina Anderson"/>
    <x v="0"/>
    <x v="158"/>
    <x v="41"/>
    <x v="1"/>
    <s v="FUR-FU-10003708"/>
    <s v="Furniture"/>
    <x v="3"/>
    <s v="Tenex Traditional Chairmats for Medium Pile Carpet, Standard Lip, 36&quot; x 48&quot;"/>
    <n v="545.85"/>
    <n v="9"/>
    <n v="114.6285"/>
    <x v="1"/>
    <x v="3"/>
    <x v="3"/>
  </r>
  <r>
    <s v="CA-2014-164210"/>
    <d v="2014-11-18T00:00:00"/>
    <d v="2014-11-20T00:00:00"/>
    <x v="0"/>
    <s v="PW-19240"/>
    <s v="Pierre Wener"/>
    <x v="0"/>
    <x v="74"/>
    <x v="12"/>
    <x v="1"/>
    <s v="FUR-TA-10000849"/>
    <s v="Furniture"/>
    <x v="2"/>
    <s v="Bevis Rectangular Conference Tables"/>
    <n v="145.97999999999999"/>
    <n v="2"/>
    <n v="-99.266400000000004"/>
    <x v="3"/>
    <x v="2"/>
    <x v="0"/>
  </r>
  <r>
    <s v="CA-2017-139948"/>
    <d v="2017-07-17T00:00:00"/>
    <d v="2017-07-22T00:00:00"/>
    <x v="1"/>
    <s v="SW-20455"/>
    <s v="Shaun Weien"/>
    <x v="0"/>
    <x v="26"/>
    <x v="1"/>
    <x v="0"/>
    <s v="FUR-FU-10002597"/>
    <s v="Furniture"/>
    <x v="3"/>
    <s v="C-Line Magnetic Cubicle Keepers, Clear Polypropylene"/>
    <n v="7.9039999999999999"/>
    <n v="2"/>
    <n v="2.1736"/>
    <x v="2"/>
    <x v="3"/>
    <x v="3"/>
  </r>
  <r>
    <s v="CA-2016-146934"/>
    <d v="2016-05-22T00:00:00"/>
    <d v="2016-05-27T00:00:00"/>
    <x v="1"/>
    <s v="AF-10870"/>
    <s v="Art Ferguson"/>
    <x v="0"/>
    <x v="159"/>
    <x v="18"/>
    <x v="2"/>
    <s v="FUR-TA-10003748"/>
    <s v="Furniture"/>
    <x v="2"/>
    <s v="Bevis 36 x 72 Conference Tables"/>
    <n v="174.286"/>
    <n v="2"/>
    <n v="-19.918399999999998"/>
    <x v="2"/>
    <x v="0"/>
    <x v="7"/>
  </r>
  <r>
    <s v="CA-2016-119165"/>
    <d v="2016-10-31T00:00:00"/>
    <d v="2016-11-06T00:00:00"/>
    <x v="1"/>
    <s v="BD-11320"/>
    <s v="Bill Donatelli"/>
    <x v="0"/>
    <x v="3"/>
    <x v="3"/>
    <x v="2"/>
    <s v="FUR-CH-10000988"/>
    <s v="Furniture"/>
    <x v="1"/>
    <s v="Hon Olson Stacker Stools"/>
    <n v="492.83499999999998"/>
    <n v="5"/>
    <n v="-14.081"/>
    <x v="6"/>
    <x v="0"/>
    <x v="1"/>
  </r>
  <r>
    <s v="US-2016-135923"/>
    <d v="2016-01-22T00:00:00"/>
    <d v="2016-01-28T00:00:00"/>
    <x v="1"/>
    <s v="CM-11935"/>
    <s v="Carlos Meador"/>
    <x v="0"/>
    <x v="160"/>
    <x v="30"/>
    <x v="0"/>
    <s v="FUR-FU-10002107"/>
    <s v="Furniture"/>
    <x v="3"/>
    <s v="Eldon Pizzaz Desk Accessories"/>
    <n v="14.272"/>
    <n v="8"/>
    <n v="4.2816000000000001"/>
    <x v="6"/>
    <x v="0"/>
    <x v="8"/>
  </r>
  <r>
    <s v="US-2016-135923"/>
    <d v="2016-01-22T00:00:00"/>
    <d v="2016-01-28T00:00:00"/>
    <x v="1"/>
    <s v="CM-11935"/>
    <s v="Carlos Meador"/>
    <x v="0"/>
    <x v="160"/>
    <x v="30"/>
    <x v="0"/>
    <s v="FUR-BO-10002213"/>
    <s v="Furniture"/>
    <x v="0"/>
    <s v="Sauder Forest Hills Library, Woodland Oak Finish"/>
    <n v="451.13600000000002"/>
    <n v="4"/>
    <n v="-67.670400000000001"/>
    <x v="6"/>
    <x v="0"/>
    <x v="8"/>
  </r>
  <r>
    <s v="CA-2016-114972"/>
    <d v="2016-11-03T00:00:00"/>
    <d v="2016-11-06T00:00:00"/>
    <x v="2"/>
    <s v="PF-19225"/>
    <s v="Phillip Flathmann"/>
    <x v="0"/>
    <x v="2"/>
    <x v="2"/>
    <x v="1"/>
    <s v="FUR-CH-10001190"/>
    <s v="Furniture"/>
    <x v="1"/>
    <s v="Global Deluxe High-Back Office Chair in Storm"/>
    <n v="217.584"/>
    <n v="2"/>
    <n v="-29.9178"/>
    <x v="0"/>
    <x v="0"/>
    <x v="0"/>
  </r>
  <r>
    <s v="CA-2017-102750"/>
    <d v="2017-09-04T00:00:00"/>
    <d v="2017-09-08T00:00:00"/>
    <x v="0"/>
    <s v="GM-14695"/>
    <s v="Greg Maxwell"/>
    <x v="1"/>
    <x v="2"/>
    <x v="2"/>
    <x v="1"/>
    <s v="FUR-TA-10000198"/>
    <s v="Furniture"/>
    <x v="2"/>
    <s v="Chromcraft Bull-Nose Wood Oval Conference Tables &amp; Bases"/>
    <n v="1322.3520000000001"/>
    <n v="3"/>
    <n v="-99.176400000000001"/>
    <x v="4"/>
    <x v="3"/>
    <x v="4"/>
  </r>
  <r>
    <s v="CA-2017-126067"/>
    <d v="2017-08-28T00:00:00"/>
    <d v="2017-09-03T00:00:00"/>
    <x v="1"/>
    <s v="KN-16705"/>
    <s v="Kristina Nunn"/>
    <x v="2"/>
    <x v="15"/>
    <x v="13"/>
    <x v="1"/>
    <s v="FUR-TA-10000617"/>
    <s v="Furniture"/>
    <x v="2"/>
    <s v="Hon Practical Foundations 30 x 60 Training Table, Light Gray/Charcoal"/>
    <n v="1137.75"/>
    <n v="5"/>
    <n v="250.30500000000001"/>
    <x v="6"/>
    <x v="3"/>
    <x v="10"/>
  </r>
  <r>
    <s v="CA-2016-146206"/>
    <d v="2016-09-10T00:00:00"/>
    <d v="2016-09-14T00:00:00"/>
    <x v="0"/>
    <s v="KT-16480"/>
    <s v="Kean Thornton"/>
    <x v="0"/>
    <x v="6"/>
    <x v="5"/>
    <x v="3"/>
    <s v="FUR-TA-10004086"/>
    <s v="Furniture"/>
    <x v="2"/>
    <s v="KI Adjustable-Height Table"/>
    <n v="300.93"/>
    <n v="5"/>
    <n v="-34.392000000000003"/>
    <x v="4"/>
    <x v="0"/>
    <x v="4"/>
  </r>
  <r>
    <s v="CA-2014-136644"/>
    <d v="2014-06-16T00:00:00"/>
    <d v="2014-06-22T00:00:00"/>
    <x v="1"/>
    <s v="SC-20575"/>
    <s v="Sonia Cooley"/>
    <x v="0"/>
    <x v="161"/>
    <x v="6"/>
    <x v="3"/>
    <s v="FUR-CH-10000225"/>
    <s v="Furniture"/>
    <x v="1"/>
    <s v="Global Geo Office Task Chair, Gray"/>
    <n v="647.84"/>
    <n v="8"/>
    <n v="32.392000000000003"/>
    <x v="6"/>
    <x v="2"/>
    <x v="2"/>
  </r>
  <r>
    <s v="CA-2014-143917"/>
    <d v="2014-07-25T00:00:00"/>
    <d v="2014-07-27T00:00:00"/>
    <x v="0"/>
    <s v="KL-16645"/>
    <s v="Ken Lonsdale"/>
    <x v="0"/>
    <x v="28"/>
    <x v="2"/>
    <x v="1"/>
    <s v="FUR-FU-10004351"/>
    <s v="Furniture"/>
    <x v="3"/>
    <s v="Staple-based wall hangings"/>
    <n v="77.92"/>
    <n v="8"/>
    <n v="34.284799999999997"/>
    <x v="3"/>
    <x v="2"/>
    <x v="3"/>
  </r>
  <r>
    <s v="CA-2016-124506"/>
    <d v="2016-11-11T00:00:00"/>
    <d v="2016-11-17T00:00:00"/>
    <x v="1"/>
    <s v="BB-11545"/>
    <s v="Brenda Bowman"/>
    <x v="1"/>
    <x v="9"/>
    <x v="8"/>
    <x v="3"/>
    <s v="FUR-CH-10004540"/>
    <s v="Furniture"/>
    <x v="1"/>
    <s v="Global Chrome Stack Chair"/>
    <n v="47.991999999999997"/>
    <n v="2"/>
    <n v="-2.0568"/>
    <x v="6"/>
    <x v="0"/>
    <x v="0"/>
  </r>
  <r>
    <s v="CA-2017-123134"/>
    <d v="2017-05-02T00:00:00"/>
    <d v="2017-05-07T00:00:00"/>
    <x v="1"/>
    <s v="DW-13585"/>
    <s v="Dorothy Wardle"/>
    <x v="1"/>
    <x v="162"/>
    <x v="18"/>
    <x v="2"/>
    <s v="FUR-FU-10003975"/>
    <s v="Furniture"/>
    <x v="3"/>
    <s v="Eldon Advantage Chair Mats for Low to Medium Pile Carpets"/>
    <n v="129.93"/>
    <n v="3"/>
    <n v="12.993"/>
    <x v="2"/>
    <x v="3"/>
    <x v="7"/>
  </r>
  <r>
    <s v="CA-2015-168746"/>
    <d v="2015-01-27T00:00:00"/>
    <d v="2015-01-29T00:00:00"/>
    <x v="0"/>
    <s v="SV-20365"/>
    <s v="Seth Vernon"/>
    <x v="0"/>
    <x v="59"/>
    <x v="15"/>
    <x v="2"/>
    <s v="FUR-CH-10000513"/>
    <s v="Furniture"/>
    <x v="1"/>
    <s v="High-Back Leather Manager's Chair"/>
    <n v="181.98599999999999"/>
    <n v="2"/>
    <n v="-54.595799999999997"/>
    <x v="3"/>
    <x v="1"/>
    <x v="8"/>
  </r>
  <r>
    <s v="CA-2015-113404"/>
    <d v="2015-07-16T00:00:00"/>
    <d v="2015-07-16T00:00:00"/>
    <x v="3"/>
    <s v="EM-13810"/>
    <s v="Eleni McCrary"/>
    <x v="1"/>
    <x v="28"/>
    <x v="2"/>
    <x v="1"/>
    <s v="FUR-CH-10003312"/>
    <s v="Furniture"/>
    <x v="1"/>
    <s v="Hon 2090 ÒPillow SoftÓ Series Mid Back Swivel/Tilt Chairs"/>
    <n v="1348.704"/>
    <n v="6"/>
    <n v="-219.1644"/>
    <x v="7"/>
    <x v="1"/>
    <x v="3"/>
  </r>
  <r>
    <s v="CA-2015-113404"/>
    <d v="2015-07-16T00:00:00"/>
    <d v="2015-07-16T00:00:00"/>
    <x v="3"/>
    <s v="EM-13810"/>
    <s v="Eleni McCrary"/>
    <x v="1"/>
    <x v="28"/>
    <x v="2"/>
    <x v="1"/>
    <s v="FUR-CH-10004086"/>
    <s v="Furniture"/>
    <x v="1"/>
    <s v="Hon 4070 Series Pagoda Armless Upholstered Stacking Chairs"/>
    <n v="700.15200000000004"/>
    <n v="3"/>
    <n v="78.767099999999999"/>
    <x v="7"/>
    <x v="1"/>
    <x v="3"/>
  </r>
  <r>
    <s v="CA-2016-144792"/>
    <d v="2016-04-30T00:00:00"/>
    <d v="2016-05-04T00:00:00"/>
    <x v="1"/>
    <s v="KD-16615"/>
    <s v="Ken Dana"/>
    <x v="1"/>
    <x v="163"/>
    <x v="22"/>
    <x v="1"/>
    <s v="FUR-FU-10002759"/>
    <s v="Furniture"/>
    <x v="3"/>
    <s v="12-1/2 Diameter Round Wall Clock"/>
    <n v="111.88800000000001"/>
    <n v="7"/>
    <n v="22.377600000000001"/>
    <x v="4"/>
    <x v="0"/>
    <x v="6"/>
  </r>
  <r>
    <s v="US-2016-114174"/>
    <d v="2016-09-08T00:00:00"/>
    <d v="2016-09-14T00:00:00"/>
    <x v="1"/>
    <s v="AP-10720"/>
    <s v="Anne Pryor"/>
    <x v="2"/>
    <x v="164"/>
    <x v="20"/>
    <x v="2"/>
    <s v="FUR-BO-10003450"/>
    <s v="Furniture"/>
    <x v="0"/>
    <s v="Bush Westfield Collection Bookcases, Dark Cherry Finish"/>
    <n v="173.94"/>
    <n v="3"/>
    <n v="13.9152"/>
    <x v="6"/>
    <x v="0"/>
    <x v="4"/>
  </r>
  <r>
    <s v="CA-2017-108070"/>
    <d v="2017-04-16T00:00:00"/>
    <d v="2017-04-20T00:00:00"/>
    <x v="1"/>
    <s v="JE-15745"/>
    <s v="Joel Eaton"/>
    <x v="0"/>
    <x v="124"/>
    <x v="2"/>
    <x v="1"/>
    <s v="FUR-BO-10001337"/>
    <s v="Furniture"/>
    <x v="0"/>
    <s v="O'Sullivan Living Dimensions 2-Shelf Bookcases"/>
    <n v="102.833"/>
    <n v="1"/>
    <n v="-6.0490000000000004"/>
    <x v="4"/>
    <x v="3"/>
    <x v="6"/>
  </r>
  <r>
    <s v="CA-2017-101042"/>
    <d v="2017-11-19T00:00:00"/>
    <d v="2017-11-23T00:00:00"/>
    <x v="1"/>
    <s v="AB-10105"/>
    <s v="Adrian Barton"/>
    <x v="0"/>
    <x v="0"/>
    <x v="0"/>
    <x v="0"/>
    <s v="FUR-FU-10004665"/>
    <s v="Furniture"/>
    <x v="3"/>
    <s v="3M Polarizing Task Lamp with Clamp Arm, Light Gray"/>
    <n v="821.88"/>
    <n v="6"/>
    <n v="213.68879999999999"/>
    <x v="4"/>
    <x v="3"/>
    <x v="0"/>
  </r>
  <r>
    <s v="US-2016-126844"/>
    <d v="2016-10-08T00:00:00"/>
    <d v="2016-10-14T00:00:00"/>
    <x v="1"/>
    <s v="BW-11110"/>
    <s v="Bart Watters"/>
    <x v="1"/>
    <x v="6"/>
    <x v="5"/>
    <x v="3"/>
    <s v="FUR-FU-10004909"/>
    <s v="Furniture"/>
    <x v="3"/>
    <s v="Contemporary Wood/Metal Frame"/>
    <n v="51.712000000000003"/>
    <n v="8"/>
    <n v="-32.32"/>
    <x v="6"/>
    <x v="0"/>
    <x v="1"/>
  </r>
  <r>
    <s v="CA-2015-147788"/>
    <d v="2015-05-31T00:00:00"/>
    <d v="2015-06-04T00:00:00"/>
    <x v="1"/>
    <s v="TM-21010"/>
    <s v="Tamara Manning"/>
    <x v="0"/>
    <x v="4"/>
    <x v="4"/>
    <x v="1"/>
    <s v="FUR-BO-10004357"/>
    <s v="Furniture"/>
    <x v="0"/>
    <s v="O'Sullivan Living Dimensions 3-Shelf Bookcases"/>
    <n v="1406.86"/>
    <n v="7"/>
    <n v="140.68600000000001"/>
    <x v="4"/>
    <x v="1"/>
    <x v="7"/>
  </r>
  <r>
    <s v="CA-2017-123967"/>
    <d v="2017-11-01T00:00:00"/>
    <d v="2017-11-03T00:00:00"/>
    <x v="0"/>
    <s v="SF-20200"/>
    <s v="Sarah Foster"/>
    <x v="0"/>
    <x v="165"/>
    <x v="13"/>
    <x v="1"/>
    <s v="FUR-TA-10003954"/>
    <s v="Furniture"/>
    <x v="2"/>
    <s v="Hon 94000 Series Round Tables"/>
    <n v="2665.62"/>
    <n v="9"/>
    <n v="239.9058"/>
    <x v="3"/>
    <x v="3"/>
    <x v="0"/>
  </r>
  <r>
    <s v="CA-2017-145128"/>
    <d v="2017-07-09T00:00:00"/>
    <d v="2017-07-14T00:00:00"/>
    <x v="1"/>
    <s v="SM-20320"/>
    <s v="Sean Miller"/>
    <x v="2"/>
    <x v="120"/>
    <x v="6"/>
    <x v="3"/>
    <s v="FUR-FU-10000293"/>
    <s v="Furniture"/>
    <x v="3"/>
    <s v="Eldon Antistatic Chair Mats for Low to Medium Pile Carpets"/>
    <n v="526.45000000000005"/>
    <n v="5"/>
    <n v="31.587"/>
    <x v="2"/>
    <x v="3"/>
    <x v="3"/>
  </r>
  <r>
    <s v="US-2014-155502"/>
    <d v="2014-01-26T00:00:00"/>
    <d v="2014-01-31T00:00:00"/>
    <x v="1"/>
    <s v="SD-20485"/>
    <s v="Shirley Daniels"/>
    <x v="2"/>
    <x v="166"/>
    <x v="25"/>
    <x v="0"/>
    <s v="FUR-FU-10004587"/>
    <s v="Furniture"/>
    <x v="3"/>
    <s v="GE General Use Halogen Bulbs, 100 Watts, 1 Bulb per Pack"/>
    <n v="62.82"/>
    <n v="3"/>
    <n v="30.7818"/>
    <x v="2"/>
    <x v="2"/>
    <x v="8"/>
  </r>
  <r>
    <s v="US-2014-155502"/>
    <d v="2014-01-26T00:00:00"/>
    <d v="2014-01-31T00:00:00"/>
    <x v="1"/>
    <s v="SD-20485"/>
    <s v="Shirley Daniels"/>
    <x v="2"/>
    <x v="166"/>
    <x v="25"/>
    <x v="0"/>
    <s v="FUR-FU-10001847"/>
    <s v="Furniture"/>
    <x v="3"/>
    <s v="Eldon Image Series Black Desk Accessories"/>
    <n v="12.42"/>
    <n v="3"/>
    <n v="4.4711999999999996"/>
    <x v="2"/>
    <x v="2"/>
    <x v="8"/>
  </r>
  <r>
    <s v="CA-2017-131695"/>
    <d v="2017-06-30T00:00:00"/>
    <d v="2017-07-06T00:00:00"/>
    <x v="1"/>
    <s v="RA-19285"/>
    <s v="Ralph Arnett"/>
    <x v="0"/>
    <x v="13"/>
    <x v="7"/>
    <x v="2"/>
    <s v="FUR-FU-10002045"/>
    <s v="Furniture"/>
    <x v="3"/>
    <s v="Executive Impressions 14&quot;"/>
    <n v="22.23"/>
    <n v="1"/>
    <n v="9.7812000000000001"/>
    <x v="6"/>
    <x v="3"/>
    <x v="2"/>
  </r>
  <r>
    <s v="US-2016-115455"/>
    <d v="2016-09-08T00:00:00"/>
    <d v="2016-09-14T00:00:00"/>
    <x v="1"/>
    <s v="SE-20110"/>
    <s v="Sanjit Engle"/>
    <x v="0"/>
    <x v="167"/>
    <x v="8"/>
    <x v="3"/>
    <s v="FUR-FU-10004671"/>
    <s v="Furniture"/>
    <x v="3"/>
    <s v="Executive Impressions 12&quot; Wall Clock"/>
    <n v="14.135999999999999"/>
    <n v="2"/>
    <n v="-7.7747999999999999"/>
    <x v="6"/>
    <x v="0"/>
    <x v="4"/>
  </r>
  <r>
    <s v="US-2016-115455"/>
    <d v="2016-09-08T00:00:00"/>
    <d v="2016-09-14T00:00:00"/>
    <x v="1"/>
    <s v="SE-20110"/>
    <s v="Sanjit Engle"/>
    <x v="0"/>
    <x v="167"/>
    <x v="8"/>
    <x v="3"/>
    <s v="FUR-TA-10003569"/>
    <s v="Furniture"/>
    <x v="2"/>
    <s v="Bretford CR8500 Series Meeting Room Furniture"/>
    <n v="601.47"/>
    <n v="3"/>
    <n v="-300.73500000000001"/>
    <x v="6"/>
    <x v="0"/>
    <x v="4"/>
  </r>
  <r>
    <s v="CA-2016-165848"/>
    <d v="2016-06-04T00:00:00"/>
    <d v="2016-06-04T00:00:00"/>
    <x v="3"/>
    <s v="EN-13780"/>
    <s v="Edward Nazzal"/>
    <x v="0"/>
    <x v="13"/>
    <x v="7"/>
    <x v="2"/>
    <s v="FUR-BO-10000362"/>
    <s v="Furniture"/>
    <x v="0"/>
    <s v="Sauder Inglewood Library Bookcases"/>
    <n v="136.78399999999999"/>
    <n v="1"/>
    <n v="5.1294000000000004"/>
    <x v="7"/>
    <x v="0"/>
    <x v="2"/>
  </r>
  <r>
    <s v="CA-2016-165848"/>
    <d v="2016-06-04T00:00:00"/>
    <d v="2016-06-04T00:00:00"/>
    <x v="3"/>
    <s v="EN-13780"/>
    <s v="Edward Nazzal"/>
    <x v="0"/>
    <x v="13"/>
    <x v="7"/>
    <x v="2"/>
    <s v="FUR-FU-10003878"/>
    <s v="Furniture"/>
    <x v="3"/>
    <s v="Linden 10&quot; Round Wall Clock, Black"/>
    <n v="61.12"/>
    <n v="4"/>
    <n v="20.780799999999999"/>
    <x v="7"/>
    <x v="0"/>
    <x v="2"/>
  </r>
  <r>
    <s v="CA-2014-127446"/>
    <d v="2014-11-25T00:00:00"/>
    <d v="2014-11-30T00:00:00"/>
    <x v="1"/>
    <s v="MC-17590"/>
    <s v="Matt Collister"/>
    <x v="1"/>
    <x v="58"/>
    <x v="5"/>
    <x v="3"/>
    <s v="FUR-TA-10000577"/>
    <s v="Furniture"/>
    <x v="2"/>
    <s v="Bretford CR4500 Series Slim Rectangular Table"/>
    <n v="1218.7349999999999"/>
    <n v="5"/>
    <n v="-121.87350000000001"/>
    <x v="2"/>
    <x v="2"/>
    <x v="0"/>
  </r>
  <r>
    <s v="CA-2014-127446"/>
    <d v="2014-11-25T00:00:00"/>
    <d v="2014-11-30T00:00:00"/>
    <x v="1"/>
    <s v="MC-17590"/>
    <s v="Matt Collister"/>
    <x v="1"/>
    <x v="58"/>
    <x v="5"/>
    <x v="3"/>
    <s v="FUR-FU-10000221"/>
    <s v="Furniture"/>
    <x v="3"/>
    <s v="Master Caster Door Stop, Brown"/>
    <n v="6.0960000000000001"/>
    <n v="3"/>
    <n v="-3.9624000000000001"/>
    <x v="2"/>
    <x v="2"/>
    <x v="0"/>
  </r>
  <r>
    <s v="CA-2016-137204"/>
    <d v="2016-04-28T00:00:00"/>
    <d v="2016-05-05T00:00:00"/>
    <x v="1"/>
    <s v="BO-11350"/>
    <s v="Bill Overfelt"/>
    <x v="1"/>
    <x v="2"/>
    <x v="2"/>
    <x v="1"/>
    <s v="FUR-CH-10002304"/>
    <s v="Furniture"/>
    <x v="1"/>
    <s v="Global Stack Chair without Arms, Black"/>
    <n v="41.567999999999998"/>
    <n v="2"/>
    <n v="2.5979999999999999"/>
    <x v="1"/>
    <x v="0"/>
    <x v="6"/>
  </r>
  <r>
    <s v="CA-2014-147298"/>
    <d v="2014-04-26T00:00:00"/>
    <d v="2014-05-03T00:00:00"/>
    <x v="1"/>
    <s v="AG-10300"/>
    <s v="Aleksandra Gannaway"/>
    <x v="1"/>
    <x v="2"/>
    <x v="2"/>
    <x v="1"/>
    <s v="FUR-CH-10004886"/>
    <s v="Furniture"/>
    <x v="1"/>
    <s v="Bevis Steel Folding Chairs"/>
    <n v="230.28"/>
    <n v="3"/>
    <n v="23.027999999999999"/>
    <x v="1"/>
    <x v="2"/>
    <x v="6"/>
  </r>
  <r>
    <s v="US-2017-110604"/>
    <d v="2017-05-15T00:00:00"/>
    <d v="2017-05-20T00:00:00"/>
    <x v="1"/>
    <s v="JF-15295"/>
    <s v="Jason Fortune-"/>
    <x v="0"/>
    <x v="15"/>
    <x v="13"/>
    <x v="1"/>
    <s v="FUR-FU-10000076"/>
    <s v="Furniture"/>
    <x v="3"/>
    <s v="24-Hour Round Wall Clock"/>
    <n v="39.96"/>
    <n v="2"/>
    <n v="17.1828"/>
    <x v="2"/>
    <x v="3"/>
    <x v="7"/>
  </r>
  <r>
    <s v="US-2017-110604"/>
    <d v="2017-05-15T00:00:00"/>
    <d v="2017-05-20T00:00:00"/>
    <x v="1"/>
    <s v="JF-15295"/>
    <s v="Jason Fortune-"/>
    <x v="0"/>
    <x v="15"/>
    <x v="13"/>
    <x v="1"/>
    <s v="FUR-CH-10002017"/>
    <s v="Furniture"/>
    <x v="1"/>
    <s v="SAFCO Optional Arm Kit for Workspace Cribbage Stacking Chair"/>
    <n v="42.624000000000002"/>
    <n v="2"/>
    <n v="4.2624000000000004"/>
    <x v="2"/>
    <x v="3"/>
    <x v="7"/>
  </r>
  <r>
    <s v="US-2017-110604"/>
    <d v="2017-05-15T00:00:00"/>
    <d v="2017-05-20T00:00:00"/>
    <x v="1"/>
    <s v="JF-15295"/>
    <s v="Jason Fortune-"/>
    <x v="0"/>
    <x v="15"/>
    <x v="13"/>
    <x v="1"/>
    <s v="FUR-CH-10004287"/>
    <s v="Furniture"/>
    <x v="1"/>
    <s v="SAFCO Arco Folding Chair"/>
    <n v="220.96"/>
    <n v="1"/>
    <n v="24.858000000000001"/>
    <x v="2"/>
    <x v="3"/>
    <x v="7"/>
  </r>
  <r>
    <s v="CA-2015-116750"/>
    <d v="2015-07-05T00:00:00"/>
    <d v="2015-07-10T00:00:00"/>
    <x v="0"/>
    <s v="BF-10975"/>
    <s v="Barbara Fisher"/>
    <x v="1"/>
    <x v="160"/>
    <x v="30"/>
    <x v="0"/>
    <s v="FUR-FU-10003829"/>
    <s v="Furniture"/>
    <x v="3"/>
    <s v="Stackable Trays"/>
    <n v="4.9279999999999999"/>
    <n v="2"/>
    <n v="0.73919999999999997"/>
    <x v="2"/>
    <x v="1"/>
    <x v="3"/>
  </r>
  <r>
    <s v="CA-2017-108441"/>
    <d v="2017-06-12T00:00:00"/>
    <d v="2017-06-18T00:00:00"/>
    <x v="1"/>
    <s v="SB-20170"/>
    <s v="Sarah Bern"/>
    <x v="0"/>
    <x v="13"/>
    <x v="7"/>
    <x v="2"/>
    <s v="FUR-CH-10000595"/>
    <s v="Furniture"/>
    <x v="1"/>
    <s v="Safco Contoured Stacking Chairs"/>
    <n v="858.24"/>
    <n v="4"/>
    <n v="143.04"/>
    <x v="6"/>
    <x v="3"/>
    <x v="2"/>
  </r>
  <r>
    <s v="CA-2016-149111"/>
    <d v="2016-04-17T00:00:00"/>
    <d v="2016-04-21T00:00:00"/>
    <x v="0"/>
    <s v="BF-11170"/>
    <s v="Ben Ferrer"/>
    <x v="2"/>
    <x v="168"/>
    <x v="30"/>
    <x v="0"/>
    <s v="FUR-FU-10000206"/>
    <s v="Furniture"/>
    <x v="3"/>
    <s v="GE General Purpose, Extra Long Life, Showcase &amp; Floodlight Incandescent Bulbs"/>
    <n v="18.623999999999999"/>
    <n v="8"/>
    <n v="6.2855999999999996"/>
    <x v="4"/>
    <x v="0"/>
    <x v="6"/>
  </r>
  <r>
    <s v="CA-2014-131002"/>
    <d v="2014-09-07T00:00:00"/>
    <d v="2014-09-12T00:00:00"/>
    <x v="0"/>
    <s v="TB-21400"/>
    <s v="Tom Boeckenhauer"/>
    <x v="0"/>
    <x v="169"/>
    <x v="37"/>
    <x v="3"/>
    <s v="FUR-FU-10004270"/>
    <s v="Furniture"/>
    <x v="3"/>
    <s v="Executive Impressions 13&quot; Clairmont Wall Clock"/>
    <n v="57.69"/>
    <n v="3"/>
    <n v="23.652899999999999"/>
    <x v="2"/>
    <x v="2"/>
    <x v="4"/>
  </r>
  <r>
    <s v="CA-2014-131002"/>
    <d v="2014-09-07T00:00:00"/>
    <d v="2014-09-12T00:00:00"/>
    <x v="0"/>
    <s v="TB-21400"/>
    <s v="Tom Boeckenhauer"/>
    <x v="0"/>
    <x v="169"/>
    <x v="37"/>
    <x v="3"/>
    <s v="FUR-FU-10004665"/>
    <s v="Furniture"/>
    <x v="3"/>
    <s v="3M Polarizing Task Lamp with Clamp Arm, Light Gray"/>
    <n v="821.88"/>
    <n v="6"/>
    <n v="213.68879999999999"/>
    <x v="2"/>
    <x v="2"/>
    <x v="4"/>
  </r>
  <r>
    <s v="US-2016-146794"/>
    <d v="2016-09-26T00:00:00"/>
    <d v="2016-10-01T00:00:00"/>
    <x v="1"/>
    <s v="SH-19975"/>
    <s v="Sally Hughsby"/>
    <x v="1"/>
    <x v="170"/>
    <x v="2"/>
    <x v="1"/>
    <s v="FUR-BO-10004467"/>
    <s v="Furniture"/>
    <x v="0"/>
    <s v="Bestar Classic Bookcase"/>
    <n v="424.95749999999998"/>
    <n v="5"/>
    <n v="19.998000000000001"/>
    <x v="2"/>
    <x v="0"/>
    <x v="4"/>
  </r>
  <r>
    <s v="CA-2017-112515"/>
    <d v="2017-09-17T00:00:00"/>
    <d v="2017-09-21T00:00:00"/>
    <x v="0"/>
    <s v="AS-10225"/>
    <s v="Alan Schoenberger"/>
    <x v="1"/>
    <x v="106"/>
    <x v="4"/>
    <x v="1"/>
    <s v="FUR-BO-10003404"/>
    <s v="Furniture"/>
    <x v="0"/>
    <s v="Global Adaptabilites Bookcase, Cherry/Storm Gray Finish"/>
    <n v="1292.94"/>
    <n v="3"/>
    <n v="77.576400000000007"/>
    <x v="4"/>
    <x v="3"/>
    <x v="4"/>
  </r>
  <r>
    <s v="CA-2015-135538"/>
    <d v="2015-12-24T00:00:00"/>
    <d v="2015-12-28T00:00:00"/>
    <x v="1"/>
    <s v="HR-14830"/>
    <s v="Harold Ryan"/>
    <x v="1"/>
    <x v="171"/>
    <x v="22"/>
    <x v="1"/>
    <s v="FUR-CH-10004287"/>
    <s v="Furniture"/>
    <x v="1"/>
    <s v="SAFCO Arco Folding Chair"/>
    <n v="883.84"/>
    <n v="4"/>
    <n v="99.432000000000002"/>
    <x v="4"/>
    <x v="1"/>
    <x v="5"/>
  </r>
  <r>
    <s v="CA-2016-164784"/>
    <d v="2016-05-01T00:00:00"/>
    <d v="2016-05-04T00:00:00"/>
    <x v="2"/>
    <s v="HF-14995"/>
    <s v="Herbert Flentye"/>
    <x v="0"/>
    <x v="10"/>
    <x v="9"/>
    <x v="0"/>
    <s v="FUR-TA-10004534"/>
    <s v="Furniture"/>
    <x v="2"/>
    <s v="Bevis 44 x 96 Conference Tables"/>
    <n v="370.62"/>
    <n v="3"/>
    <n v="-142.071"/>
    <x v="0"/>
    <x v="0"/>
    <x v="7"/>
  </r>
  <r>
    <s v="US-2015-139759"/>
    <d v="2015-08-25T00:00:00"/>
    <d v="2015-08-30T00:00:00"/>
    <x v="1"/>
    <s v="NL-18310"/>
    <s v="Nancy Lomonaco"/>
    <x v="2"/>
    <x v="2"/>
    <x v="2"/>
    <x v="1"/>
    <s v="FUR-CH-10002774"/>
    <s v="Furniture"/>
    <x v="1"/>
    <s v="Global Deluxe Stacking Chair, Gray"/>
    <n v="40.783999999999999"/>
    <n v="1"/>
    <n v="4.5881999999999996"/>
    <x v="2"/>
    <x v="1"/>
    <x v="10"/>
  </r>
  <r>
    <s v="CA-2014-126403"/>
    <d v="2014-09-09T00:00:00"/>
    <d v="2014-09-12T00:00:00"/>
    <x v="0"/>
    <s v="RR-19525"/>
    <s v="Rick Reed"/>
    <x v="1"/>
    <x v="172"/>
    <x v="20"/>
    <x v="2"/>
    <s v="FUR-CH-10003761"/>
    <s v="Furniture"/>
    <x v="1"/>
    <s v="Global Italian Leather Office Chair"/>
    <n v="785.88"/>
    <n v="6"/>
    <n v="212.1876"/>
    <x v="0"/>
    <x v="2"/>
    <x v="4"/>
  </r>
  <r>
    <s v="CA-2016-138079"/>
    <d v="2016-01-22T00:00:00"/>
    <d v="2016-01-28T00:00:00"/>
    <x v="1"/>
    <s v="AJ-10795"/>
    <s v="Anthony Johnson"/>
    <x v="1"/>
    <x v="15"/>
    <x v="13"/>
    <x v="1"/>
    <s v="FUR-FU-10001475"/>
    <s v="Furniture"/>
    <x v="3"/>
    <s v="Contract Clock, 14&quot;, Brown"/>
    <n v="109.9"/>
    <n v="5"/>
    <n v="37.366"/>
    <x v="6"/>
    <x v="0"/>
    <x v="8"/>
  </r>
  <r>
    <s v="CA-2014-143182"/>
    <d v="2014-10-15T00:00:00"/>
    <d v="2014-10-20T00:00:00"/>
    <x v="1"/>
    <s v="DL-12865"/>
    <s v="Dan Lawera"/>
    <x v="0"/>
    <x v="173"/>
    <x v="1"/>
    <x v="0"/>
    <s v="FUR-FU-10004270"/>
    <s v="Furniture"/>
    <x v="3"/>
    <s v="Executive Impressions 13&quot; Clairmont Wall Clock"/>
    <n v="15.384"/>
    <n v="1"/>
    <n v="4.0382999999999996"/>
    <x v="2"/>
    <x v="2"/>
    <x v="1"/>
  </r>
  <r>
    <s v="CA-2014-145317"/>
    <d v="2014-03-18T00:00:00"/>
    <d v="2014-03-23T00:00:00"/>
    <x v="1"/>
    <s v="SM-20320"/>
    <s v="Sean Miller"/>
    <x v="2"/>
    <x v="51"/>
    <x v="1"/>
    <x v="0"/>
    <s v="FUR-FU-10004270"/>
    <s v="Furniture"/>
    <x v="3"/>
    <s v="Executive Impressions 13&quot; Clairmont Wall Clock"/>
    <n v="30.768000000000001"/>
    <n v="2"/>
    <n v="8.0765999999999991"/>
    <x v="2"/>
    <x v="2"/>
    <x v="9"/>
  </r>
  <r>
    <s v="CA-2014-145317"/>
    <d v="2014-03-18T00:00:00"/>
    <d v="2014-03-23T00:00:00"/>
    <x v="1"/>
    <s v="SM-20320"/>
    <s v="Sean Miller"/>
    <x v="2"/>
    <x v="51"/>
    <x v="1"/>
    <x v="0"/>
    <s v="FUR-FU-10001986"/>
    <s v="Furniture"/>
    <x v="3"/>
    <s v="Dana Fluorescent Magnifying Lamp, White, 36&quot;"/>
    <n v="122.352"/>
    <n v="3"/>
    <n v="15.294"/>
    <x v="2"/>
    <x v="2"/>
    <x v="9"/>
  </r>
  <r>
    <s v="CA-2015-121797"/>
    <d v="2015-01-30T00:00:00"/>
    <d v="2015-02-06T00:00:00"/>
    <x v="1"/>
    <s v="CC-12145"/>
    <s v="Charles Crestani"/>
    <x v="0"/>
    <x v="2"/>
    <x v="2"/>
    <x v="1"/>
    <s v="FUR-FU-10001876"/>
    <s v="Furniture"/>
    <x v="3"/>
    <s v="Computer Room Manger, 14&quot;"/>
    <n v="227.36"/>
    <n v="7"/>
    <n v="81.849599999999995"/>
    <x v="1"/>
    <x v="1"/>
    <x v="8"/>
  </r>
  <r>
    <s v="CA-2017-132430"/>
    <d v="2017-10-09T00:00:00"/>
    <d v="2017-10-11T00:00:00"/>
    <x v="2"/>
    <s v="CP-12085"/>
    <s v="Cathy Prescott"/>
    <x v="1"/>
    <x v="174"/>
    <x v="15"/>
    <x v="2"/>
    <s v="FUR-FU-10003577"/>
    <s v="Furniture"/>
    <x v="3"/>
    <s v="Nu-Dell Leatherette Frames"/>
    <n v="45.887999999999998"/>
    <n v="4"/>
    <n v="9.1776"/>
    <x v="3"/>
    <x v="3"/>
    <x v="1"/>
  </r>
  <r>
    <s v="CA-2014-110030"/>
    <d v="2014-12-06T00:00:00"/>
    <d v="2014-12-08T00:00:00"/>
    <x v="0"/>
    <s v="LF-17185"/>
    <s v="Luke Foster"/>
    <x v="0"/>
    <x v="6"/>
    <x v="5"/>
    <x v="3"/>
    <s v="FUR-FU-10002759"/>
    <s v="Furniture"/>
    <x v="3"/>
    <s v="12-1/2 Diameter Round Wall Clock"/>
    <n v="23.975999999999999"/>
    <n v="3"/>
    <n v="-14.3856"/>
    <x v="3"/>
    <x v="2"/>
    <x v="5"/>
  </r>
  <r>
    <s v="CA-2017-149888"/>
    <d v="2017-11-07T00:00:00"/>
    <d v="2017-11-13T00:00:00"/>
    <x v="1"/>
    <s v="EP-13915"/>
    <s v="Emily Phan"/>
    <x v="0"/>
    <x v="3"/>
    <x v="3"/>
    <x v="2"/>
    <s v="FUR-TA-10000849"/>
    <s v="Furniture"/>
    <x v="2"/>
    <s v="Bevis Rectangular Conference Tables"/>
    <n v="350.35199999999998"/>
    <n v="4"/>
    <n v="-140.14080000000001"/>
    <x v="6"/>
    <x v="3"/>
    <x v="0"/>
  </r>
  <r>
    <s v="CA-2017-104801"/>
    <d v="2017-02-13T00:00:00"/>
    <d v="2017-02-19T00:00:00"/>
    <x v="1"/>
    <s v="FH-14350"/>
    <s v="Fred Harton"/>
    <x v="0"/>
    <x v="15"/>
    <x v="13"/>
    <x v="1"/>
    <s v="FUR-FU-10004017"/>
    <s v="Furniture"/>
    <x v="3"/>
    <s v="Tenex Contemporary Contur Chairmats for Low and Medium Pile Carpet, Computer, 39&quot; x 49&quot;"/>
    <n v="107.53"/>
    <n v="1"/>
    <n v="21.506"/>
    <x v="6"/>
    <x v="3"/>
    <x v="11"/>
  </r>
  <r>
    <s v="CA-2015-115798"/>
    <d v="2015-11-13T00:00:00"/>
    <d v="2015-11-19T00:00:00"/>
    <x v="1"/>
    <s v="KL-16645"/>
    <s v="Ken Lonsdale"/>
    <x v="0"/>
    <x v="19"/>
    <x v="14"/>
    <x v="2"/>
    <s v="FUR-BO-10004467"/>
    <s v="Furniture"/>
    <x v="0"/>
    <s v="Bestar Classic Bookcase"/>
    <n v="299.97000000000003"/>
    <n v="3"/>
    <n v="56.994300000000003"/>
    <x v="6"/>
    <x v="1"/>
    <x v="0"/>
  </r>
  <r>
    <s v="CA-2014-149244"/>
    <d v="2014-11-04T00:00:00"/>
    <d v="2014-11-08T00:00:00"/>
    <x v="1"/>
    <s v="MS-17530"/>
    <s v="MaryBeth Skach"/>
    <x v="0"/>
    <x v="53"/>
    <x v="2"/>
    <x v="1"/>
    <s v="FUR-FU-10004671"/>
    <s v="Furniture"/>
    <x v="3"/>
    <s v="Executive Impressions 12&quot; Wall Clock"/>
    <n v="35.340000000000003"/>
    <n v="2"/>
    <n v="13.4292"/>
    <x v="4"/>
    <x v="2"/>
    <x v="0"/>
  </r>
  <r>
    <s v="CA-2015-140144"/>
    <d v="2015-06-20T00:00:00"/>
    <d v="2015-06-25T00:00:00"/>
    <x v="0"/>
    <s v="SC-20770"/>
    <s v="Stewart Carmichael"/>
    <x v="1"/>
    <x v="28"/>
    <x v="2"/>
    <x v="1"/>
    <s v="FUR-FU-10002253"/>
    <s v="Furniture"/>
    <x v="3"/>
    <s v="Howard Miller 13&quot; Diameter Pewter Finish Round Wall Clock"/>
    <n v="257.64"/>
    <n v="6"/>
    <n v="100.4796"/>
    <x v="2"/>
    <x v="1"/>
    <x v="2"/>
  </r>
  <r>
    <s v="CA-2014-155887"/>
    <d v="2014-05-12T00:00:00"/>
    <d v="2014-05-17T00:00:00"/>
    <x v="1"/>
    <s v="KT-16480"/>
    <s v="Kean Thornton"/>
    <x v="0"/>
    <x v="20"/>
    <x v="20"/>
    <x v="2"/>
    <s v="FUR-TA-10002228"/>
    <s v="Furniture"/>
    <x v="2"/>
    <s v="Bevis Traditional Conference Table Top, Plinth Base"/>
    <n v="700.05600000000004"/>
    <n v="3"/>
    <n v="-130.0104"/>
    <x v="2"/>
    <x v="2"/>
    <x v="7"/>
  </r>
  <r>
    <s v="US-2014-141257"/>
    <d v="2014-06-08T00:00:00"/>
    <d v="2014-06-14T00:00:00"/>
    <x v="1"/>
    <s v="CS-11950"/>
    <s v="Carlos Soltero"/>
    <x v="0"/>
    <x v="15"/>
    <x v="13"/>
    <x v="1"/>
    <s v="FUR-CH-10002758"/>
    <s v="Furniture"/>
    <x v="1"/>
    <s v="Hon Deluxe Fabric Upholstered Stacking Chairs, Squared Back"/>
    <n v="585.55200000000002"/>
    <n v="3"/>
    <n v="73.194000000000003"/>
    <x v="6"/>
    <x v="2"/>
    <x v="2"/>
  </r>
  <r>
    <s v="CA-2014-158029"/>
    <d v="2014-05-26T00:00:00"/>
    <d v="2014-05-30T00:00:00"/>
    <x v="1"/>
    <s v="HF-14995"/>
    <s v="Herbert Flentye"/>
    <x v="0"/>
    <x v="2"/>
    <x v="2"/>
    <x v="1"/>
    <s v="FUR-CH-10000988"/>
    <s v="Furniture"/>
    <x v="1"/>
    <s v="Hon Olson Stacker Stools"/>
    <n v="225.29599999999999"/>
    <n v="2"/>
    <n v="22.529599999999999"/>
    <x v="4"/>
    <x v="2"/>
    <x v="7"/>
  </r>
  <r>
    <s v="CA-2016-146171"/>
    <d v="2016-03-11T00:00:00"/>
    <d v="2016-03-15T00:00:00"/>
    <x v="1"/>
    <s v="JP-16135"/>
    <s v="Julie Prescott"/>
    <x v="2"/>
    <x v="29"/>
    <x v="24"/>
    <x v="0"/>
    <s v="FUR-FU-10004270"/>
    <s v="Furniture"/>
    <x v="3"/>
    <s v="Executive Impressions 13&quot; Clairmont Wall Clock"/>
    <n v="76.92"/>
    <n v="4"/>
    <n v="31.537199999999999"/>
    <x v="4"/>
    <x v="0"/>
    <x v="9"/>
  </r>
  <r>
    <s v="CA-2017-158967"/>
    <d v="2017-12-10T00:00:00"/>
    <d v="2017-12-12T00:00:00"/>
    <x v="2"/>
    <s v="BT-11680"/>
    <s v="Brian Thompson"/>
    <x v="0"/>
    <x v="1"/>
    <x v="1"/>
    <x v="0"/>
    <s v="FUR-FU-10001940"/>
    <s v="Furniture"/>
    <x v="3"/>
    <s v="Staple-based wall hangings"/>
    <n v="19.103999999999999"/>
    <n v="3"/>
    <n v="5.7312000000000003"/>
    <x v="3"/>
    <x v="3"/>
    <x v="5"/>
  </r>
  <r>
    <s v="CA-2015-138534"/>
    <d v="2015-07-17T00:00:00"/>
    <d v="2015-07-19T00:00:00"/>
    <x v="0"/>
    <s v="JM-15535"/>
    <s v="Jessica Myrick"/>
    <x v="0"/>
    <x v="175"/>
    <x v="2"/>
    <x v="1"/>
    <s v="FUR-BO-10003159"/>
    <s v="Furniture"/>
    <x v="0"/>
    <s v="Sauder Camden County Collection Libraries, Planked Cherry Finish"/>
    <n v="195.46600000000001"/>
    <n v="2"/>
    <n v="-13.797599999999999"/>
    <x v="3"/>
    <x v="1"/>
    <x v="3"/>
  </r>
  <r>
    <s v="CA-2017-108322"/>
    <d v="2017-04-30T00:00:00"/>
    <d v="2017-05-05T00:00:00"/>
    <x v="1"/>
    <s v="SS-20140"/>
    <s v="Saphhira Shifley"/>
    <x v="1"/>
    <x v="176"/>
    <x v="1"/>
    <x v="0"/>
    <s v="FUR-FU-10001935"/>
    <s v="Furniture"/>
    <x v="3"/>
    <s v="3M Hangers With Command Adhesive"/>
    <n v="23.68"/>
    <n v="8"/>
    <n v="6.2160000000000002"/>
    <x v="2"/>
    <x v="3"/>
    <x v="6"/>
  </r>
  <r>
    <s v="CA-2015-149972"/>
    <d v="2015-09-21T00:00:00"/>
    <d v="2015-09-23T00:00:00"/>
    <x v="2"/>
    <s v="CD-12790"/>
    <s v="Cynthia Delaney"/>
    <x v="2"/>
    <x v="2"/>
    <x v="2"/>
    <x v="1"/>
    <s v="FUR-CH-10004997"/>
    <s v="Furniture"/>
    <x v="1"/>
    <s v="Hon Every-Day Series Multi-Task Chairs"/>
    <n v="601.53599999999994"/>
    <n v="4"/>
    <n v="0"/>
    <x v="3"/>
    <x v="1"/>
    <x v="4"/>
  </r>
  <r>
    <s v="US-2014-117744"/>
    <d v="2014-12-02T00:00:00"/>
    <d v="2014-12-06T00:00:00"/>
    <x v="1"/>
    <s v="MD-17860"/>
    <s v="Michael Dominguez"/>
    <x v="1"/>
    <x v="177"/>
    <x v="5"/>
    <x v="3"/>
    <s v="FUR-FU-10001588"/>
    <s v="Furniture"/>
    <x v="3"/>
    <s v="Deflect-o SuperTray Unbreakable Stackable Tray, Letter, Black"/>
    <n v="58.36"/>
    <n v="5"/>
    <n v="-24.803000000000001"/>
    <x v="4"/>
    <x v="2"/>
    <x v="5"/>
  </r>
  <r>
    <s v="US-2014-117744"/>
    <d v="2014-12-02T00:00:00"/>
    <d v="2014-12-06T00:00:00"/>
    <x v="1"/>
    <s v="MD-17860"/>
    <s v="Michael Dominguez"/>
    <x v="1"/>
    <x v="177"/>
    <x v="5"/>
    <x v="3"/>
    <s v="FUR-FU-10002759"/>
    <s v="Furniture"/>
    <x v="3"/>
    <s v="12-1/2 Diameter Round Wall Clock"/>
    <n v="39.96"/>
    <n v="5"/>
    <n v="-23.975999999999999"/>
    <x v="4"/>
    <x v="2"/>
    <x v="5"/>
  </r>
  <r>
    <s v="CA-2014-154599"/>
    <d v="2014-04-12T00:00:00"/>
    <d v="2014-04-17T00:00:00"/>
    <x v="1"/>
    <s v="KN-16450"/>
    <s v="Kean Nguyen"/>
    <x v="1"/>
    <x v="178"/>
    <x v="2"/>
    <x v="1"/>
    <s v="FUR-BO-10001337"/>
    <s v="Furniture"/>
    <x v="0"/>
    <s v="O'Sullivan Living Dimensions 2-Shelf Bookcases"/>
    <n v="308.49900000000002"/>
    <n v="3"/>
    <n v="-18.146999999999998"/>
    <x v="2"/>
    <x v="2"/>
    <x v="6"/>
  </r>
  <r>
    <s v="CA-2017-143329"/>
    <d v="2017-11-03T00:00:00"/>
    <d v="2017-11-08T00:00:00"/>
    <x v="1"/>
    <s v="DL-13330"/>
    <s v="Denise Leinenbach"/>
    <x v="0"/>
    <x v="179"/>
    <x v="41"/>
    <x v="1"/>
    <s v="FUR-FU-10000629"/>
    <s v="Furniture"/>
    <x v="3"/>
    <s v="9-3/4 Diameter Round Wall Clock"/>
    <n v="41.37"/>
    <n v="3"/>
    <n v="17.375399999999999"/>
    <x v="2"/>
    <x v="3"/>
    <x v="0"/>
  </r>
  <r>
    <s v="CA-2015-122623"/>
    <d v="2015-09-07T00:00:00"/>
    <d v="2015-09-11T00:00:00"/>
    <x v="1"/>
    <s v="CC-12145"/>
    <s v="Charles Crestani"/>
    <x v="0"/>
    <x v="116"/>
    <x v="5"/>
    <x v="3"/>
    <s v="FUR-CH-10000553"/>
    <s v="Furniture"/>
    <x v="1"/>
    <s v="Metal Folding Chairs, Beige, 4/Carton"/>
    <n v="47.515999999999998"/>
    <n v="2"/>
    <n v="-2.0364"/>
    <x v="4"/>
    <x v="1"/>
    <x v="4"/>
  </r>
  <r>
    <s v="CA-2015-148635"/>
    <d v="2015-07-25T00:00:00"/>
    <d v="2015-07-27T00:00:00"/>
    <x v="0"/>
    <s v="MH-18025"/>
    <s v="Michelle Huthwaite"/>
    <x v="0"/>
    <x v="15"/>
    <x v="13"/>
    <x v="1"/>
    <s v="FUR-BO-10002213"/>
    <s v="Furniture"/>
    <x v="0"/>
    <s v="Sauder Forest Hills Library, Woodland Oak Finish"/>
    <n v="704.9"/>
    <n v="5"/>
    <n v="56.392000000000003"/>
    <x v="3"/>
    <x v="1"/>
    <x v="3"/>
  </r>
  <r>
    <s v="CA-2015-148635"/>
    <d v="2015-07-25T00:00:00"/>
    <d v="2015-07-27T00:00:00"/>
    <x v="0"/>
    <s v="MH-18025"/>
    <s v="Michelle Huthwaite"/>
    <x v="0"/>
    <x v="15"/>
    <x v="13"/>
    <x v="1"/>
    <s v="FUR-CH-10001854"/>
    <s v="Furniture"/>
    <x v="1"/>
    <s v="Office Star - Professional Matrix Back Chair with 2-to-1 Synchro Tilt and Mesh Fabric Seat"/>
    <n v="561.56799999999998"/>
    <n v="2"/>
    <n v="28.078399999999998"/>
    <x v="3"/>
    <x v="1"/>
    <x v="3"/>
  </r>
  <r>
    <s v="CA-2015-135685"/>
    <d v="2015-11-16T00:00:00"/>
    <d v="2015-11-18T00:00:00"/>
    <x v="0"/>
    <s v="MP-18175"/>
    <s v="Mike Pelletier"/>
    <x v="2"/>
    <x v="79"/>
    <x v="16"/>
    <x v="3"/>
    <s v="FUR-FU-10001185"/>
    <s v="Furniture"/>
    <x v="3"/>
    <s v="Advantus Employee of the Month Certificate Frame, 11 x 13-1/2"/>
    <n v="185.58"/>
    <n v="6"/>
    <n v="76.087800000000001"/>
    <x v="3"/>
    <x v="1"/>
    <x v="0"/>
  </r>
  <r>
    <s v="CA-2015-135685"/>
    <d v="2015-11-16T00:00:00"/>
    <d v="2015-11-18T00:00:00"/>
    <x v="0"/>
    <s v="MP-18175"/>
    <s v="Mike Pelletier"/>
    <x v="2"/>
    <x v="79"/>
    <x v="16"/>
    <x v="3"/>
    <s v="FUR-TA-10001520"/>
    <s v="Furniture"/>
    <x v="2"/>
    <s v="Lesro Sheffield Collection Coffee Table, End Table, Center Table, Corner Table"/>
    <n v="214.11"/>
    <n v="3"/>
    <n v="36.398699999999998"/>
    <x v="3"/>
    <x v="1"/>
    <x v="0"/>
  </r>
  <r>
    <s v="CA-2015-135685"/>
    <d v="2015-11-16T00:00:00"/>
    <d v="2015-11-18T00:00:00"/>
    <x v="0"/>
    <s v="MP-18175"/>
    <s v="Mike Pelletier"/>
    <x v="2"/>
    <x v="79"/>
    <x v="16"/>
    <x v="3"/>
    <s v="FUR-TA-10000688"/>
    <s v="Furniture"/>
    <x v="2"/>
    <s v="Chromcraft Bull-Nose Wood Round Conference Table Top, Wood Base"/>
    <n v="653.54999999999995"/>
    <n v="3"/>
    <n v="111.1035"/>
    <x v="3"/>
    <x v="1"/>
    <x v="0"/>
  </r>
  <r>
    <s v="CA-2015-104626"/>
    <d v="2015-09-01T00:00:00"/>
    <d v="2015-09-08T00:00:00"/>
    <x v="1"/>
    <s v="DR-12940"/>
    <s v="Daniel Raglin"/>
    <x v="2"/>
    <x v="20"/>
    <x v="20"/>
    <x v="2"/>
    <s v="FUR-CH-10003817"/>
    <s v="Furniture"/>
    <x v="1"/>
    <s v="Global Value Steno Chair, Gray"/>
    <n v="60.74"/>
    <n v="1"/>
    <n v="15.185"/>
    <x v="1"/>
    <x v="1"/>
    <x v="4"/>
  </r>
  <r>
    <s v="CA-2015-104626"/>
    <d v="2015-09-01T00:00:00"/>
    <d v="2015-09-08T00:00:00"/>
    <x v="1"/>
    <s v="DR-12940"/>
    <s v="Daniel Raglin"/>
    <x v="2"/>
    <x v="20"/>
    <x v="20"/>
    <x v="2"/>
    <s v="FUR-FU-10000308"/>
    <s v="Furniture"/>
    <x v="3"/>
    <s v="Deflect-o Glass Clear Studded Chair Mats"/>
    <n v="124.36"/>
    <n v="2"/>
    <n v="27.359200000000001"/>
    <x v="1"/>
    <x v="1"/>
    <x v="4"/>
  </r>
  <r>
    <s v="CA-2016-160500"/>
    <d v="2016-05-05T00:00:00"/>
    <d v="2016-05-08T00:00:00"/>
    <x v="2"/>
    <s v="DM-13015"/>
    <s v="Darrin Martin"/>
    <x v="0"/>
    <x v="92"/>
    <x v="2"/>
    <x v="1"/>
    <s v="FUR-TA-10003748"/>
    <s v="Furniture"/>
    <x v="2"/>
    <s v="Bevis 36 x 72 Conference Tables"/>
    <n v="298.77600000000001"/>
    <n v="3"/>
    <n v="7.4694000000000003"/>
    <x v="0"/>
    <x v="0"/>
    <x v="7"/>
  </r>
  <r>
    <s v="US-2014-112914"/>
    <d v="2014-09-25T00:00:00"/>
    <d v="2014-09-30T00:00:00"/>
    <x v="1"/>
    <s v="MT-18070"/>
    <s v="Michelle Tran"/>
    <x v="2"/>
    <x v="6"/>
    <x v="5"/>
    <x v="3"/>
    <s v="FUR-BO-10003272"/>
    <s v="Furniture"/>
    <x v="0"/>
    <s v="O'Sullivan Living Dimensions 5-Shelf Bookcases"/>
    <n v="300.53280000000001"/>
    <n v="2"/>
    <n v="-97.231200000000001"/>
    <x v="2"/>
    <x v="2"/>
    <x v="4"/>
  </r>
  <r>
    <s v="US-2014-125521"/>
    <d v="2014-03-14T00:00:00"/>
    <d v="2014-03-19T00:00:00"/>
    <x v="1"/>
    <s v="CK-12325"/>
    <s v="Christine Kargatis"/>
    <x v="2"/>
    <x v="180"/>
    <x v="25"/>
    <x v="0"/>
    <s v="FUR-CH-10003379"/>
    <s v="Furniture"/>
    <x v="1"/>
    <s v="Global Commerce Series High-Back Swivel/Tilt Chairs"/>
    <n v="1139.92"/>
    <n v="4"/>
    <n v="284.98"/>
    <x v="2"/>
    <x v="2"/>
    <x v="9"/>
  </r>
  <r>
    <s v="US-2016-162852"/>
    <d v="2016-12-27T00:00:00"/>
    <d v="2016-12-31T00:00:00"/>
    <x v="1"/>
    <s v="BG-11695"/>
    <s v="Brooke Gillingham"/>
    <x v="1"/>
    <x v="181"/>
    <x v="8"/>
    <x v="3"/>
    <s v="FUR-CH-10004853"/>
    <s v="Furniture"/>
    <x v="1"/>
    <s v="Global Manager's Adjustable Task Chair, Storm"/>
    <n v="845.48800000000006"/>
    <n v="8"/>
    <n v="-12.0784"/>
    <x v="4"/>
    <x v="0"/>
    <x v="5"/>
  </r>
  <r>
    <s v="CA-2017-157854"/>
    <d v="2017-04-08T00:00:00"/>
    <d v="2017-04-15T00:00:00"/>
    <x v="1"/>
    <s v="DM-13345"/>
    <s v="Denise Monton"/>
    <x v="1"/>
    <x v="153"/>
    <x v="24"/>
    <x v="0"/>
    <s v="FUR-FU-10003832"/>
    <s v="Furniture"/>
    <x v="3"/>
    <s v="Eldon Expressions Punched Metal &amp; Wood Desk Accessories, Black &amp; Cherry"/>
    <n v="56.28"/>
    <n v="6"/>
    <n v="15.7584"/>
    <x v="1"/>
    <x v="3"/>
    <x v="6"/>
  </r>
  <r>
    <s v="CA-2016-136371"/>
    <d v="2016-03-19T00:00:00"/>
    <d v="2016-03-21T00:00:00"/>
    <x v="0"/>
    <s v="SV-20935"/>
    <s v="Susan Vittorini"/>
    <x v="0"/>
    <x v="64"/>
    <x v="7"/>
    <x v="2"/>
    <s v="FUR-FU-10000409"/>
    <s v="Furniture"/>
    <x v="3"/>
    <s v="GE 4 Foot Flourescent Tube, 40 Watt"/>
    <n v="14.98"/>
    <n v="1"/>
    <n v="6.8907999999999996"/>
    <x v="3"/>
    <x v="0"/>
    <x v="9"/>
  </r>
  <r>
    <s v="CA-2016-136371"/>
    <d v="2016-03-19T00:00:00"/>
    <d v="2016-03-21T00:00:00"/>
    <x v="0"/>
    <s v="SV-20935"/>
    <s v="Susan Vittorini"/>
    <x v="0"/>
    <x v="64"/>
    <x v="7"/>
    <x v="2"/>
    <s v="FUR-FU-10000221"/>
    <s v="Furniture"/>
    <x v="3"/>
    <s v="Master Caster Door Stop, Brown"/>
    <n v="20.32"/>
    <n v="4"/>
    <n v="6.9088000000000003"/>
    <x v="3"/>
    <x v="0"/>
    <x v="9"/>
  </r>
  <r>
    <s v="CA-2016-128594"/>
    <d v="2016-08-26T00:00:00"/>
    <d v="2016-08-29T00:00:00"/>
    <x v="2"/>
    <s v="DJ-13510"/>
    <s v="Don Jones"/>
    <x v="1"/>
    <x v="53"/>
    <x v="2"/>
    <x v="1"/>
    <s v="FUR-CH-10001215"/>
    <s v="Furniture"/>
    <x v="1"/>
    <s v="Global Troy Executive Leather Low-Back Tilter"/>
    <n v="1603.136"/>
    <n v="4"/>
    <n v="100.196"/>
    <x v="0"/>
    <x v="0"/>
    <x v="10"/>
  </r>
  <r>
    <s v="CA-2016-154690"/>
    <d v="2016-08-15T00:00:00"/>
    <d v="2016-08-17T00:00:00"/>
    <x v="0"/>
    <s v="CC-12370"/>
    <s v="Christopher Conant"/>
    <x v="0"/>
    <x v="160"/>
    <x v="30"/>
    <x v="0"/>
    <s v="FUR-CH-10000988"/>
    <s v="Furniture"/>
    <x v="1"/>
    <s v="Hon Olson Stacker Stools"/>
    <n v="225.29599999999999"/>
    <n v="2"/>
    <n v="22.529599999999999"/>
    <x v="3"/>
    <x v="0"/>
    <x v="10"/>
  </r>
  <r>
    <s v="CA-2017-138975"/>
    <d v="2017-05-19T00:00:00"/>
    <d v="2017-05-23T00:00:00"/>
    <x v="1"/>
    <s v="SC-20380"/>
    <s v="Shahid Collister"/>
    <x v="0"/>
    <x v="182"/>
    <x v="24"/>
    <x v="0"/>
    <s v="FUR-BO-10004695"/>
    <s v="Furniture"/>
    <x v="0"/>
    <s v="O'Sullivan 2-Door Barrister Bookcase in Odessa Pine"/>
    <n v="1628.82"/>
    <n v="9"/>
    <n v="374.62860000000001"/>
    <x v="4"/>
    <x v="3"/>
    <x v="7"/>
  </r>
  <r>
    <s v="CA-2017-143861"/>
    <d v="2017-06-12T00:00:00"/>
    <d v="2017-06-19T00:00:00"/>
    <x v="1"/>
    <s v="LC-16885"/>
    <s v="Lena Creighton"/>
    <x v="0"/>
    <x v="66"/>
    <x v="1"/>
    <x v="0"/>
    <s v="FUR-FU-10001546"/>
    <s v="Furniture"/>
    <x v="3"/>
    <s v="Dana Swing-Arm Lamps"/>
    <n v="17.088000000000001"/>
    <n v="2"/>
    <n v="1.0680000000000001"/>
    <x v="1"/>
    <x v="3"/>
    <x v="2"/>
  </r>
  <r>
    <s v="CA-2014-148040"/>
    <d v="2014-03-22T00:00:00"/>
    <d v="2014-03-26T00:00:00"/>
    <x v="1"/>
    <s v="BF-11275"/>
    <s v="Beth Fritzler"/>
    <x v="1"/>
    <x v="104"/>
    <x v="22"/>
    <x v="1"/>
    <s v="FUR-CH-10001482"/>
    <s v="Furniture"/>
    <x v="1"/>
    <s v="Office Star - Mesh Screen back chair with Vinyl seat"/>
    <n v="314.35199999999998"/>
    <n v="3"/>
    <n v="-35.364600000000003"/>
    <x v="4"/>
    <x v="2"/>
    <x v="9"/>
  </r>
  <r>
    <s v="US-2016-167339"/>
    <d v="2016-01-21T00:00:00"/>
    <d v="2016-01-23T00:00:00"/>
    <x v="0"/>
    <s v="TD-20995"/>
    <s v="Tamara Dahlen"/>
    <x v="0"/>
    <x v="53"/>
    <x v="2"/>
    <x v="1"/>
    <s v="FUR-CH-10004289"/>
    <s v="Furniture"/>
    <x v="1"/>
    <s v="Global Super Steno Chair"/>
    <n v="153.56800000000001"/>
    <n v="2"/>
    <n v="-5.7587999999999999"/>
    <x v="3"/>
    <x v="0"/>
    <x v="8"/>
  </r>
  <r>
    <s v="US-2016-167339"/>
    <d v="2016-01-21T00:00:00"/>
    <d v="2016-01-23T00:00:00"/>
    <x v="0"/>
    <s v="TD-20995"/>
    <s v="Tamara Dahlen"/>
    <x v="0"/>
    <x v="53"/>
    <x v="2"/>
    <x v="1"/>
    <s v="FUR-CH-10000785"/>
    <s v="Furniture"/>
    <x v="1"/>
    <s v="Global Ergonomic Managers Chair"/>
    <n v="1013.4880000000001"/>
    <n v="7"/>
    <n v="76.011600000000001"/>
    <x v="3"/>
    <x v="0"/>
    <x v="8"/>
  </r>
  <r>
    <s v="CA-2016-130799"/>
    <d v="2016-11-11T00:00:00"/>
    <d v="2016-11-16T00:00:00"/>
    <x v="0"/>
    <s v="BK-11260"/>
    <s v="Berenike Kampe"/>
    <x v="0"/>
    <x v="28"/>
    <x v="2"/>
    <x v="1"/>
    <s v="FUR-FU-10001852"/>
    <s v="Furniture"/>
    <x v="3"/>
    <s v="Eldon Regeneration Recycled Desk Accessories, Smoke"/>
    <n v="6.96"/>
    <n v="4"/>
    <n v="2.2271999999999998"/>
    <x v="2"/>
    <x v="0"/>
    <x v="0"/>
  </r>
  <r>
    <s v="US-2016-159856"/>
    <d v="2016-10-18T00:00:00"/>
    <d v="2016-10-22T00:00:00"/>
    <x v="1"/>
    <s v="EP-13915"/>
    <s v="Emily Phan"/>
    <x v="0"/>
    <x v="183"/>
    <x v="22"/>
    <x v="1"/>
    <s v="FUR-CH-10003396"/>
    <s v="Furniture"/>
    <x v="1"/>
    <s v="Global Deluxe Steno Chair"/>
    <n v="307.92"/>
    <n v="5"/>
    <n v="-34.640999999999998"/>
    <x v="4"/>
    <x v="0"/>
    <x v="1"/>
  </r>
  <r>
    <s v="CA-2014-142727"/>
    <d v="2014-04-29T00:00:00"/>
    <d v="2014-05-01T00:00:00"/>
    <x v="0"/>
    <s v="HG-14845"/>
    <s v="Harry Greene"/>
    <x v="0"/>
    <x v="184"/>
    <x v="35"/>
    <x v="0"/>
    <s v="FUR-CH-10002304"/>
    <s v="Furniture"/>
    <x v="1"/>
    <s v="Global Stack Chair without Arms, Black"/>
    <n v="51.96"/>
    <n v="2"/>
    <n v="12.99"/>
    <x v="3"/>
    <x v="2"/>
    <x v="6"/>
  </r>
  <r>
    <s v="CA-2017-139913"/>
    <d v="2017-10-23T00:00:00"/>
    <d v="2017-10-29T00:00:00"/>
    <x v="1"/>
    <s v="JC-16105"/>
    <s v="Julie Creighton"/>
    <x v="1"/>
    <x v="77"/>
    <x v="7"/>
    <x v="2"/>
    <s v="FUR-FU-10000771"/>
    <s v="Furniture"/>
    <x v="3"/>
    <s v="Eldon 200 Class Desk Accessories, Smoke"/>
    <n v="69.08"/>
    <n v="11"/>
    <n v="29.0136"/>
    <x v="6"/>
    <x v="3"/>
    <x v="1"/>
  </r>
  <r>
    <s v="US-2015-114839"/>
    <d v="2015-04-26T00:00:00"/>
    <d v="2015-04-30T00:00:00"/>
    <x v="1"/>
    <s v="PW-19240"/>
    <s v="Pierre Wener"/>
    <x v="0"/>
    <x v="6"/>
    <x v="5"/>
    <x v="3"/>
    <s v="FUR-CH-10004086"/>
    <s v="Furniture"/>
    <x v="1"/>
    <s v="Hon 4070 Series Pagoda Armless Upholstered Stacking Chairs"/>
    <n v="408.42200000000003"/>
    <n v="2"/>
    <n v="-5.8346"/>
    <x v="4"/>
    <x v="1"/>
    <x v="6"/>
  </r>
  <r>
    <s v="CA-2016-153577"/>
    <d v="2016-06-27T00:00:00"/>
    <d v="2016-07-01T00:00:00"/>
    <x v="1"/>
    <s v="KH-16330"/>
    <s v="Katharine Harms"/>
    <x v="1"/>
    <x v="185"/>
    <x v="8"/>
    <x v="3"/>
    <s v="FUR-CH-10003981"/>
    <s v="Furniture"/>
    <x v="1"/>
    <s v="Global Commerce Series Low-Back Swivel/Tilt Chairs"/>
    <n v="539.65800000000002"/>
    <n v="3"/>
    <n v="-7.7093999999999996"/>
    <x v="4"/>
    <x v="0"/>
    <x v="2"/>
  </r>
  <r>
    <s v="CA-2016-160129"/>
    <d v="2016-11-23T00:00:00"/>
    <d v="2016-11-23T00:00:00"/>
    <x v="3"/>
    <s v="LS-17200"/>
    <s v="Luke Schmidt"/>
    <x v="1"/>
    <x v="3"/>
    <x v="3"/>
    <x v="2"/>
    <s v="FUR-FU-10002088"/>
    <s v="Furniture"/>
    <x v="3"/>
    <s v="Nu-Dell Float Frame 11 x 14 1/2"/>
    <n v="14.368"/>
    <n v="2"/>
    <n v="3.9512"/>
    <x v="7"/>
    <x v="0"/>
    <x v="0"/>
  </r>
  <r>
    <s v="CA-2016-160129"/>
    <d v="2016-11-23T00:00:00"/>
    <d v="2016-11-23T00:00:00"/>
    <x v="3"/>
    <s v="LS-17200"/>
    <s v="Luke Schmidt"/>
    <x v="1"/>
    <x v="3"/>
    <x v="3"/>
    <x v="2"/>
    <s v="FUR-FU-10003976"/>
    <s v="Furniture"/>
    <x v="3"/>
    <s v="DAX Executive Solid Wood Document Frame, Desktop or Hang, Mahogany, 5 x 7"/>
    <n v="70.447999999999993"/>
    <n v="7"/>
    <n v="12.3284"/>
    <x v="7"/>
    <x v="0"/>
    <x v="0"/>
  </r>
  <r>
    <s v="CA-2014-157721"/>
    <d v="2014-09-02T00:00:00"/>
    <d v="2014-09-05T00:00:00"/>
    <x v="2"/>
    <s v="JM-16195"/>
    <s v="Justin MacKendrick"/>
    <x v="0"/>
    <x v="115"/>
    <x v="7"/>
    <x v="2"/>
    <s v="FUR-FU-10002116"/>
    <s v="Furniture"/>
    <x v="3"/>
    <s v="Tenex Carpeted, Granite-Look or Clear Contemporary Contour Shape Chair Mats"/>
    <n v="70.709999999999994"/>
    <n v="1"/>
    <n v="4.9497"/>
    <x v="0"/>
    <x v="2"/>
    <x v="4"/>
  </r>
  <r>
    <s v="CA-2017-128629"/>
    <d v="2017-07-10T00:00:00"/>
    <d v="2017-07-14T00:00:00"/>
    <x v="0"/>
    <s v="BP-11155"/>
    <s v="Becky Pak"/>
    <x v="0"/>
    <x v="29"/>
    <x v="24"/>
    <x v="0"/>
    <s v="FUR-FU-10000771"/>
    <s v="Furniture"/>
    <x v="3"/>
    <s v="Eldon 200 Class Desk Accessories, Smoke"/>
    <n v="18.84"/>
    <n v="3"/>
    <n v="7.9127999999999998"/>
    <x v="4"/>
    <x v="3"/>
    <x v="3"/>
  </r>
  <r>
    <s v="CA-2017-143434"/>
    <d v="2017-11-18T00:00:00"/>
    <d v="2017-11-24T00:00:00"/>
    <x v="1"/>
    <s v="ME-17320"/>
    <s v="Maria Etezadi"/>
    <x v="2"/>
    <x v="186"/>
    <x v="17"/>
    <x v="3"/>
    <s v="FUR-FU-10002597"/>
    <s v="Furniture"/>
    <x v="3"/>
    <s v="C-Line Magnetic Cubicle Keepers, Clear Polypropylene"/>
    <n v="19.760000000000002"/>
    <n v="4"/>
    <n v="8.2992000000000008"/>
    <x v="6"/>
    <x v="3"/>
    <x v="0"/>
  </r>
  <r>
    <s v="CA-2015-168564"/>
    <d v="2015-08-08T00:00:00"/>
    <d v="2015-08-08T00:00:00"/>
    <x v="3"/>
    <s v="TT-21220"/>
    <s v="Thomas Thornton"/>
    <x v="0"/>
    <x v="28"/>
    <x v="2"/>
    <x v="1"/>
    <s v="FUR-CH-10000785"/>
    <s v="Furniture"/>
    <x v="1"/>
    <s v="Global Ergonomic Managers Chair"/>
    <n v="144.78399999999999"/>
    <n v="1"/>
    <n v="10.8588"/>
    <x v="7"/>
    <x v="1"/>
    <x v="10"/>
  </r>
  <r>
    <s v="CA-2017-155880"/>
    <d v="2017-03-25T00:00:00"/>
    <d v="2017-03-31T00:00:00"/>
    <x v="1"/>
    <s v="JD-16150"/>
    <s v="Justin Deggeller"/>
    <x v="1"/>
    <x v="79"/>
    <x v="16"/>
    <x v="3"/>
    <s v="FUR-CH-10000422"/>
    <s v="Furniture"/>
    <x v="1"/>
    <s v="Global Highback Leather Tilter in Burgundy"/>
    <n v="90.99"/>
    <n v="1"/>
    <n v="14.558400000000001"/>
    <x v="6"/>
    <x v="3"/>
    <x v="9"/>
  </r>
  <r>
    <s v="CA-2017-155880"/>
    <d v="2017-03-25T00:00:00"/>
    <d v="2017-03-31T00:00:00"/>
    <x v="1"/>
    <s v="JD-16150"/>
    <s v="Justin Deggeller"/>
    <x v="1"/>
    <x v="79"/>
    <x v="16"/>
    <x v="3"/>
    <s v="FUR-CH-10004675"/>
    <s v="Furniture"/>
    <x v="1"/>
    <s v="Lifetime Advantage Folding Chairs, 4/Carton"/>
    <n v="1526.56"/>
    <n v="7"/>
    <n v="427.43680000000001"/>
    <x v="6"/>
    <x v="3"/>
    <x v="9"/>
  </r>
  <r>
    <s v="CA-2017-155880"/>
    <d v="2017-03-25T00:00:00"/>
    <d v="2017-03-31T00:00:00"/>
    <x v="1"/>
    <s v="JD-16150"/>
    <s v="Justin Deggeller"/>
    <x v="1"/>
    <x v="79"/>
    <x v="16"/>
    <x v="3"/>
    <s v="FUR-CH-10002880"/>
    <s v="Furniture"/>
    <x v="1"/>
    <s v="Global High-Back Leather Tilter, Burgundy"/>
    <n v="368.97"/>
    <n v="3"/>
    <n v="40.5867"/>
    <x v="6"/>
    <x v="3"/>
    <x v="9"/>
  </r>
  <r>
    <s v="CA-2017-126242"/>
    <d v="2017-11-19T00:00:00"/>
    <d v="2017-11-24T00:00:00"/>
    <x v="1"/>
    <s v="MC-18100"/>
    <s v="Mick Crebagga"/>
    <x v="0"/>
    <x v="2"/>
    <x v="2"/>
    <x v="1"/>
    <s v="FUR-FU-10002685"/>
    <s v="Furniture"/>
    <x v="3"/>
    <s v="Executive Impressions 13-1/2&quot; Indoor/Outdoor Wall Clock"/>
    <n v="18.7"/>
    <n v="1"/>
    <n v="7.1059999999999999"/>
    <x v="2"/>
    <x v="3"/>
    <x v="0"/>
  </r>
  <r>
    <s v="CA-2016-166443"/>
    <d v="2016-11-04T00:00:00"/>
    <d v="2016-11-05T00:00:00"/>
    <x v="2"/>
    <s v="LH-17020"/>
    <s v="Lisa Hazard"/>
    <x v="0"/>
    <x v="28"/>
    <x v="2"/>
    <x v="1"/>
    <s v="FUR-FU-10004020"/>
    <s v="Furniture"/>
    <x v="3"/>
    <s v="Advantus Panel Wall Acrylic Frame"/>
    <n v="38.29"/>
    <n v="7"/>
    <n v="16.464700000000001"/>
    <x v="5"/>
    <x v="0"/>
    <x v="0"/>
  </r>
  <r>
    <s v="CA-2017-169859"/>
    <d v="2017-12-14T00:00:00"/>
    <d v="2017-12-18T00:00:00"/>
    <x v="1"/>
    <s v="MP-18175"/>
    <s v="Mike Pelletier"/>
    <x v="2"/>
    <x v="53"/>
    <x v="2"/>
    <x v="1"/>
    <s v="FUR-FU-10004963"/>
    <s v="Furniture"/>
    <x v="3"/>
    <s v="Eldon 400 Class Desk Accessories, Black Carbon"/>
    <n v="26.25"/>
    <n v="3"/>
    <n v="11.025"/>
    <x v="4"/>
    <x v="3"/>
    <x v="5"/>
  </r>
  <r>
    <s v="CA-2017-134915"/>
    <d v="2017-11-12T00:00:00"/>
    <d v="2017-11-12T00:00:00"/>
    <x v="3"/>
    <s v="EM-14140"/>
    <s v="Eugene Moren"/>
    <x v="2"/>
    <x v="110"/>
    <x v="22"/>
    <x v="1"/>
    <s v="FUR-CH-10004875"/>
    <s v="Furniture"/>
    <x v="1"/>
    <s v="Harbour Creations 67200 Series Stacking Chairs"/>
    <n v="113.88800000000001"/>
    <n v="2"/>
    <n v="9.9651999999999994"/>
    <x v="7"/>
    <x v="3"/>
    <x v="0"/>
  </r>
  <r>
    <s v="CA-2017-134915"/>
    <d v="2017-11-12T00:00:00"/>
    <d v="2017-11-12T00:00:00"/>
    <x v="3"/>
    <s v="EM-14140"/>
    <s v="Eugene Moren"/>
    <x v="2"/>
    <x v="110"/>
    <x v="22"/>
    <x v="1"/>
    <s v="FUR-FU-10000305"/>
    <s v="Furniture"/>
    <x v="3"/>
    <s v="Tenex V2T-RE Standard Weight Series Chair Mat, 45&quot; x 53&quot;, Lip 25&quot; x 12&quot;"/>
    <n v="113.568"/>
    <n v="2"/>
    <n v="-5.6783999999999999"/>
    <x v="7"/>
    <x v="3"/>
    <x v="0"/>
  </r>
  <r>
    <s v="CA-2017-123638"/>
    <d v="2017-06-27T00:00:00"/>
    <d v="2017-07-04T00:00:00"/>
    <x v="1"/>
    <s v="MA-17995"/>
    <s v="Michelle Arnett"/>
    <x v="2"/>
    <x v="115"/>
    <x v="7"/>
    <x v="2"/>
    <s v="FUR-CH-10002647"/>
    <s v="Furniture"/>
    <x v="1"/>
    <s v="Situations Contoured Folding Chairs, 4/Set"/>
    <n v="191.64599999999999"/>
    <n v="3"/>
    <n v="31.940999999999999"/>
    <x v="1"/>
    <x v="3"/>
    <x v="2"/>
  </r>
  <r>
    <s v="CA-2017-137428"/>
    <d v="2017-12-16T00:00:00"/>
    <d v="2017-12-21T00:00:00"/>
    <x v="0"/>
    <s v="AY-10555"/>
    <s v="Andy Yotov"/>
    <x v="1"/>
    <x v="64"/>
    <x v="2"/>
    <x v="1"/>
    <s v="FUR-CH-10002774"/>
    <s v="Furniture"/>
    <x v="1"/>
    <s v="Global Deluxe Stacking Chair, Gray"/>
    <n v="81.567999999999998"/>
    <n v="2"/>
    <n v="9.1763999999999992"/>
    <x v="2"/>
    <x v="3"/>
    <x v="5"/>
  </r>
  <r>
    <s v="CA-2017-137428"/>
    <d v="2017-12-16T00:00:00"/>
    <d v="2017-12-21T00:00:00"/>
    <x v="0"/>
    <s v="AY-10555"/>
    <s v="Andy Yotov"/>
    <x v="1"/>
    <x v="64"/>
    <x v="2"/>
    <x v="1"/>
    <s v="FUR-CH-10003817"/>
    <s v="Furniture"/>
    <x v="1"/>
    <s v="Global Value Steno Chair, Gray"/>
    <n v="97.183999999999997"/>
    <n v="2"/>
    <n v="6.0739999999999998"/>
    <x v="2"/>
    <x v="3"/>
    <x v="5"/>
  </r>
  <r>
    <s v="CA-2017-137428"/>
    <d v="2017-12-16T00:00:00"/>
    <d v="2017-12-21T00:00:00"/>
    <x v="0"/>
    <s v="AY-10555"/>
    <s v="Andy Yotov"/>
    <x v="1"/>
    <x v="64"/>
    <x v="2"/>
    <x v="1"/>
    <s v="FUR-FU-10002445"/>
    <s v="Furniture"/>
    <x v="3"/>
    <s v="DAX Two-Tone Rosewood/Black Document Frame, Desktop, 5 x 7"/>
    <n v="18.96"/>
    <n v="2"/>
    <n v="7.5839999999999996"/>
    <x v="2"/>
    <x v="3"/>
    <x v="5"/>
  </r>
  <r>
    <s v="CA-2014-162866"/>
    <d v="2014-12-27T00:00:00"/>
    <d v="2014-12-31T00:00:00"/>
    <x v="1"/>
    <s v="Co-12640"/>
    <s v="Corey-Lock"/>
    <x v="0"/>
    <x v="187"/>
    <x v="8"/>
    <x v="3"/>
    <s v="FUR-FU-10001473"/>
    <s v="Furniture"/>
    <x v="3"/>
    <s v="DAX Wood Document Frame"/>
    <n v="32.951999999999998"/>
    <n v="6"/>
    <n v="-19.7712"/>
    <x v="4"/>
    <x v="2"/>
    <x v="5"/>
  </r>
  <r>
    <s v="CA-2017-167941"/>
    <d v="2017-11-06T00:00:00"/>
    <d v="2017-11-09T00:00:00"/>
    <x v="0"/>
    <s v="JF-15565"/>
    <s v="Jill Fjeld"/>
    <x v="0"/>
    <x v="160"/>
    <x v="30"/>
    <x v="0"/>
    <s v="FUR-FU-10004671"/>
    <s v="Furniture"/>
    <x v="3"/>
    <s v="Executive Impressions 12&quot; Wall Clock"/>
    <n v="28.271999999999998"/>
    <n v="2"/>
    <n v="6.3612000000000002"/>
    <x v="0"/>
    <x v="3"/>
    <x v="0"/>
  </r>
  <r>
    <s v="CA-2015-137512"/>
    <d v="2015-05-07T00:00:00"/>
    <d v="2015-05-12T00:00:00"/>
    <x v="1"/>
    <s v="AG-10675"/>
    <s v="Anna Gayman"/>
    <x v="0"/>
    <x v="188"/>
    <x v="5"/>
    <x v="3"/>
    <s v="FUR-TA-10001095"/>
    <s v="Furniture"/>
    <x v="2"/>
    <s v="Chromcraft Round Conference Tables"/>
    <n v="244.006"/>
    <n v="2"/>
    <n v="-31.372199999999999"/>
    <x v="2"/>
    <x v="1"/>
    <x v="7"/>
  </r>
  <r>
    <s v="CA-2017-139773"/>
    <d v="2017-12-04T00:00:00"/>
    <d v="2017-12-04T00:00:00"/>
    <x v="3"/>
    <s v="DV-13045"/>
    <s v="Darrin Van Huff"/>
    <x v="1"/>
    <x v="3"/>
    <x v="3"/>
    <x v="2"/>
    <s v="FUR-CH-10001797"/>
    <s v="Furniture"/>
    <x v="1"/>
    <s v="Safco Chair Connectors, 6/Carton"/>
    <n v="188.55199999999999"/>
    <n v="7"/>
    <n v="-2.6936"/>
    <x v="7"/>
    <x v="3"/>
    <x v="5"/>
  </r>
  <r>
    <s v="CA-2014-109232"/>
    <d v="2014-01-13T00:00:00"/>
    <d v="2014-01-16T00:00:00"/>
    <x v="0"/>
    <s v="ND-18370"/>
    <s v="Natalie DeCherney"/>
    <x v="0"/>
    <x v="189"/>
    <x v="10"/>
    <x v="0"/>
    <s v="FUR-CH-10000422"/>
    <s v="Furniture"/>
    <x v="1"/>
    <s v="Global Highback Leather Tilter in Burgundy"/>
    <n v="545.94000000000005"/>
    <n v="6"/>
    <n v="87.350399999999993"/>
    <x v="0"/>
    <x v="2"/>
    <x v="8"/>
  </r>
  <r>
    <s v="CA-2015-139850"/>
    <d v="2015-06-12T00:00:00"/>
    <d v="2015-06-17T00:00:00"/>
    <x v="1"/>
    <s v="GB-14575"/>
    <s v="Giulietta Baptist"/>
    <x v="0"/>
    <x v="3"/>
    <x v="3"/>
    <x v="2"/>
    <s v="FUR-FU-10003623"/>
    <s v="Furniture"/>
    <x v="3"/>
    <s v="DataProducts Ampli Magnifier Task Lamp, Black,"/>
    <n v="43.295999999999999"/>
    <n v="2"/>
    <n v="4.3296000000000001"/>
    <x v="2"/>
    <x v="1"/>
    <x v="2"/>
  </r>
  <r>
    <s v="CA-2014-131310"/>
    <d v="2014-07-12T00:00:00"/>
    <d v="2014-07-18T00:00:00"/>
    <x v="1"/>
    <s v="CL-12565"/>
    <s v="Clay Ludtke"/>
    <x v="0"/>
    <x v="15"/>
    <x v="13"/>
    <x v="1"/>
    <s v="FUR-CH-10001797"/>
    <s v="Furniture"/>
    <x v="1"/>
    <s v="Safco Chair Connectors, 6/Carton"/>
    <n v="123.136"/>
    <n v="4"/>
    <n v="13.8528"/>
    <x v="6"/>
    <x v="2"/>
    <x v="3"/>
  </r>
  <r>
    <s v="US-2014-112872"/>
    <d v="2014-12-06T00:00:00"/>
    <d v="2014-12-11T00:00:00"/>
    <x v="0"/>
    <s v="RC-19960"/>
    <s v="Ryan Crowe"/>
    <x v="0"/>
    <x v="76"/>
    <x v="36"/>
    <x v="1"/>
    <s v="FUR-TA-10003238"/>
    <s v="Furniture"/>
    <x v="2"/>
    <s v="Chromcraft Bull-Nose Wood 48&quot; x 96&quot; Rectangular Conference Tables"/>
    <n v="275.49"/>
    <n v="1"/>
    <n v="-170.8038"/>
    <x v="2"/>
    <x v="2"/>
    <x v="5"/>
  </r>
  <r>
    <s v="CA-2016-139269"/>
    <d v="2016-05-25T00:00:00"/>
    <d v="2016-05-30T00:00:00"/>
    <x v="1"/>
    <s v="JB-16045"/>
    <s v="Julia Barnett"/>
    <x v="2"/>
    <x v="29"/>
    <x v="24"/>
    <x v="0"/>
    <s v="FUR-FU-10000755"/>
    <s v="Furniture"/>
    <x v="3"/>
    <s v="Eldon Expressions Mahogany Wood Desk Collection"/>
    <n v="24.96"/>
    <n v="4"/>
    <n v="6.24"/>
    <x v="2"/>
    <x v="0"/>
    <x v="7"/>
  </r>
  <r>
    <s v="CA-2014-138317"/>
    <d v="2014-06-21T00:00:00"/>
    <d v="2014-06-25T00:00:00"/>
    <x v="1"/>
    <s v="NW-18400"/>
    <s v="Natalie Webber"/>
    <x v="0"/>
    <x v="3"/>
    <x v="3"/>
    <x v="2"/>
    <s v="FUR-FU-10000550"/>
    <s v="Furniture"/>
    <x v="3"/>
    <s v="Stacking Trays by OIC"/>
    <n v="3.984"/>
    <n v="1"/>
    <n v="0.64739999999999998"/>
    <x v="4"/>
    <x v="2"/>
    <x v="2"/>
  </r>
  <r>
    <s v="CA-2016-124772"/>
    <d v="2016-12-05T00:00:00"/>
    <d v="2016-12-06T00:00:00"/>
    <x v="2"/>
    <s v="JG-15160"/>
    <s v="James Galang"/>
    <x v="0"/>
    <x v="190"/>
    <x v="0"/>
    <x v="0"/>
    <s v="FUR-FU-10004748"/>
    <s v="Furniture"/>
    <x v="3"/>
    <s v="Howard Miller 16&quot; Diameter Gallery Wall Clock"/>
    <n v="191.82"/>
    <n v="3"/>
    <n v="74.809799999999996"/>
    <x v="5"/>
    <x v="0"/>
    <x v="5"/>
  </r>
  <r>
    <s v="US-2015-138919"/>
    <d v="2015-09-17T00:00:00"/>
    <d v="2015-09-21T00:00:00"/>
    <x v="1"/>
    <s v="LS-16975"/>
    <s v="Lindsay Shagiari"/>
    <x v="2"/>
    <x v="13"/>
    <x v="7"/>
    <x v="2"/>
    <s v="FUR-TA-10004154"/>
    <s v="Furniture"/>
    <x v="2"/>
    <s v="Riverside Furniture Oval Coffee Table, Oval End Table, End Table with Drawer"/>
    <n v="344.22"/>
    <n v="2"/>
    <n v="-103.26600000000001"/>
    <x v="4"/>
    <x v="1"/>
    <x v="4"/>
  </r>
  <r>
    <s v="US-2016-160528"/>
    <d v="2016-08-23T00:00:00"/>
    <d v="2016-08-30T00:00:00"/>
    <x v="1"/>
    <s v="MH-18115"/>
    <s v="Mick Hernandez"/>
    <x v="2"/>
    <x v="191"/>
    <x v="5"/>
    <x v="3"/>
    <s v="FUR-FU-10004973"/>
    <s v="Furniture"/>
    <x v="3"/>
    <s v="Flat Face Poster Frame"/>
    <n v="22.608000000000001"/>
    <n v="3"/>
    <n v="-10.1736"/>
    <x v="1"/>
    <x v="0"/>
    <x v="10"/>
  </r>
  <r>
    <s v="CA-2015-123568"/>
    <d v="2015-11-08T00:00:00"/>
    <d v="2015-11-14T00:00:00"/>
    <x v="1"/>
    <s v="SC-20095"/>
    <s v="Sanjit Chand"/>
    <x v="0"/>
    <x v="192"/>
    <x v="4"/>
    <x v="1"/>
    <s v="FUR-FU-10004090"/>
    <s v="Furniture"/>
    <x v="3"/>
    <s v="Executive Impressions 14&quot; Contract Wall Clock"/>
    <n v="66.69"/>
    <n v="3"/>
    <n v="22.0077"/>
    <x v="6"/>
    <x v="1"/>
    <x v="0"/>
  </r>
  <r>
    <s v="CA-2017-124674"/>
    <d v="2017-11-17T00:00:00"/>
    <d v="2017-11-23T00:00:00"/>
    <x v="1"/>
    <s v="JB-16000"/>
    <s v="Joy Bell-"/>
    <x v="0"/>
    <x v="193"/>
    <x v="5"/>
    <x v="3"/>
    <s v="FUR-BO-10002202"/>
    <s v="Furniture"/>
    <x v="0"/>
    <s v="Atlantic Metals Mobile 2-Shelf Bookcases, Custom Colors"/>
    <n v="327.7328"/>
    <n v="2"/>
    <n v="-14.4588"/>
    <x v="6"/>
    <x v="3"/>
    <x v="0"/>
  </r>
  <r>
    <s v="CA-2017-169054"/>
    <d v="2017-04-22T00:00:00"/>
    <d v="2017-04-26T00:00:00"/>
    <x v="1"/>
    <s v="MO-17800"/>
    <s v="Meg O'Connel"/>
    <x v="2"/>
    <x v="3"/>
    <x v="3"/>
    <x v="2"/>
    <s v="FUR-FU-10001488"/>
    <s v="Furniture"/>
    <x v="3"/>
    <s v="Tenex 46&quot; x 60&quot; Computer Anti-Static Chairmat, Rectangular Shaped"/>
    <n v="254.352"/>
    <n v="3"/>
    <n v="0"/>
    <x v="4"/>
    <x v="3"/>
    <x v="6"/>
  </r>
  <r>
    <s v="CA-2017-116855"/>
    <d v="2017-12-17T00:00:00"/>
    <d v="2017-12-21T00:00:00"/>
    <x v="1"/>
    <s v="AI-10855"/>
    <s v="Arianne Irving"/>
    <x v="0"/>
    <x v="180"/>
    <x v="25"/>
    <x v="0"/>
    <s v="FUR-CH-10003846"/>
    <s v="Furniture"/>
    <x v="1"/>
    <s v="Hon Valutask Swivel Chairs"/>
    <n v="504.9"/>
    <n v="5"/>
    <n v="80.784000000000006"/>
    <x v="4"/>
    <x v="3"/>
    <x v="5"/>
  </r>
  <r>
    <s v="CA-2015-168480"/>
    <d v="2015-09-21T00:00:00"/>
    <d v="2015-09-27T00:00:00"/>
    <x v="1"/>
    <s v="DM-12955"/>
    <s v="Dario Medina"/>
    <x v="1"/>
    <x v="194"/>
    <x v="17"/>
    <x v="3"/>
    <s v="FUR-BO-10000468"/>
    <s v="Furniture"/>
    <x v="0"/>
    <s v="O'Sullivan 2-Shelf Heavy-Duty Bookcases"/>
    <n v="194.32"/>
    <n v="4"/>
    <n v="31.091200000000001"/>
    <x v="6"/>
    <x v="1"/>
    <x v="4"/>
  </r>
  <r>
    <s v="US-2016-114293"/>
    <d v="2016-11-21T00:00:00"/>
    <d v="2016-11-26T00:00:00"/>
    <x v="1"/>
    <s v="JH-16180"/>
    <s v="Justin Hirsh"/>
    <x v="0"/>
    <x v="195"/>
    <x v="36"/>
    <x v="1"/>
    <s v="FUR-CH-10003833"/>
    <s v="Furniture"/>
    <x v="1"/>
    <s v="Novimex Fabric Task Chair"/>
    <n v="195.136"/>
    <n v="4"/>
    <n v="-12.196"/>
    <x v="2"/>
    <x v="0"/>
    <x v="0"/>
  </r>
  <r>
    <s v="US-2015-123960"/>
    <d v="2015-06-11T00:00:00"/>
    <d v="2015-06-16T00:00:00"/>
    <x v="1"/>
    <s v="BD-11605"/>
    <s v="Brian Dahlen"/>
    <x v="0"/>
    <x v="91"/>
    <x v="35"/>
    <x v="0"/>
    <s v="FUR-FU-10004666"/>
    <s v="Furniture"/>
    <x v="3"/>
    <s v="DAX Clear Channel Poster Frame"/>
    <n v="29.16"/>
    <n v="2"/>
    <n v="10.789199999999999"/>
    <x v="2"/>
    <x v="1"/>
    <x v="2"/>
  </r>
  <r>
    <s v="CA-2017-101749"/>
    <d v="2017-10-03T00:00:00"/>
    <d v="2017-10-08T00:00:00"/>
    <x v="1"/>
    <s v="AS-10045"/>
    <s v="Aaron Smayling"/>
    <x v="1"/>
    <x v="102"/>
    <x v="2"/>
    <x v="1"/>
    <s v="FUR-TA-10001520"/>
    <s v="Furniture"/>
    <x v="2"/>
    <s v="Lesro Sheffield Collection Coffee Table, End Table, Center Table, Corner Table"/>
    <n v="171.28800000000001"/>
    <n v="3"/>
    <n v="-6.4233000000000002"/>
    <x v="2"/>
    <x v="3"/>
    <x v="1"/>
  </r>
  <r>
    <s v="US-2016-147991"/>
    <d v="2016-05-05T00:00:00"/>
    <d v="2016-05-09T00:00:00"/>
    <x v="1"/>
    <s v="ZD-21925"/>
    <s v="Zuschuss Donatelli"/>
    <x v="0"/>
    <x v="196"/>
    <x v="9"/>
    <x v="0"/>
    <s v="FUR-FU-10004270"/>
    <s v="Furniture"/>
    <x v="3"/>
    <s v="Eldon Image Series Desk Accessories, Burgundy"/>
    <n v="16.72"/>
    <n v="5"/>
    <n v="3.3439999999999999"/>
    <x v="4"/>
    <x v="0"/>
    <x v="7"/>
  </r>
  <r>
    <s v="CA-2017-149559"/>
    <d v="2017-09-11T00:00:00"/>
    <d v="2017-09-12T00:00:00"/>
    <x v="3"/>
    <s v="KF-16285"/>
    <s v="Karen Ferguson"/>
    <x v="2"/>
    <x v="62"/>
    <x v="2"/>
    <x v="1"/>
    <s v="FUR-CH-10002320"/>
    <s v="Furniture"/>
    <x v="1"/>
    <s v="Hon Pagoda Stacking Chairs"/>
    <n v="2054.2719999999999"/>
    <n v="8"/>
    <n v="256.78399999999999"/>
    <x v="5"/>
    <x v="3"/>
    <x v="4"/>
  </r>
  <r>
    <s v="CA-2017-121419"/>
    <d v="2017-04-02T00:00:00"/>
    <d v="2017-04-04T00:00:00"/>
    <x v="2"/>
    <s v="TC-21475"/>
    <s v="Tony Chapman"/>
    <x v="2"/>
    <x v="29"/>
    <x v="24"/>
    <x v="0"/>
    <s v="FUR-TA-10004534"/>
    <s v="Furniture"/>
    <x v="2"/>
    <s v="Bevis 44 x 96 Conference Tables"/>
    <n v="411.8"/>
    <n v="2"/>
    <n v="70.006"/>
    <x v="3"/>
    <x v="3"/>
    <x v="6"/>
  </r>
  <r>
    <s v="US-2017-148054"/>
    <d v="2017-10-06T00:00:00"/>
    <d v="2017-10-11T00:00:00"/>
    <x v="1"/>
    <s v="NZ-18565"/>
    <s v="Nick Zandusky"/>
    <x v="2"/>
    <x v="197"/>
    <x v="42"/>
    <x v="1"/>
    <s v="FUR-FU-10003247"/>
    <s v="Furniture"/>
    <x v="3"/>
    <s v="36X48 HARDFLOOR CHAIRMAT"/>
    <n v="41.96"/>
    <n v="2"/>
    <n v="2.9371999999999998"/>
    <x v="2"/>
    <x v="3"/>
    <x v="1"/>
  </r>
  <r>
    <s v="CA-2017-131492"/>
    <d v="2017-10-19T00:00:00"/>
    <d v="2017-10-24T00:00:00"/>
    <x v="0"/>
    <s v="HH-15010"/>
    <s v="Hilary Holden"/>
    <x v="1"/>
    <x v="28"/>
    <x v="2"/>
    <x v="1"/>
    <s v="FUR-FU-10003878"/>
    <s v="Furniture"/>
    <x v="3"/>
    <s v="Linden 10&quot; Round Wall Clock, Black"/>
    <n v="30.56"/>
    <n v="2"/>
    <n v="10.3904"/>
    <x v="2"/>
    <x v="3"/>
    <x v="1"/>
  </r>
  <r>
    <s v="CA-2017-131492"/>
    <d v="2017-10-19T00:00:00"/>
    <d v="2017-10-24T00:00:00"/>
    <x v="0"/>
    <s v="HH-15010"/>
    <s v="Hilary Holden"/>
    <x v="1"/>
    <x v="28"/>
    <x v="2"/>
    <x v="1"/>
    <s v="FUR-TA-10003837"/>
    <s v="Furniture"/>
    <x v="2"/>
    <s v="Anderson Hickey Conga Table Tops &amp; Accessories"/>
    <n v="24.367999999999999"/>
    <n v="2"/>
    <n v="-3.3506"/>
    <x v="2"/>
    <x v="3"/>
    <x v="1"/>
  </r>
  <r>
    <s v="CA-2014-119375"/>
    <d v="2014-11-17T00:00:00"/>
    <d v="2014-11-22T00:00:00"/>
    <x v="1"/>
    <s v="YC-21895"/>
    <s v="Yoseph Carroll"/>
    <x v="1"/>
    <x v="19"/>
    <x v="14"/>
    <x v="2"/>
    <s v="FUR-FU-10002379"/>
    <s v="Furniture"/>
    <x v="3"/>
    <s v="Eldon Econocleat Chair Mats for Low Pile Carpets"/>
    <n v="124.41"/>
    <n v="3"/>
    <n v="14.9292"/>
    <x v="2"/>
    <x v="2"/>
    <x v="0"/>
  </r>
  <r>
    <s v="CA-2015-126137"/>
    <d v="2015-10-03T00:00:00"/>
    <d v="2015-10-08T00:00:00"/>
    <x v="1"/>
    <s v="BS-11755"/>
    <s v="Bruce Stewart"/>
    <x v="0"/>
    <x v="2"/>
    <x v="2"/>
    <x v="1"/>
    <s v="FUR-BO-10004409"/>
    <s v="Furniture"/>
    <x v="0"/>
    <s v="Safco Value Mate Series Steel Bookcases, Baked Enamel Finish on Steel, Gray"/>
    <n v="120.666"/>
    <n v="2"/>
    <n v="18.454799999999999"/>
    <x v="2"/>
    <x v="1"/>
    <x v="1"/>
  </r>
  <r>
    <s v="CA-2014-143903"/>
    <d v="2014-07-20T00:00:00"/>
    <d v="2014-07-24T00:00:00"/>
    <x v="1"/>
    <s v="KM-16375"/>
    <s v="Katherine Murray"/>
    <x v="2"/>
    <x v="144"/>
    <x v="5"/>
    <x v="3"/>
    <s v="FUR-FU-10003724"/>
    <s v="Furniture"/>
    <x v="3"/>
    <s v="Westinghouse Clip-On Gooseneck Lamps"/>
    <n v="16.739999999999998"/>
    <n v="5"/>
    <n v="-14.228999999999999"/>
    <x v="4"/>
    <x v="2"/>
    <x v="3"/>
  </r>
  <r>
    <s v="CA-2014-143903"/>
    <d v="2014-07-20T00:00:00"/>
    <d v="2014-07-24T00:00:00"/>
    <x v="1"/>
    <s v="KM-16375"/>
    <s v="Katherine Murray"/>
    <x v="2"/>
    <x v="144"/>
    <x v="5"/>
    <x v="3"/>
    <s v="FUR-CH-10002024"/>
    <s v="Furniture"/>
    <x v="1"/>
    <s v="HON 5400 Series Task Chairs for Big and Tall"/>
    <n v="981.37199999999996"/>
    <n v="2"/>
    <n v="-140.196"/>
    <x v="4"/>
    <x v="2"/>
    <x v="3"/>
  </r>
  <r>
    <s v="CA-2017-118773"/>
    <d v="2017-02-09T00:00:00"/>
    <d v="2017-02-14T00:00:00"/>
    <x v="1"/>
    <s v="TP-21415"/>
    <s v="Tom Prescott"/>
    <x v="0"/>
    <x v="6"/>
    <x v="5"/>
    <x v="3"/>
    <s v="FUR-FU-10000550"/>
    <s v="Furniture"/>
    <x v="3"/>
    <s v="Stacking Trays by OIC"/>
    <n v="3.984"/>
    <n v="2"/>
    <n v="-2.6892"/>
    <x v="2"/>
    <x v="3"/>
    <x v="11"/>
  </r>
  <r>
    <s v="US-2017-159205"/>
    <d v="2017-03-31T00:00:00"/>
    <d v="2017-04-02T00:00:00"/>
    <x v="0"/>
    <s v="DB-12910"/>
    <s v="Daniel Byrd"/>
    <x v="2"/>
    <x v="0"/>
    <x v="0"/>
    <x v="0"/>
    <s v="FUR-FU-10001591"/>
    <s v="Furniture"/>
    <x v="3"/>
    <s v="Advantus Panel Wall Certificate Holder - 8.5x11"/>
    <n v="61"/>
    <n v="5"/>
    <n v="25.62"/>
    <x v="3"/>
    <x v="3"/>
    <x v="9"/>
  </r>
  <r>
    <s v="CA-2017-135692"/>
    <d v="2017-04-27T00:00:00"/>
    <d v="2017-05-01T00:00:00"/>
    <x v="1"/>
    <s v="CV-12805"/>
    <s v="Cynthia Voltz"/>
    <x v="1"/>
    <x v="50"/>
    <x v="5"/>
    <x v="3"/>
    <s v="FUR-BO-10002268"/>
    <s v="Furniture"/>
    <x v="0"/>
    <s v="Sauder Barrister Bookcases"/>
    <n v="220.26560000000001"/>
    <n v="4"/>
    <n v="-42.1096"/>
    <x v="4"/>
    <x v="3"/>
    <x v="6"/>
  </r>
  <r>
    <s v="CA-2017-131233"/>
    <d v="2017-04-14T00:00:00"/>
    <d v="2017-04-19T00:00:00"/>
    <x v="1"/>
    <s v="CS-12355"/>
    <s v="Christine Sundaresam"/>
    <x v="0"/>
    <x v="13"/>
    <x v="7"/>
    <x v="2"/>
    <s v="FUR-BO-10003441"/>
    <s v="Furniture"/>
    <x v="0"/>
    <s v="Bush Westfield Collection Bookcases, Fully Assembled"/>
    <n v="242.352"/>
    <n v="3"/>
    <n v="9.0882000000000005"/>
    <x v="2"/>
    <x v="3"/>
    <x v="6"/>
  </r>
  <r>
    <s v="CA-2017-119578"/>
    <d v="2017-12-22T00:00:00"/>
    <d v="2017-12-27T00:00:00"/>
    <x v="0"/>
    <s v="JG-15310"/>
    <s v="Jason Gross"/>
    <x v="1"/>
    <x v="134"/>
    <x v="38"/>
    <x v="2"/>
    <s v="FUR-BO-10003660"/>
    <s v="Furniture"/>
    <x v="0"/>
    <s v="Bush Cubix Collection Bookcases, Fully Assembled"/>
    <n v="220.98"/>
    <n v="1"/>
    <n v="50.825400000000002"/>
    <x v="2"/>
    <x v="3"/>
    <x v="5"/>
  </r>
  <r>
    <s v="CA-2016-150350"/>
    <d v="2016-08-23T00:00:00"/>
    <d v="2016-08-30T00:00:00"/>
    <x v="1"/>
    <s v="MS-17770"/>
    <s v="Maxwell Schwartz"/>
    <x v="0"/>
    <x v="15"/>
    <x v="13"/>
    <x v="1"/>
    <s v="FUR-CH-10001973"/>
    <s v="Furniture"/>
    <x v="1"/>
    <s v="Office Star Flex Back Scooter Chair with White Frame"/>
    <n v="532.70399999999995"/>
    <n v="6"/>
    <n v="-39.952800000000003"/>
    <x v="1"/>
    <x v="0"/>
    <x v="10"/>
  </r>
  <r>
    <s v="CA-2015-121720"/>
    <d v="2015-06-11T00:00:00"/>
    <d v="2015-06-12T00:00:00"/>
    <x v="2"/>
    <s v="JE-15610"/>
    <s v="Jim Epp"/>
    <x v="1"/>
    <x v="49"/>
    <x v="1"/>
    <x v="0"/>
    <s v="FUR-CH-10003312"/>
    <s v="Furniture"/>
    <x v="1"/>
    <s v="Hon 2090 ÒPillow SoftÓ Series Mid Back Swivel/Tilt Chairs"/>
    <n v="1123.92"/>
    <n v="5"/>
    <n v="-182.637"/>
    <x v="5"/>
    <x v="1"/>
    <x v="2"/>
  </r>
  <r>
    <s v="CA-2015-121720"/>
    <d v="2015-06-11T00:00:00"/>
    <d v="2015-06-12T00:00:00"/>
    <x v="2"/>
    <s v="JE-15610"/>
    <s v="Jim Epp"/>
    <x v="1"/>
    <x v="49"/>
    <x v="1"/>
    <x v="0"/>
    <s v="FUR-FU-10003464"/>
    <s v="Furniture"/>
    <x v="3"/>
    <s v="Seth Thomas 8 1/2&quot; Cubicle Clock"/>
    <n v="48.671999999999997"/>
    <n v="3"/>
    <n v="7.3007999999999997"/>
    <x v="5"/>
    <x v="1"/>
    <x v="2"/>
  </r>
  <r>
    <s v="CA-2014-136399"/>
    <d v="2014-12-16T00:00:00"/>
    <d v="2014-12-17T00:00:00"/>
    <x v="2"/>
    <s v="CC-12100"/>
    <s v="Chad Cunningham"/>
    <x v="2"/>
    <x v="2"/>
    <x v="2"/>
    <x v="1"/>
    <s v="FUR-FU-10004090"/>
    <s v="Furniture"/>
    <x v="3"/>
    <s v="Executive Impressions 14&quot; Contract Wall Clock"/>
    <n v="44.46"/>
    <n v="2"/>
    <n v="14.671799999999999"/>
    <x v="5"/>
    <x v="2"/>
    <x v="5"/>
  </r>
  <r>
    <s v="CA-2014-136399"/>
    <d v="2014-12-16T00:00:00"/>
    <d v="2014-12-17T00:00:00"/>
    <x v="2"/>
    <s v="CC-12100"/>
    <s v="Chad Cunningham"/>
    <x v="2"/>
    <x v="2"/>
    <x v="2"/>
    <x v="1"/>
    <s v="FUR-CH-10002602"/>
    <s v="Furniture"/>
    <x v="1"/>
    <s v="DMI Arturo Collection Mission-style Design Wood Chair"/>
    <n v="241.56800000000001"/>
    <n v="2"/>
    <n v="18.117599999999999"/>
    <x v="5"/>
    <x v="2"/>
    <x v="5"/>
  </r>
  <r>
    <s v="CA-2014-107916"/>
    <d v="2014-08-24T00:00:00"/>
    <d v="2014-08-26T00:00:00"/>
    <x v="2"/>
    <s v="JP-15460"/>
    <s v="Jennifer Patt"/>
    <x v="1"/>
    <x v="64"/>
    <x v="7"/>
    <x v="2"/>
    <s v="FUR-FU-10004586"/>
    <s v="Furniture"/>
    <x v="3"/>
    <s v="G.E. Longer-Life Indoor Recessed Floodlight Bulbs"/>
    <n v="13.28"/>
    <n v="2"/>
    <n v="6.3743999999999996"/>
    <x v="3"/>
    <x v="2"/>
    <x v="10"/>
  </r>
  <r>
    <s v="CA-2017-164168"/>
    <d v="2017-11-12T00:00:00"/>
    <d v="2017-11-18T00:00:00"/>
    <x v="1"/>
    <s v="LS-16975"/>
    <s v="Lindsay Shagiari"/>
    <x v="2"/>
    <x v="144"/>
    <x v="5"/>
    <x v="3"/>
    <s v="FUR-FU-10001756"/>
    <s v="Furniture"/>
    <x v="3"/>
    <s v="Eldon Expressions Desk Accessory, Wood Photo Frame, Mahogany"/>
    <n v="22.847999999999999"/>
    <n v="3"/>
    <n v="-17.7072"/>
    <x v="6"/>
    <x v="3"/>
    <x v="0"/>
  </r>
  <r>
    <s v="US-2016-148110"/>
    <d v="2016-09-05T00:00:00"/>
    <d v="2016-09-11T00:00:00"/>
    <x v="1"/>
    <s v="AR-10825"/>
    <s v="Anthony Rawles"/>
    <x v="1"/>
    <x v="198"/>
    <x v="5"/>
    <x v="3"/>
    <s v="FUR-CH-10002647"/>
    <s v="Furniture"/>
    <x v="1"/>
    <s v="Situations Contoured Folding Chairs, 4/Set"/>
    <n v="347.80200000000002"/>
    <n v="7"/>
    <n v="-24.843"/>
    <x v="6"/>
    <x v="0"/>
    <x v="4"/>
  </r>
  <r>
    <s v="CA-2017-131828"/>
    <d v="2017-02-11T00:00:00"/>
    <d v="2017-02-13T00:00:00"/>
    <x v="0"/>
    <s v="CS-11845"/>
    <s v="Cari Sayre"/>
    <x v="1"/>
    <x v="15"/>
    <x v="13"/>
    <x v="1"/>
    <s v="FUR-CH-10004495"/>
    <s v="Furniture"/>
    <x v="1"/>
    <s v="Global Leather and Oak Executive Chair, Black"/>
    <n v="963.13599999999997"/>
    <n v="4"/>
    <n v="108.3528"/>
    <x v="3"/>
    <x v="3"/>
    <x v="11"/>
  </r>
  <r>
    <s v="CA-2015-147830"/>
    <d v="2015-12-15T00:00:00"/>
    <d v="2015-12-18T00:00:00"/>
    <x v="2"/>
    <s v="NF-18385"/>
    <s v="Natalie Fritzler"/>
    <x v="0"/>
    <x v="19"/>
    <x v="15"/>
    <x v="2"/>
    <s v="FUR-FU-10004091"/>
    <s v="Furniture"/>
    <x v="3"/>
    <s v="Howard Miller 13&quot; Diameter Goldtone Round Wall Clock"/>
    <n v="262.86399999999998"/>
    <n v="7"/>
    <n v="69.001800000000003"/>
    <x v="0"/>
    <x v="1"/>
    <x v="5"/>
  </r>
  <r>
    <s v="CA-2015-139584"/>
    <d v="2015-08-24T00:00:00"/>
    <d v="2015-08-28T00:00:00"/>
    <x v="1"/>
    <s v="EM-13810"/>
    <s v="Eleni McCrary"/>
    <x v="1"/>
    <x v="13"/>
    <x v="7"/>
    <x v="2"/>
    <s v="FUR-TA-10001539"/>
    <s v="Furniture"/>
    <x v="2"/>
    <s v="Chromcraft Rectangular Conference Tables"/>
    <n v="284.36399999999998"/>
    <n v="2"/>
    <n v="-75.830399999999997"/>
    <x v="4"/>
    <x v="1"/>
    <x v="10"/>
  </r>
  <r>
    <s v="CA-2016-146682"/>
    <d v="2016-10-29T00:00:00"/>
    <d v="2016-10-31T00:00:00"/>
    <x v="2"/>
    <s v="KW-16435"/>
    <s v="Katrina Willman"/>
    <x v="0"/>
    <x v="140"/>
    <x v="17"/>
    <x v="3"/>
    <s v="FUR-FU-10002671"/>
    <s v="Furniture"/>
    <x v="3"/>
    <s v="Electrix 20W Halogen Replacement Bulb for Zoom-In Desk Lamp"/>
    <n v="67"/>
    <n v="5"/>
    <n v="32.159999999999997"/>
    <x v="3"/>
    <x v="0"/>
    <x v="1"/>
  </r>
  <r>
    <s v="CA-2016-138695"/>
    <d v="2016-05-28T00:00:00"/>
    <d v="2016-06-03T00:00:00"/>
    <x v="1"/>
    <s v="KC-16675"/>
    <s v="Kimberly Carter"/>
    <x v="1"/>
    <x v="199"/>
    <x v="1"/>
    <x v="0"/>
    <s v="FUR-CH-10003833"/>
    <s v="Furniture"/>
    <x v="1"/>
    <s v="Novimex Fabric Task Chair"/>
    <n v="390.27199999999999"/>
    <n v="8"/>
    <n v="-24.391999999999999"/>
    <x v="6"/>
    <x v="0"/>
    <x v="7"/>
  </r>
  <r>
    <s v="US-2016-133879"/>
    <d v="2016-03-21T00:00:00"/>
    <d v="2016-03-28T00:00:00"/>
    <x v="1"/>
    <s v="KT-16465"/>
    <s v="Kean Takahito"/>
    <x v="0"/>
    <x v="9"/>
    <x v="8"/>
    <x v="3"/>
    <s v="FUR-CH-10000665"/>
    <s v="Furniture"/>
    <x v="1"/>
    <s v="Global Airflow Leather Mesh Back Chair, Black"/>
    <n v="528.42999999999995"/>
    <n v="5"/>
    <n v="0"/>
    <x v="1"/>
    <x v="0"/>
    <x v="9"/>
  </r>
  <r>
    <s v="US-2017-132059"/>
    <d v="2017-09-23T00:00:00"/>
    <d v="2017-09-29T00:00:00"/>
    <x v="1"/>
    <s v="AP-10915"/>
    <s v="Arthur Prichep"/>
    <x v="0"/>
    <x v="200"/>
    <x v="12"/>
    <x v="1"/>
    <s v="FUR-BO-10001811"/>
    <s v="Furniture"/>
    <x v="0"/>
    <s v="Atlantic Metals Mobile 5-Shelf Bookcases, Custom Colors"/>
    <n v="180.58799999999999"/>
    <n v="2"/>
    <n v="-240.78399999999999"/>
    <x v="6"/>
    <x v="3"/>
    <x v="4"/>
  </r>
  <r>
    <s v="CA-2017-105235"/>
    <d v="2017-12-05T00:00:00"/>
    <d v="2017-12-11T00:00:00"/>
    <x v="1"/>
    <s v="SM-20950"/>
    <s v="Suzanne McNair"/>
    <x v="1"/>
    <x v="13"/>
    <x v="7"/>
    <x v="2"/>
    <s v="FUR-FU-10001487"/>
    <s v="Furniture"/>
    <x v="3"/>
    <s v="Eldon Expressions Wood and Plastic Desk Accessories, Cherry Wood"/>
    <n v="20.94"/>
    <n v="3"/>
    <n v="6.0726000000000004"/>
    <x v="6"/>
    <x v="3"/>
    <x v="5"/>
  </r>
  <r>
    <s v="CA-2017-105235"/>
    <d v="2017-12-05T00:00:00"/>
    <d v="2017-12-11T00:00:00"/>
    <x v="1"/>
    <s v="SM-20950"/>
    <s v="Suzanne McNair"/>
    <x v="1"/>
    <x v="13"/>
    <x v="7"/>
    <x v="2"/>
    <s v="FUR-FU-10000521"/>
    <s v="Furniture"/>
    <x v="3"/>
    <s v="Seth Thomas 14&quot; Putty-Colored Wall Clock"/>
    <n v="58.68"/>
    <n v="2"/>
    <n v="18.190799999999999"/>
    <x v="6"/>
    <x v="3"/>
    <x v="5"/>
  </r>
  <r>
    <s v="CA-2014-164224"/>
    <d v="2014-05-18T00:00:00"/>
    <d v="2014-05-20T00:00:00"/>
    <x v="0"/>
    <s v="TT-21070"/>
    <s v="Ted Trevino"/>
    <x v="0"/>
    <x v="40"/>
    <x v="15"/>
    <x v="2"/>
    <s v="FUR-FU-10000308"/>
    <s v="Furniture"/>
    <x v="3"/>
    <s v="Deflect-o Glass Clear Studded Chair Mats"/>
    <n v="149.232"/>
    <n v="3"/>
    <n v="3.7307999999999999"/>
    <x v="3"/>
    <x v="2"/>
    <x v="7"/>
  </r>
  <r>
    <s v="CA-2014-158372"/>
    <d v="2014-11-10T00:00:00"/>
    <d v="2014-11-16T00:00:00"/>
    <x v="1"/>
    <s v="RD-19900"/>
    <s v="Ruben Dartt"/>
    <x v="0"/>
    <x v="53"/>
    <x v="2"/>
    <x v="1"/>
    <s v="FUR-FU-10000397"/>
    <s v="Furniture"/>
    <x v="3"/>
    <s v="Luxo Economy Swing Arm Lamp"/>
    <n v="39.880000000000003"/>
    <n v="2"/>
    <n v="11.166399999999999"/>
    <x v="6"/>
    <x v="2"/>
    <x v="0"/>
  </r>
  <r>
    <s v="CA-2014-158372"/>
    <d v="2014-11-10T00:00:00"/>
    <d v="2014-11-16T00:00:00"/>
    <x v="1"/>
    <s v="RD-19900"/>
    <s v="Ruben Dartt"/>
    <x v="0"/>
    <x v="53"/>
    <x v="2"/>
    <x v="1"/>
    <s v="FUR-FU-10001867"/>
    <s v="Furniture"/>
    <x v="3"/>
    <s v="Eldon Expressions Punched Metal &amp; Wood Desk Accessories, Pewter &amp; Cherry"/>
    <n v="53.2"/>
    <n v="5"/>
    <n v="14.896000000000001"/>
    <x v="6"/>
    <x v="2"/>
    <x v="0"/>
  </r>
  <r>
    <s v="CA-2017-131625"/>
    <d v="2017-09-01T00:00:00"/>
    <d v="2017-09-05T00:00:00"/>
    <x v="0"/>
    <s v="BN-11515"/>
    <s v="Bradley Nguyen"/>
    <x v="0"/>
    <x v="13"/>
    <x v="7"/>
    <x v="2"/>
    <s v="FUR-FU-10004960"/>
    <s v="Furniture"/>
    <x v="3"/>
    <s v="Seth Thomas 12&quot; Clock w/ Goldtone Case"/>
    <n v="114.9"/>
    <n v="5"/>
    <n v="39.066000000000003"/>
    <x v="4"/>
    <x v="3"/>
    <x v="4"/>
  </r>
  <r>
    <s v="CA-2016-140746"/>
    <d v="2016-01-15T00:00:00"/>
    <d v="2016-01-15T00:00:00"/>
    <x v="3"/>
    <s v="RC-19825"/>
    <s v="Roy Collins"/>
    <x v="0"/>
    <x v="130"/>
    <x v="19"/>
    <x v="2"/>
    <s v="FUR-TA-10002903"/>
    <s v="Furniture"/>
    <x v="2"/>
    <s v="Bevis Round Bullnose 29&quot; High Table Top"/>
    <n v="181.797"/>
    <n v="1"/>
    <n v="-15.582599999999999"/>
    <x v="7"/>
    <x v="0"/>
    <x v="8"/>
  </r>
  <r>
    <s v="US-2016-127971"/>
    <d v="2016-11-20T00:00:00"/>
    <d v="2016-11-27T00:00:00"/>
    <x v="1"/>
    <s v="DW-13195"/>
    <s v="David Wiener"/>
    <x v="1"/>
    <x v="6"/>
    <x v="5"/>
    <x v="3"/>
    <s v="FUR-CH-10003774"/>
    <s v="Furniture"/>
    <x v="1"/>
    <s v="Global Wood Trimmed Manager's Task Chair, Khaki"/>
    <n v="318.43"/>
    <n v="5"/>
    <n v="-77.332999999999998"/>
    <x v="1"/>
    <x v="0"/>
    <x v="0"/>
  </r>
  <r>
    <s v="US-2016-127971"/>
    <d v="2016-11-20T00:00:00"/>
    <d v="2016-11-27T00:00:00"/>
    <x v="1"/>
    <s v="DW-13195"/>
    <s v="David Wiener"/>
    <x v="1"/>
    <x v="6"/>
    <x v="5"/>
    <x v="3"/>
    <s v="FUR-FU-10000023"/>
    <s v="Furniture"/>
    <x v="3"/>
    <s v="Eldon Wave Desk Accessories"/>
    <n v="7.0679999999999996"/>
    <n v="3"/>
    <n v="-2.8271999999999999"/>
    <x v="1"/>
    <x v="0"/>
    <x v="0"/>
  </r>
  <r>
    <s v="CA-2017-113355"/>
    <d v="2017-12-01T00:00:00"/>
    <d v="2017-12-05T00:00:00"/>
    <x v="1"/>
    <s v="SJ-20215"/>
    <s v="Sarah Jordon"/>
    <x v="0"/>
    <x v="141"/>
    <x v="5"/>
    <x v="3"/>
    <s v="FUR-CH-10002602"/>
    <s v="Furniture"/>
    <x v="1"/>
    <s v="DMI Arturo Collection Mission-style Design Wood Chair"/>
    <n v="317.05799999999999"/>
    <n v="3"/>
    <n v="-18.117599999999999"/>
    <x v="4"/>
    <x v="3"/>
    <x v="5"/>
  </r>
  <r>
    <s v="CA-2016-159730"/>
    <d v="2016-09-17T00:00:00"/>
    <d v="2016-09-21T00:00:00"/>
    <x v="1"/>
    <s v="SJ-20125"/>
    <s v="Sanjit Jacobs"/>
    <x v="2"/>
    <x v="15"/>
    <x v="13"/>
    <x v="1"/>
    <s v="FUR-CH-10004875"/>
    <s v="Furniture"/>
    <x v="1"/>
    <s v="Harbour Creations 67200 Series Stacking Chairs"/>
    <n v="113.88800000000001"/>
    <n v="2"/>
    <n v="9.9651999999999994"/>
    <x v="4"/>
    <x v="0"/>
    <x v="4"/>
  </r>
  <r>
    <s v="CA-2017-119389"/>
    <d v="2017-04-17T00:00:00"/>
    <d v="2017-04-19T00:00:00"/>
    <x v="2"/>
    <s v="BG-11740"/>
    <s v="Bruce Geld"/>
    <x v="0"/>
    <x v="3"/>
    <x v="3"/>
    <x v="2"/>
    <s v="FUR-FU-10001473"/>
    <s v="Furniture"/>
    <x v="3"/>
    <s v="Eldon Executive Woodline II Desk Accessories, Mahogany"/>
    <n v="60.311999999999998"/>
    <n v="3"/>
    <n v="5.2773000000000003"/>
    <x v="3"/>
    <x v="3"/>
    <x v="6"/>
  </r>
  <r>
    <s v="US-2016-161844"/>
    <d v="2016-12-09T00:00:00"/>
    <d v="2016-12-14T00:00:00"/>
    <x v="0"/>
    <s v="DK-12835"/>
    <s v="Damala Kotsonis"/>
    <x v="1"/>
    <x v="20"/>
    <x v="9"/>
    <x v="0"/>
    <s v="FUR-TA-10001676"/>
    <s v="Furniture"/>
    <x v="2"/>
    <s v="Hon 61000 Series Interactive Training Tables"/>
    <n v="79.974000000000004"/>
    <n v="3"/>
    <n v="-29.323799999999999"/>
    <x v="2"/>
    <x v="0"/>
    <x v="5"/>
  </r>
  <r>
    <s v="CA-2015-146038"/>
    <d v="2015-02-09T00:00:00"/>
    <d v="2015-02-16T00:00:00"/>
    <x v="1"/>
    <s v="SJ-20215"/>
    <s v="Sarah Jordon"/>
    <x v="0"/>
    <x v="2"/>
    <x v="2"/>
    <x v="1"/>
    <s v="FUR-CH-10002774"/>
    <s v="Furniture"/>
    <x v="1"/>
    <s v="Global Deluxe Stacking Chair, Gray"/>
    <n v="203.92"/>
    <n v="5"/>
    <n v="22.940999999999999"/>
    <x v="1"/>
    <x v="1"/>
    <x v="11"/>
  </r>
  <r>
    <s v="CA-2014-159478"/>
    <d v="2014-09-30T00:00:00"/>
    <d v="2014-10-06T00:00:00"/>
    <x v="1"/>
    <s v="MH-17785"/>
    <s v="Maya Herman"/>
    <x v="1"/>
    <x v="13"/>
    <x v="7"/>
    <x v="2"/>
    <s v="FUR-FU-10000221"/>
    <s v="Furniture"/>
    <x v="3"/>
    <s v="Master Caster Door Stop, Brown"/>
    <n v="15.24"/>
    <n v="3"/>
    <n v="5.1816000000000004"/>
    <x v="6"/>
    <x v="2"/>
    <x v="4"/>
  </r>
  <r>
    <s v="CA-2014-106264"/>
    <d v="2014-12-26T00:00:00"/>
    <d v="2014-12-30T00:00:00"/>
    <x v="1"/>
    <s v="CK-12595"/>
    <s v="Clytie Kelty"/>
    <x v="0"/>
    <x v="53"/>
    <x v="2"/>
    <x v="1"/>
    <s v="FUR-FU-10001852"/>
    <s v="Furniture"/>
    <x v="3"/>
    <s v="Eldon Regeneration Recycled Desk Accessories, Smoke"/>
    <n v="3.48"/>
    <n v="2"/>
    <n v="1.1135999999999999"/>
    <x v="4"/>
    <x v="2"/>
    <x v="5"/>
  </r>
  <r>
    <s v="US-2014-159926"/>
    <d v="2014-11-18T00:00:00"/>
    <d v="2014-11-22T00:00:00"/>
    <x v="1"/>
    <s v="CS-11950"/>
    <s v="Carlos Soltero"/>
    <x v="0"/>
    <x v="3"/>
    <x v="3"/>
    <x v="2"/>
    <s v="FUR-FU-10001473"/>
    <s v="Furniture"/>
    <x v="3"/>
    <s v="Eldon Executive Woodline II Desk Accessories, Mahogany"/>
    <n v="60.311999999999998"/>
    <n v="3"/>
    <n v="5.2773000000000003"/>
    <x v="4"/>
    <x v="2"/>
    <x v="0"/>
  </r>
  <r>
    <s v="CA-2016-162747"/>
    <d v="2016-03-20T00:00:00"/>
    <d v="2016-03-25T00:00:00"/>
    <x v="0"/>
    <s v="AH-10030"/>
    <s v="Aaron Hawkins"/>
    <x v="1"/>
    <x v="201"/>
    <x v="21"/>
    <x v="0"/>
    <s v="FUR-FU-10003691"/>
    <s v="Furniture"/>
    <x v="3"/>
    <s v="Eldon Image Series Desk Accessories, Ebony"/>
    <n v="86.45"/>
    <n v="7"/>
    <n v="38.037999999999997"/>
    <x v="2"/>
    <x v="0"/>
    <x v="9"/>
  </r>
  <r>
    <s v="US-2014-133130"/>
    <d v="2014-09-27T00:00:00"/>
    <d v="2014-10-01T00:00:00"/>
    <x v="1"/>
    <s v="TH-21100"/>
    <s v="Thea Hendricks"/>
    <x v="0"/>
    <x v="53"/>
    <x v="2"/>
    <x v="1"/>
    <s v="FUR-CH-10002602"/>
    <s v="Furniture"/>
    <x v="1"/>
    <s v="DMI Arturo Collection Mission-style Design Wood Chair"/>
    <n v="603.91999999999996"/>
    <n v="5"/>
    <n v="45.293999999999997"/>
    <x v="4"/>
    <x v="2"/>
    <x v="4"/>
  </r>
  <r>
    <s v="CA-2017-169978"/>
    <d v="2017-12-24T00:00:00"/>
    <d v="2017-12-28T00:00:00"/>
    <x v="1"/>
    <s v="HG-15025"/>
    <s v="Hunter Glantz"/>
    <x v="0"/>
    <x v="64"/>
    <x v="7"/>
    <x v="2"/>
    <s v="FUR-CH-10002602"/>
    <s v="Furniture"/>
    <x v="1"/>
    <s v="DMI Arturo Collection Mission-style Design Wood Chair"/>
    <n v="271.76400000000001"/>
    <n v="2"/>
    <n v="48.313600000000001"/>
    <x v="4"/>
    <x v="3"/>
    <x v="5"/>
  </r>
  <r>
    <s v="CA-2017-161739"/>
    <d v="2017-11-10T00:00:00"/>
    <d v="2017-11-15T00:00:00"/>
    <x v="0"/>
    <s v="EB-13750"/>
    <s v="Edward Becker"/>
    <x v="1"/>
    <x v="82"/>
    <x v="5"/>
    <x v="3"/>
    <s v="FUR-FU-10001468"/>
    <s v="Furniture"/>
    <x v="3"/>
    <s v="Tenex Antistatic Computer Chair Mats"/>
    <n v="341.96"/>
    <n v="5"/>
    <n v="-427.45"/>
    <x v="2"/>
    <x v="3"/>
    <x v="0"/>
  </r>
  <r>
    <s v="CA-2014-134551"/>
    <d v="2014-12-20T00:00:00"/>
    <d v="2014-12-25T00:00:00"/>
    <x v="1"/>
    <s v="TS-21505"/>
    <s v="Tony Sayre"/>
    <x v="0"/>
    <x v="11"/>
    <x v="9"/>
    <x v="0"/>
    <s v="FUR-CH-10004287"/>
    <s v="Furniture"/>
    <x v="1"/>
    <s v="SAFCO Arco Folding Chair"/>
    <n v="662.88"/>
    <n v="3"/>
    <n v="74.573999999999998"/>
    <x v="2"/>
    <x v="2"/>
    <x v="5"/>
  </r>
  <r>
    <s v="CA-2015-120810"/>
    <d v="2015-07-23T00:00:00"/>
    <d v="2015-07-27T00:00:00"/>
    <x v="1"/>
    <s v="TH-21550"/>
    <s v="Tracy Hopkins"/>
    <x v="2"/>
    <x v="13"/>
    <x v="7"/>
    <x v="2"/>
    <s v="FUR-FU-10002253"/>
    <s v="Furniture"/>
    <x v="3"/>
    <s v="Howard Miller 13&quot; Diameter Pewter Finish Round Wall Clock"/>
    <n v="128.82"/>
    <n v="3"/>
    <n v="50.239800000000002"/>
    <x v="4"/>
    <x v="1"/>
    <x v="3"/>
  </r>
  <r>
    <s v="CA-2017-122595"/>
    <d v="2017-12-14T00:00:00"/>
    <d v="2017-12-20T00:00:00"/>
    <x v="1"/>
    <s v="GM-14455"/>
    <s v="Gary Mitchum"/>
    <x v="2"/>
    <x v="9"/>
    <x v="8"/>
    <x v="3"/>
    <s v="FUR-FU-10002963"/>
    <s v="Furniture"/>
    <x v="3"/>
    <s v="Master Caster Door Stop, Gray"/>
    <n v="2.032"/>
    <n v="1"/>
    <n v="-1.3208"/>
    <x v="6"/>
    <x v="3"/>
    <x v="5"/>
  </r>
  <r>
    <s v="US-2017-109253"/>
    <d v="2017-08-21T00:00:00"/>
    <d v="2017-08-22T00:00:00"/>
    <x v="2"/>
    <s v="PR-18880"/>
    <s v="Patrick Ryan"/>
    <x v="0"/>
    <x v="121"/>
    <x v="2"/>
    <x v="1"/>
    <s v="FUR-FU-10000193"/>
    <s v="Furniture"/>
    <x v="3"/>
    <s v="Tenex Chairmats For Use with Hard Floors"/>
    <n v="129.91999999999999"/>
    <n v="4"/>
    <n v="10.393599999999999"/>
    <x v="5"/>
    <x v="3"/>
    <x v="10"/>
  </r>
  <r>
    <s v="US-2017-109253"/>
    <d v="2017-08-21T00:00:00"/>
    <d v="2017-08-22T00:00:00"/>
    <x v="2"/>
    <s v="PR-18880"/>
    <s v="Patrick Ryan"/>
    <x v="0"/>
    <x v="121"/>
    <x v="2"/>
    <x v="1"/>
    <s v="FUR-TA-10001539"/>
    <s v="Furniture"/>
    <x v="2"/>
    <s v="Chromcraft Rectangular Conference Tables"/>
    <n v="568.72799999999995"/>
    <n v="3"/>
    <n v="28.436399999999999"/>
    <x v="5"/>
    <x v="3"/>
    <x v="10"/>
  </r>
  <r>
    <s v="CA-2016-145982"/>
    <d v="2016-08-27T00:00:00"/>
    <d v="2016-09-01T00:00:00"/>
    <x v="0"/>
    <s v="TB-21055"/>
    <s v="Ted Butterfield"/>
    <x v="0"/>
    <x v="202"/>
    <x v="20"/>
    <x v="2"/>
    <s v="FUR-TA-10001307"/>
    <s v="Furniture"/>
    <x v="2"/>
    <s v="SAFCO PlanMaster Heigh-Adjustable Drafting Table Base, 43w x 30d x 30-37h, Black"/>
    <n v="244.61500000000001"/>
    <n v="1"/>
    <n v="20.966999999999999"/>
    <x v="2"/>
    <x v="0"/>
    <x v="10"/>
  </r>
  <r>
    <s v="US-2014-134733"/>
    <d v="2014-09-23T00:00:00"/>
    <d v="2014-09-28T00:00:00"/>
    <x v="1"/>
    <s v="BM-11650"/>
    <s v="Brian Moss"/>
    <x v="1"/>
    <x v="53"/>
    <x v="2"/>
    <x v="1"/>
    <s v="FUR-BO-10002916"/>
    <s v="Furniture"/>
    <x v="0"/>
    <s v="Rush Hierlooms Collection 1&quot; Thick Stackable Bookcases"/>
    <n v="435.99900000000002"/>
    <n v="3"/>
    <n v="20.517600000000002"/>
    <x v="2"/>
    <x v="2"/>
    <x v="4"/>
  </r>
  <r>
    <s v="US-2014-150434"/>
    <d v="2014-07-19T00:00:00"/>
    <d v="2014-07-24T00:00:00"/>
    <x v="1"/>
    <s v="CA-12310"/>
    <s v="Christine Abelman"/>
    <x v="1"/>
    <x v="203"/>
    <x v="19"/>
    <x v="2"/>
    <s v="FUR-TA-10004152"/>
    <s v="Furniture"/>
    <x v="2"/>
    <s v="Barricks 18&quot; x 48&quot; Non-Folding Utility Table with Bottom Storage Shelf"/>
    <n v="70.56"/>
    <n v="1"/>
    <n v="-4.032"/>
    <x v="2"/>
    <x v="2"/>
    <x v="3"/>
  </r>
  <r>
    <s v="US-2015-142020"/>
    <d v="2015-06-04T00:00:00"/>
    <d v="2015-06-08T00:00:00"/>
    <x v="0"/>
    <s v="TC-21535"/>
    <s v="Tracy Collins"/>
    <x v="2"/>
    <x v="13"/>
    <x v="7"/>
    <x v="2"/>
    <s v="FUR-FU-10000672"/>
    <s v="Furniture"/>
    <x v="3"/>
    <s v="Executive Impressions 10&quot; Spectator Wall Clock"/>
    <n v="35.28"/>
    <n v="3"/>
    <n v="11.995200000000001"/>
    <x v="4"/>
    <x v="1"/>
    <x v="2"/>
  </r>
  <r>
    <s v="CA-2016-130050"/>
    <d v="2016-07-16T00:00:00"/>
    <d v="2016-07-18T00:00:00"/>
    <x v="0"/>
    <s v="MC-17425"/>
    <s v="Mark Cousins"/>
    <x v="1"/>
    <x v="6"/>
    <x v="5"/>
    <x v="3"/>
    <s v="FUR-FU-10001940"/>
    <s v="Furniture"/>
    <x v="3"/>
    <s v="Staple-based wall hangings"/>
    <n v="9.5519999999999996"/>
    <n v="3"/>
    <n v="-3.8208000000000002"/>
    <x v="3"/>
    <x v="0"/>
    <x v="3"/>
  </r>
  <r>
    <s v="CA-2014-115161"/>
    <d v="2014-01-31T00:00:00"/>
    <d v="2014-02-02T00:00:00"/>
    <x v="2"/>
    <s v="LC-17050"/>
    <s v="Liz Carlisle"/>
    <x v="0"/>
    <x v="204"/>
    <x v="2"/>
    <x v="1"/>
    <s v="FUR-BO-10003966"/>
    <s v="Furniture"/>
    <x v="0"/>
    <s v="Sauder Facets Collection Library, Sky Alder Finish"/>
    <n v="290.666"/>
    <n v="2"/>
    <n v="3.4196"/>
    <x v="3"/>
    <x v="2"/>
    <x v="8"/>
  </r>
  <r>
    <s v="CA-2015-115511"/>
    <d v="2015-11-21T00:00:00"/>
    <d v="2015-11-25T00:00:00"/>
    <x v="1"/>
    <s v="NW-18400"/>
    <s v="Natalie Webber"/>
    <x v="0"/>
    <x v="205"/>
    <x v="34"/>
    <x v="1"/>
    <s v="FUR-BO-10002598"/>
    <s v="Furniture"/>
    <x v="0"/>
    <s v="Hon Metal Bookcases, Putty"/>
    <n v="141.96"/>
    <n v="2"/>
    <n v="41.168399999999998"/>
    <x v="4"/>
    <x v="1"/>
    <x v="0"/>
  </r>
  <r>
    <s v="CA-2015-161718"/>
    <d v="2015-12-04T00:00:00"/>
    <d v="2015-12-10T00:00:00"/>
    <x v="1"/>
    <s v="SO-20335"/>
    <s v="Sean O'Donnell"/>
    <x v="0"/>
    <x v="206"/>
    <x v="7"/>
    <x v="2"/>
    <s v="FUR-FU-10002445"/>
    <s v="Furniture"/>
    <x v="3"/>
    <s v="DAX Two-Tone Rosewood/Black Document Frame, Desktop, 5 x 7"/>
    <n v="28.44"/>
    <n v="3"/>
    <n v="11.375999999999999"/>
    <x v="6"/>
    <x v="1"/>
    <x v="5"/>
  </r>
  <r>
    <s v="CA-2015-161718"/>
    <d v="2015-12-04T00:00:00"/>
    <d v="2015-12-10T00:00:00"/>
    <x v="1"/>
    <s v="SO-20335"/>
    <s v="Sean O'Donnell"/>
    <x v="0"/>
    <x v="206"/>
    <x v="7"/>
    <x v="2"/>
    <s v="FUR-CH-10002372"/>
    <s v="Furniture"/>
    <x v="1"/>
    <s v="Office Star - Ergonomically Designed Knee Chair"/>
    <n v="364.41"/>
    <n v="5"/>
    <n v="8.0980000000000008"/>
    <x v="6"/>
    <x v="1"/>
    <x v="5"/>
  </r>
  <r>
    <s v="CA-2015-161718"/>
    <d v="2015-12-04T00:00:00"/>
    <d v="2015-12-10T00:00:00"/>
    <x v="1"/>
    <s v="SO-20335"/>
    <s v="Sean O'Donnell"/>
    <x v="0"/>
    <x v="206"/>
    <x v="7"/>
    <x v="2"/>
    <s v="FUR-CH-10002965"/>
    <s v="Furniture"/>
    <x v="1"/>
    <s v="Global Leather Highback Executive Chair with Pneumatic Height Adjustment, Black"/>
    <n v="361.76400000000001"/>
    <n v="2"/>
    <n v="68.333200000000005"/>
    <x v="6"/>
    <x v="1"/>
    <x v="5"/>
  </r>
  <r>
    <s v="CA-2017-103156"/>
    <d v="2017-11-23T00:00:00"/>
    <d v="2017-11-24T00:00:00"/>
    <x v="2"/>
    <s v="TD-20995"/>
    <s v="Tamara Dahlen"/>
    <x v="0"/>
    <x v="3"/>
    <x v="3"/>
    <x v="2"/>
    <s v="FUR-FU-10000320"/>
    <s v="Furniture"/>
    <x v="3"/>
    <s v="OIC Stacking Trays"/>
    <n v="24.047999999999998"/>
    <n v="9"/>
    <n v="7.2144000000000004"/>
    <x v="5"/>
    <x v="3"/>
    <x v="0"/>
  </r>
  <r>
    <s v="CA-2015-130659"/>
    <d v="2015-12-04T00:00:00"/>
    <d v="2015-12-09T00:00:00"/>
    <x v="0"/>
    <s v="MS-17365"/>
    <s v="Maribeth Schnelling"/>
    <x v="0"/>
    <x v="13"/>
    <x v="7"/>
    <x v="2"/>
    <s v="FUR-CH-10003535"/>
    <s v="Furniture"/>
    <x v="1"/>
    <s v="Global Armless Task Chair, Royal Blue"/>
    <n v="384.17399999999998"/>
    <n v="7"/>
    <n v="29.880199999999999"/>
    <x v="2"/>
    <x v="1"/>
    <x v="5"/>
  </r>
  <r>
    <s v="CA-2017-148404"/>
    <d v="2017-10-07T00:00:00"/>
    <d v="2017-10-11T00:00:00"/>
    <x v="1"/>
    <s v="Dp-13240"/>
    <s v="Dean percer"/>
    <x v="2"/>
    <x v="127"/>
    <x v="30"/>
    <x v="0"/>
    <s v="FUR-TA-10001039"/>
    <s v="Furniture"/>
    <x v="2"/>
    <s v="KI Adjustable-Height Table"/>
    <n v="154.76400000000001"/>
    <n v="3"/>
    <n v="-36.111600000000003"/>
    <x v="4"/>
    <x v="3"/>
    <x v="1"/>
  </r>
  <r>
    <s v="CA-2015-129700"/>
    <d v="2015-05-04T00:00:00"/>
    <d v="2015-05-05T00:00:00"/>
    <x v="2"/>
    <s v="LA-16780"/>
    <s v="Laura Armstrong"/>
    <x v="1"/>
    <x v="207"/>
    <x v="8"/>
    <x v="3"/>
    <s v="FUR-FU-10001940"/>
    <s v="Furniture"/>
    <x v="3"/>
    <s v="Staple-based wall hangings"/>
    <n v="22.288"/>
    <n v="7"/>
    <n v="-8.9152000000000005"/>
    <x v="5"/>
    <x v="1"/>
    <x v="7"/>
  </r>
  <r>
    <s v="CA-2017-168739"/>
    <d v="2017-05-29T00:00:00"/>
    <d v="2017-06-05T00:00:00"/>
    <x v="1"/>
    <s v="HZ-14950"/>
    <s v="Henia Zydlo"/>
    <x v="0"/>
    <x v="6"/>
    <x v="5"/>
    <x v="3"/>
    <s v="FUR-FU-10003919"/>
    <s v="Furniture"/>
    <x v="3"/>
    <s v="Eldon Executive Woodline II Cherry Finish Desk Accessories"/>
    <n v="65.424000000000007"/>
    <n v="4"/>
    <n v="-52.339199999999998"/>
    <x v="1"/>
    <x v="3"/>
    <x v="7"/>
  </r>
  <r>
    <s v="US-2014-150119"/>
    <d v="2014-04-23T00:00:00"/>
    <d v="2014-04-27T00:00:00"/>
    <x v="1"/>
    <s v="LB-16795"/>
    <s v="Laurel Beltran"/>
    <x v="2"/>
    <x v="29"/>
    <x v="15"/>
    <x v="2"/>
    <s v="FUR-CH-10002965"/>
    <s v="Furniture"/>
    <x v="1"/>
    <s v="Global Leather Highback Executive Chair with Pneumatic Height Adjustment, Black"/>
    <n v="281.37200000000001"/>
    <n v="2"/>
    <n v="-12.0588"/>
    <x v="4"/>
    <x v="2"/>
    <x v="6"/>
  </r>
  <r>
    <s v="US-2014-150119"/>
    <d v="2014-04-23T00:00:00"/>
    <d v="2014-04-27T00:00:00"/>
    <x v="1"/>
    <s v="LB-16795"/>
    <s v="Laurel Beltran"/>
    <x v="2"/>
    <x v="29"/>
    <x v="15"/>
    <x v="2"/>
    <s v="FUR-CH-10002965"/>
    <s v="Furniture"/>
    <x v="1"/>
    <s v="Global Leather Highback Executive Chair with Pneumatic Height Adjustment, Black"/>
    <n v="281.37200000000001"/>
    <n v="2"/>
    <n v="-12.0588"/>
    <x v="4"/>
    <x v="2"/>
    <x v="6"/>
  </r>
  <r>
    <s v="US-2014-150119"/>
    <d v="2014-04-23T00:00:00"/>
    <d v="2014-04-27T00:00:00"/>
    <x v="1"/>
    <s v="LB-16795"/>
    <s v="Laurel Beltran"/>
    <x v="2"/>
    <x v="29"/>
    <x v="15"/>
    <x v="2"/>
    <s v="FUR-FU-10002191"/>
    <s v="Furniture"/>
    <x v="3"/>
    <s v="G.E. Halogen Desk Lamp Bulbs"/>
    <n v="22.335999999999999"/>
    <n v="4"/>
    <n v="7.8175999999999997"/>
    <x v="4"/>
    <x v="2"/>
    <x v="6"/>
  </r>
  <r>
    <s v="CA-2015-150791"/>
    <d v="2015-09-06T00:00:00"/>
    <d v="2015-09-13T00:00:00"/>
    <x v="1"/>
    <s v="CC-12430"/>
    <s v="Chuck Clark"/>
    <x v="2"/>
    <x v="13"/>
    <x v="7"/>
    <x v="2"/>
    <s v="FUR-CH-10000665"/>
    <s v="Furniture"/>
    <x v="1"/>
    <s v="Global Airflow Leather Mesh Back Chair, Black"/>
    <n v="271.76400000000001"/>
    <n v="2"/>
    <n v="60.392000000000003"/>
    <x v="1"/>
    <x v="1"/>
    <x v="4"/>
  </r>
  <r>
    <s v="CA-2015-153381"/>
    <d v="2015-09-24T00:00:00"/>
    <d v="2015-09-28T00:00:00"/>
    <x v="1"/>
    <s v="DE-13255"/>
    <s v="Deanra Eno"/>
    <x v="2"/>
    <x v="208"/>
    <x v="26"/>
    <x v="3"/>
    <s v="FUR-CH-10000988"/>
    <s v="Furniture"/>
    <x v="1"/>
    <s v="Hon Olson Stacker Stools"/>
    <n v="1408.1"/>
    <n v="10"/>
    <n v="394.26799999999997"/>
    <x v="4"/>
    <x v="1"/>
    <x v="4"/>
  </r>
  <r>
    <s v="US-2017-111024"/>
    <d v="2017-07-03T00:00:00"/>
    <d v="2017-07-06T00:00:00"/>
    <x v="0"/>
    <s v="SZ-20035"/>
    <s v="Sam Zeldin"/>
    <x v="2"/>
    <x v="68"/>
    <x v="15"/>
    <x v="2"/>
    <s v="FUR-TA-10002041"/>
    <s v="Furniture"/>
    <x v="2"/>
    <s v="Bevis Round Conference Table Top, X-Base"/>
    <n v="215.148"/>
    <n v="2"/>
    <n v="-103.98820000000001"/>
    <x v="0"/>
    <x v="3"/>
    <x v="3"/>
  </r>
  <r>
    <s v="CA-2017-148264"/>
    <d v="2017-12-08T00:00:00"/>
    <d v="2017-12-09T00:00:00"/>
    <x v="2"/>
    <s v="LF-17185"/>
    <s v="Luke Foster"/>
    <x v="0"/>
    <x v="209"/>
    <x v="2"/>
    <x v="1"/>
    <s v="FUR-FU-10002703"/>
    <s v="Furniture"/>
    <x v="3"/>
    <s v="Tenex Traditional Chairmats for Hard Floors, Average Lip, 36&quot; x 48&quot;"/>
    <n v="128.9"/>
    <n v="2"/>
    <n v="15.468"/>
    <x v="5"/>
    <x v="3"/>
    <x v="5"/>
  </r>
  <r>
    <s v="US-2015-100531"/>
    <d v="2015-09-27T00:00:00"/>
    <d v="2015-09-29T00:00:00"/>
    <x v="2"/>
    <s v="NM-18520"/>
    <s v="Neoma Murray"/>
    <x v="0"/>
    <x v="9"/>
    <x v="8"/>
    <x v="3"/>
    <s v="FUR-FU-10003849"/>
    <s v="Furniture"/>
    <x v="3"/>
    <s v="DAX Metal Frame, Desktop, Stepped-Edge"/>
    <n v="24.288"/>
    <n v="3"/>
    <n v="-12.751200000000001"/>
    <x v="3"/>
    <x v="1"/>
    <x v="4"/>
  </r>
  <r>
    <s v="CA-2017-152583"/>
    <d v="2017-10-30T00:00:00"/>
    <d v="2017-10-30T00:00:00"/>
    <x v="3"/>
    <s v="RA-19945"/>
    <s v="Ryan Akin"/>
    <x v="0"/>
    <x v="144"/>
    <x v="5"/>
    <x v="3"/>
    <s v="FUR-FU-10003849"/>
    <s v="Furniture"/>
    <x v="3"/>
    <s v="DAX Metal Frame, Desktop, Stepped-Edge"/>
    <n v="16.192"/>
    <n v="2"/>
    <n v="-8.5007999999999999"/>
    <x v="7"/>
    <x v="3"/>
    <x v="1"/>
  </r>
  <r>
    <s v="CA-2017-152583"/>
    <d v="2017-10-30T00:00:00"/>
    <d v="2017-10-30T00:00:00"/>
    <x v="3"/>
    <s v="RA-19945"/>
    <s v="Ryan Akin"/>
    <x v="0"/>
    <x v="144"/>
    <x v="5"/>
    <x v="3"/>
    <s v="FUR-TA-10002041"/>
    <s v="Furniture"/>
    <x v="2"/>
    <s v="Bevis Round Conference Table Top, X-Base"/>
    <n v="251.006"/>
    <n v="2"/>
    <n v="-68.130200000000002"/>
    <x v="7"/>
    <x v="3"/>
    <x v="1"/>
  </r>
  <r>
    <s v="CA-2017-136448"/>
    <d v="2017-09-16T00:00:00"/>
    <d v="2017-09-18T00:00:00"/>
    <x v="2"/>
    <s v="AS-10090"/>
    <s v="Adam Shillingsburg"/>
    <x v="0"/>
    <x v="3"/>
    <x v="3"/>
    <x v="2"/>
    <s v="FUR-FU-10003832"/>
    <s v="Furniture"/>
    <x v="3"/>
    <s v="Eldon Expressions Punched Metal &amp; Wood Desk Accessories, Black &amp; Cherry"/>
    <n v="22.512"/>
    <n v="3"/>
    <n v="2.2511999999999999"/>
    <x v="3"/>
    <x v="3"/>
    <x v="4"/>
  </r>
  <r>
    <s v="US-2015-147242"/>
    <d v="2015-09-10T00:00:00"/>
    <d v="2015-09-14T00:00:00"/>
    <x v="1"/>
    <s v="EH-13765"/>
    <s v="Edward Hooks"/>
    <x v="1"/>
    <x v="210"/>
    <x v="20"/>
    <x v="2"/>
    <s v="FUR-BO-10004695"/>
    <s v="Furniture"/>
    <x v="0"/>
    <s v="O'Sullivan 2-Door Barrister Bookcase in Odessa Pine"/>
    <n v="361.96"/>
    <n v="2"/>
    <n v="83.250799999999998"/>
    <x v="4"/>
    <x v="1"/>
    <x v="4"/>
  </r>
  <r>
    <s v="CA-2016-146143"/>
    <d v="2016-12-14T00:00:00"/>
    <d v="2016-12-19T00:00:00"/>
    <x v="1"/>
    <s v="MC-17845"/>
    <s v="Michael Chen"/>
    <x v="0"/>
    <x v="38"/>
    <x v="21"/>
    <x v="0"/>
    <s v="FUR-FU-10002045"/>
    <s v="Furniture"/>
    <x v="3"/>
    <s v="Executive Impressions 14&quot;"/>
    <n v="133.38"/>
    <n v="6"/>
    <n v="58.687199999999997"/>
    <x v="2"/>
    <x v="0"/>
    <x v="5"/>
  </r>
  <r>
    <s v="US-2016-150035"/>
    <d v="2016-12-01T00:00:00"/>
    <d v="2016-12-05T00:00:00"/>
    <x v="1"/>
    <s v="CL-11890"/>
    <s v="Carl Ludwig"/>
    <x v="0"/>
    <x v="28"/>
    <x v="2"/>
    <x v="1"/>
    <s v="FUR-FU-10003724"/>
    <s v="Furniture"/>
    <x v="3"/>
    <s v="Westinghouse Clip-On Gooseneck Lamps"/>
    <n v="16.739999999999998"/>
    <n v="2"/>
    <n v="4.3524000000000003"/>
    <x v="4"/>
    <x v="0"/>
    <x v="5"/>
  </r>
  <r>
    <s v="CA-2017-111815"/>
    <d v="2017-03-03T00:00:00"/>
    <d v="2017-03-10T00:00:00"/>
    <x v="1"/>
    <s v="EP-13915"/>
    <s v="Emily Phan"/>
    <x v="0"/>
    <x v="211"/>
    <x v="17"/>
    <x v="3"/>
    <s v="FUR-CH-10000785"/>
    <s v="Furniture"/>
    <x v="1"/>
    <s v="Global Ergonomic Managers Chair"/>
    <n v="180.98"/>
    <n v="1"/>
    <n v="47.0548"/>
    <x v="1"/>
    <x v="3"/>
    <x v="9"/>
  </r>
  <r>
    <s v="CA-2016-131289"/>
    <d v="2016-12-08T00:00:00"/>
    <d v="2016-12-14T00:00:00"/>
    <x v="1"/>
    <s v="SP-20620"/>
    <s v="Stefania Perrino"/>
    <x v="1"/>
    <x v="28"/>
    <x v="2"/>
    <x v="1"/>
    <s v="FUR-TA-10003954"/>
    <s v="Furniture"/>
    <x v="2"/>
    <s v="Hon 94000 Series Round Tables"/>
    <n v="1421.664"/>
    <n v="6"/>
    <n v="-195.47880000000001"/>
    <x v="6"/>
    <x v="0"/>
    <x v="5"/>
  </r>
  <r>
    <s v="CA-2014-124023"/>
    <d v="2014-04-07T00:00:00"/>
    <d v="2014-04-10T00:00:00"/>
    <x v="2"/>
    <s v="PJ-19015"/>
    <s v="Pauline Johnson"/>
    <x v="0"/>
    <x v="212"/>
    <x v="33"/>
    <x v="0"/>
    <s v="FUR-FU-10004415"/>
    <s v="Furniture"/>
    <x v="3"/>
    <s v="Stacking Tray, Side-Loading, Legal, Smoke"/>
    <n v="8.9600000000000009"/>
    <n v="2"/>
    <n v="2.7776000000000001"/>
    <x v="0"/>
    <x v="2"/>
    <x v="6"/>
  </r>
  <r>
    <s v="CA-2014-124688"/>
    <d v="2014-08-27T00:00:00"/>
    <d v="2014-08-29T00:00:00"/>
    <x v="2"/>
    <s v="CC-12610"/>
    <s v="Corey Catlett"/>
    <x v="1"/>
    <x v="76"/>
    <x v="25"/>
    <x v="0"/>
    <s v="FUR-FU-10002456"/>
    <s v="Furniture"/>
    <x v="3"/>
    <s v="Master Caster Door Stop, Large Neon Orange"/>
    <n v="29.12"/>
    <n v="4"/>
    <n v="12.521599999999999"/>
    <x v="3"/>
    <x v="2"/>
    <x v="10"/>
  </r>
  <r>
    <s v="CA-2014-124688"/>
    <d v="2014-08-27T00:00:00"/>
    <d v="2014-08-29T00:00:00"/>
    <x v="2"/>
    <s v="CC-12610"/>
    <s v="Corey Catlett"/>
    <x v="1"/>
    <x v="76"/>
    <x v="25"/>
    <x v="0"/>
    <s v="FUR-TA-10003569"/>
    <s v="Furniture"/>
    <x v="2"/>
    <s v="Bretford CR8500 Series Meeting Room Furniture"/>
    <n v="1202.94"/>
    <n v="3"/>
    <n v="300.73500000000001"/>
    <x v="3"/>
    <x v="2"/>
    <x v="10"/>
  </r>
  <r>
    <s v="CA-2015-157322"/>
    <d v="2015-07-02T00:00:00"/>
    <d v="2015-07-06T00:00:00"/>
    <x v="1"/>
    <s v="RH-19600"/>
    <s v="Rob Haberlin"/>
    <x v="0"/>
    <x v="213"/>
    <x v="8"/>
    <x v="3"/>
    <s v="FUR-CH-10004086"/>
    <s v="Furniture"/>
    <x v="1"/>
    <s v="Hon 4070 Series Pagoda Armless Upholstered Stacking Chairs"/>
    <n v="408.42200000000003"/>
    <n v="2"/>
    <n v="-5.8346"/>
    <x v="4"/>
    <x v="1"/>
    <x v="3"/>
  </r>
  <r>
    <s v="CA-2015-157322"/>
    <d v="2015-07-02T00:00:00"/>
    <d v="2015-07-06T00:00:00"/>
    <x v="1"/>
    <s v="RH-19600"/>
    <s v="Rob Haberlin"/>
    <x v="0"/>
    <x v="213"/>
    <x v="8"/>
    <x v="3"/>
    <s v="FUR-CH-10003774"/>
    <s v="Furniture"/>
    <x v="1"/>
    <s v="Global Wood Trimmed Manager's Task Chair, Khaki"/>
    <n v="382.11599999999999"/>
    <n v="6"/>
    <n v="-92.799599999999998"/>
    <x v="4"/>
    <x v="1"/>
    <x v="3"/>
  </r>
  <r>
    <s v="CA-2017-142034"/>
    <d v="2017-09-24T00:00:00"/>
    <d v="2017-09-28T00:00:00"/>
    <x v="1"/>
    <s v="KB-16240"/>
    <s v="Karen Bern"/>
    <x v="1"/>
    <x v="214"/>
    <x v="11"/>
    <x v="3"/>
    <s v="FUR-CH-10000665"/>
    <s v="Furniture"/>
    <x v="1"/>
    <s v="Global Airflow Leather Mesh Back Chair, Black"/>
    <n v="603.91999999999996"/>
    <n v="4"/>
    <n v="181.17599999999999"/>
    <x v="4"/>
    <x v="3"/>
    <x v="4"/>
  </r>
  <r>
    <s v="CA-2016-107328"/>
    <d v="2016-08-08T00:00:00"/>
    <d v="2016-08-15T00:00:00"/>
    <x v="1"/>
    <s v="CA-12055"/>
    <s v="Cathy Armstrong"/>
    <x v="2"/>
    <x v="2"/>
    <x v="2"/>
    <x v="1"/>
    <s v="FUR-TA-10001932"/>
    <s v="Furniture"/>
    <x v="2"/>
    <s v="Chromcraft 48&quot; x 96&quot; Racetrack Double Pedestal Table"/>
    <n v="513.024"/>
    <n v="2"/>
    <n v="12.8256"/>
    <x v="1"/>
    <x v="0"/>
    <x v="10"/>
  </r>
  <r>
    <s v="CA-2014-166863"/>
    <d v="2014-06-20T00:00:00"/>
    <d v="2014-06-24T00:00:00"/>
    <x v="1"/>
    <s v="SC-20020"/>
    <s v="Sam Craven"/>
    <x v="0"/>
    <x v="215"/>
    <x v="5"/>
    <x v="3"/>
    <s v="FUR-BO-10001608"/>
    <s v="Furniture"/>
    <x v="0"/>
    <s v="Hon Metal Bookcases, Black"/>
    <n v="193.06559999999999"/>
    <n v="4"/>
    <n v="-19.874400000000001"/>
    <x v="4"/>
    <x v="2"/>
    <x v="2"/>
  </r>
  <r>
    <s v="CA-2017-140326"/>
    <d v="2017-09-04T00:00:00"/>
    <d v="2017-09-06T00:00:00"/>
    <x v="2"/>
    <s v="HW-14935"/>
    <s v="Helen Wasserman"/>
    <x v="1"/>
    <x v="9"/>
    <x v="8"/>
    <x v="3"/>
    <s v="FUR-BO-10000112"/>
    <s v="Furniture"/>
    <x v="0"/>
    <s v="Bush Birmingham Collection Bookcase, Dark Cherry"/>
    <n v="825.17399999999998"/>
    <n v="9"/>
    <n v="-117.88200000000001"/>
    <x v="3"/>
    <x v="3"/>
    <x v="4"/>
  </r>
  <r>
    <s v="CA-2015-124975"/>
    <d v="2015-06-22T00:00:00"/>
    <d v="2015-06-25T00:00:00"/>
    <x v="2"/>
    <s v="MG-17875"/>
    <s v="Michael Grace"/>
    <x v="2"/>
    <x v="14"/>
    <x v="8"/>
    <x v="3"/>
    <s v="FUR-TA-10002645"/>
    <s v="Furniture"/>
    <x v="2"/>
    <s v="Hon Rectangular Conference Tables"/>
    <n v="796.42499999999995"/>
    <n v="7"/>
    <n v="-525.64049999999997"/>
    <x v="0"/>
    <x v="1"/>
    <x v="2"/>
  </r>
  <r>
    <s v="CA-2016-157511"/>
    <d v="2016-09-18T00:00:00"/>
    <d v="2016-09-20T00:00:00"/>
    <x v="2"/>
    <s v="SV-20365"/>
    <s v="Seth Vernon"/>
    <x v="0"/>
    <x v="29"/>
    <x v="15"/>
    <x v="2"/>
    <s v="FUR-FU-10002107"/>
    <s v="Furniture"/>
    <x v="3"/>
    <s v="Eldon Pizzaz Desk Accessories"/>
    <n v="5.3520000000000003"/>
    <n v="3"/>
    <n v="1.6055999999999999"/>
    <x v="3"/>
    <x v="0"/>
    <x v="4"/>
  </r>
  <r>
    <s v="CA-2016-157511"/>
    <d v="2016-09-18T00:00:00"/>
    <d v="2016-09-20T00:00:00"/>
    <x v="2"/>
    <s v="SV-20365"/>
    <s v="Seth Vernon"/>
    <x v="0"/>
    <x v="29"/>
    <x v="15"/>
    <x v="2"/>
    <s v="FUR-CH-10002647"/>
    <s v="Furniture"/>
    <x v="1"/>
    <s v="Situations Contoured Folding Chairs, 4/Set"/>
    <n v="99.372"/>
    <n v="2"/>
    <n v="-7.0979999999999999"/>
    <x v="3"/>
    <x v="0"/>
    <x v="4"/>
  </r>
  <r>
    <s v="CA-2017-155292"/>
    <d v="2017-10-30T00:00:00"/>
    <d v="2017-11-01T00:00:00"/>
    <x v="2"/>
    <s v="RD-19810"/>
    <s v="Ross DeVincentis"/>
    <x v="2"/>
    <x v="52"/>
    <x v="0"/>
    <x v="0"/>
    <s v="FUR-CH-10000553"/>
    <s v="Furniture"/>
    <x v="1"/>
    <s v="Metal Folding Chairs, Beige, 4/Carton"/>
    <n v="33.94"/>
    <n v="1"/>
    <n v="9.1638000000000002"/>
    <x v="3"/>
    <x v="3"/>
    <x v="1"/>
  </r>
  <r>
    <s v="CA-2016-152555"/>
    <d v="2016-03-29T00:00:00"/>
    <d v="2016-04-02T00:00:00"/>
    <x v="0"/>
    <s v="ME-17320"/>
    <s v="Maria Etezadi"/>
    <x v="2"/>
    <x v="9"/>
    <x v="8"/>
    <x v="3"/>
    <s v="FUR-CH-10002965"/>
    <s v="Furniture"/>
    <x v="1"/>
    <s v="Global Leather Highback Executive Chair with Pneumatic Height Adjustment, Black"/>
    <n v="844.11599999999999"/>
    <n v="6"/>
    <n v="-36.176400000000001"/>
    <x v="4"/>
    <x v="0"/>
    <x v="9"/>
  </r>
  <r>
    <s v="CA-2016-137176"/>
    <d v="2016-09-09T00:00:00"/>
    <d v="2016-09-14T00:00:00"/>
    <x v="0"/>
    <s v="DB-12910"/>
    <s v="Daniel Byrd"/>
    <x v="2"/>
    <x v="144"/>
    <x v="5"/>
    <x v="3"/>
    <s v="FUR-FU-10003832"/>
    <s v="Furniture"/>
    <x v="3"/>
    <s v="Eldon Expressions Punched Metal &amp; Wood Desk Accessories, Black &amp; Cherry"/>
    <n v="15.007999999999999"/>
    <n v="4"/>
    <n v="-12.006399999999999"/>
    <x v="2"/>
    <x v="0"/>
    <x v="4"/>
  </r>
  <r>
    <s v="CA-2016-104157"/>
    <d v="2016-07-25T00:00:00"/>
    <d v="2016-07-29T00:00:00"/>
    <x v="1"/>
    <s v="MT-17815"/>
    <s v="Meg Tillman"/>
    <x v="0"/>
    <x v="38"/>
    <x v="21"/>
    <x v="0"/>
    <s v="FUR-TA-10004915"/>
    <s v="Furniture"/>
    <x v="2"/>
    <s v="Office Impressions End Table, 20-1/2&quot;H x 24&quot;W x 20&quot;D"/>
    <n v="2430.08"/>
    <n v="8"/>
    <n v="388.81279999999998"/>
    <x v="4"/>
    <x v="0"/>
    <x v="3"/>
  </r>
  <r>
    <s v="CA-2015-121650"/>
    <d v="2015-12-10T00:00:00"/>
    <d v="2015-12-16T00:00:00"/>
    <x v="1"/>
    <s v="KD-16495"/>
    <s v="Keith Dawkins"/>
    <x v="1"/>
    <x v="38"/>
    <x v="17"/>
    <x v="3"/>
    <s v="FUR-TA-10003569"/>
    <s v="Furniture"/>
    <x v="2"/>
    <s v="Bretford CR8500 Series Meeting Room Furniture"/>
    <n v="801.96"/>
    <n v="2"/>
    <n v="200.49"/>
    <x v="6"/>
    <x v="1"/>
    <x v="5"/>
  </r>
  <r>
    <s v="CA-2015-121650"/>
    <d v="2015-12-10T00:00:00"/>
    <d v="2015-12-16T00:00:00"/>
    <x v="1"/>
    <s v="KD-16495"/>
    <s v="Keith Dawkins"/>
    <x v="1"/>
    <x v="38"/>
    <x v="17"/>
    <x v="3"/>
    <s v="FUR-CH-10004289"/>
    <s v="Furniture"/>
    <x v="1"/>
    <s v="Global Super Steno Chair"/>
    <n v="191.96"/>
    <n v="2"/>
    <n v="32.633200000000002"/>
    <x v="6"/>
    <x v="1"/>
    <x v="5"/>
  </r>
  <r>
    <s v="CA-2014-102869"/>
    <d v="2014-09-09T00:00:00"/>
    <d v="2014-09-14T00:00:00"/>
    <x v="0"/>
    <s v="LC-17140"/>
    <s v="Logan Currie"/>
    <x v="0"/>
    <x v="3"/>
    <x v="3"/>
    <x v="2"/>
    <s v="FUR-FU-10002456"/>
    <s v="Furniture"/>
    <x v="3"/>
    <s v="Master Caster Door Stop, Large Neon Orange"/>
    <n v="17.472000000000001"/>
    <n v="3"/>
    <n v="5.0232000000000001"/>
    <x v="2"/>
    <x v="2"/>
    <x v="4"/>
  </r>
  <r>
    <s v="CA-2014-159835"/>
    <d v="2014-11-17T00:00:00"/>
    <d v="2014-11-24T00:00:00"/>
    <x v="1"/>
    <s v="RB-19330"/>
    <s v="Randy Bradley"/>
    <x v="0"/>
    <x v="3"/>
    <x v="3"/>
    <x v="2"/>
    <s v="FUR-CH-10004997"/>
    <s v="Furniture"/>
    <x v="1"/>
    <s v="Hon Every-Day Series Multi-Task Chairs"/>
    <n v="657.93"/>
    <n v="5"/>
    <n v="-93.99"/>
    <x v="1"/>
    <x v="2"/>
    <x v="0"/>
  </r>
  <r>
    <s v="CA-2017-112956"/>
    <d v="2017-08-21T00:00:00"/>
    <d v="2017-08-27T00:00:00"/>
    <x v="1"/>
    <s v="TH-21550"/>
    <s v="Tracy Hopkins"/>
    <x v="2"/>
    <x v="11"/>
    <x v="32"/>
    <x v="2"/>
    <s v="FUR-FU-10003976"/>
    <s v="Furniture"/>
    <x v="3"/>
    <s v="DAX Executive Solid Wood Document Frame, Desktop or Hang, Mahogany, 5 x 7"/>
    <n v="25.16"/>
    <n v="2"/>
    <n v="8.5543999999999993"/>
    <x v="6"/>
    <x v="3"/>
    <x v="10"/>
  </r>
  <r>
    <s v="CA-2017-112956"/>
    <d v="2017-08-21T00:00:00"/>
    <d v="2017-08-27T00:00:00"/>
    <x v="1"/>
    <s v="TH-21550"/>
    <s v="Tracy Hopkins"/>
    <x v="2"/>
    <x v="11"/>
    <x v="32"/>
    <x v="2"/>
    <s v="FUR-FU-10004960"/>
    <s v="Furniture"/>
    <x v="3"/>
    <s v="Seth Thomas 12&quot; Clock w/ Goldtone Case"/>
    <n v="91.92"/>
    <n v="4"/>
    <n v="31.252800000000001"/>
    <x v="6"/>
    <x v="3"/>
    <x v="10"/>
  </r>
  <r>
    <s v="CA-2017-112529"/>
    <d v="2017-11-19T00:00:00"/>
    <d v="2017-11-21T00:00:00"/>
    <x v="2"/>
    <s v="SC-20770"/>
    <s v="Stewart Carmichael"/>
    <x v="1"/>
    <x v="21"/>
    <x v="5"/>
    <x v="3"/>
    <s v="FUR-TA-10002622"/>
    <s v="Furniture"/>
    <x v="2"/>
    <s v="Bush Andora Conference Table, Maple/Graphite Gray Finish"/>
    <n v="718.11599999999999"/>
    <n v="6"/>
    <n v="-71.811599999999999"/>
    <x v="3"/>
    <x v="3"/>
    <x v="0"/>
  </r>
  <r>
    <s v="CA-2014-159184"/>
    <d v="2014-09-14T00:00:00"/>
    <d v="2014-09-19T00:00:00"/>
    <x v="1"/>
    <s v="JC-15775"/>
    <s v="John Castell"/>
    <x v="0"/>
    <x v="216"/>
    <x v="24"/>
    <x v="0"/>
    <s v="FUR-FU-10002878"/>
    <s v="Furniture"/>
    <x v="3"/>
    <s v="Seth Thomas 14&quot; Day/Date Wall Clock"/>
    <n v="142.4"/>
    <n v="5"/>
    <n v="52.688000000000002"/>
    <x v="2"/>
    <x v="2"/>
    <x v="4"/>
  </r>
  <r>
    <s v="CA-2017-113530"/>
    <d v="2017-05-19T00:00:00"/>
    <d v="2017-05-21T00:00:00"/>
    <x v="0"/>
    <s v="BC-11125"/>
    <s v="Becky Castell"/>
    <x v="2"/>
    <x v="28"/>
    <x v="2"/>
    <x v="1"/>
    <s v="FUR-CH-10002647"/>
    <s v="Furniture"/>
    <x v="1"/>
    <s v="Situations Contoured Folding Chairs, 4/Set"/>
    <n v="681.40800000000002"/>
    <n v="12"/>
    <n v="42.588000000000001"/>
    <x v="3"/>
    <x v="3"/>
    <x v="7"/>
  </r>
  <r>
    <s v="CA-2016-145177"/>
    <d v="2016-11-10T00:00:00"/>
    <d v="2016-11-14T00:00:00"/>
    <x v="1"/>
    <s v="PP-18955"/>
    <s v="Paul Prost"/>
    <x v="2"/>
    <x v="76"/>
    <x v="15"/>
    <x v="2"/>
    <s v="FUR-FU-10000758"/>
    <s v="Furniture"/>
    <x v="3"/>
    <s v="DAX Natural Wood-Tone Poster Frame"/>
    <n v="148.28800000000001"/>
    <n v="7"/>
    <n v="29.657599999999999"/>
    <x v="4"/>
    <x v="0"/>
    <x v="0"/>
  </r>
  <r>
    <s v="CA-2015-128083"/>
    <d v="2015-03-12T00:00:00"/>
    <d v="2015-03-17T00:00:00"/>
    <x v="1"/>
    <s v="EB-13750"/>
    <s v="Edward Becker"/>
    <x v="1"/>
    <x v="217"/>
    <x v="1"/>
    <x v="0"/>
    <s v="FUR-FU-10003194"/>
    <s v="Furniture"/>
    <x v="3"/>
    <s v="Eldon Expressions Desk Accessory, Wood Pencil Holder, Oak"/>
    <n v="30.88"/>
    <n v="4"/>
    <n v="3.86"/>
    <x v="2"/>
    <x v="1"/>
    <x v="9"/>
  </r>
  <r>
    <s v="CA-2015-128083"/>
    <d v="2015-03-12T00:00:00"/>
    <d v="2015-03-17T00:00:00"/>
    <x v="1"/>
    <s v="EB-13750"/>
    <s v="Edward Becker"/>
    <x v="1"/>
    <x v="217"/>
    <x v="1"/>
    <x v="0"/>
    <s v="FUR-FU-10001731"/>
    <s v="Furniture"/>
    <x v="3"/>
    <s v="Acrylic Self-Standing Desk Frames"/>
    <n v="6.4080000000000004"/>
    <n v="3"/>
    <n v="1.4418"/>
    <x v="2"/>
    <x v="1"/>
    <x v="9"/>
  </r>
  <r>
    <s v="CA-2017-154109"/>
    <d v="2017-11-06T00:00:00"/>
    <d v="2017-11-11T00:00:00"/>
    <x v="1"/>
    <s v="ML-17410"/>
    <s v="Maris LaWare"/>
    <x v="0"/>
    <x v="3"/>
    <x v="3"/>
    <x v="2"/>
    <s v="FUR-CH-10003774"/>
    <s v="Furniture"/>
    <x v="1"/>
    <s v="Global Wood Trimmed Manager's Task Chair, Khaki"/>
    <n v="127.372"/>
    <n v="2"/>
    <n v="-30.933199999999999"/>
    <x v="2"/>
    <x v="3"/>
    <x v="0"/>
  </r>
  <r>
    <s v="CA-2015-156440"/>
    <d v="2015-12-05T00:00:00"/>
    <d v="2015-12-09T00:00:00"/>
    <x v="1"/>
    <s v="MH-17620"/>
    <s v="Matt Hagelstein"/>
    <x v="1"/>
    <x v="53"/>
    <x v="2"/>
    <x v="1"/>
    <s v="FUR-FU-10004090"/>
    <s v="Furniture"/>
    <x v="3"/>
    <s v="Executive Impressions 14&quot; Contract Wall Clock"/>
    <n v="44.46"/>
    <n v="2"/>
    <n v="14.671799999999999"/>
    <x v="4"/>
    <x v="1"/>
    <x v="5"/>
  </r>
  <r>
    <s v="CA-2015-132626"/>
    <d v="2015-07-09T00:00:00"/>
    <d v="2015-07-14T00:00:00"/>
    <x v="1"/>
    <s v="BT-11680"/>
    <s v="Brian Thompson"/>
    <x v="0"/>
    <x v="218"/>
    <x v="32"/>
    <x v="2"/>
    <s v="FUR-FU-10002918"/>
    <s v="Furniture"/>
    <x v="3"/>
    <s v="Eldon ClusterMat Chair Mat with Cordless Antistatic Protection"/>
    <n v="181.96"/>
    <n v="2"/>
    <n v="20.015599999999999"/>
    <x v="2"/>
    <x v="1"/>
    <x v="3"/>
  </r>
  <r>
    <s v="US-2015-131359"/>
    <d v="2015-10-30T00:00:00"/>
    <d v="2015-11-02T00:00:00"/>
    <x v="0"/>
    <s v="FA-14230"/>
    <s v="Frank Atkinson"/>
    <x v="1"/>
    <x v="22"/>
    <x v="12"/>
    <x v="1"/>
    <s v="FUR-FU-10003026"/>
    <s v="Furniture"/>
    <x v="3"/>
    <s v="Eldon Regeneration Recycled Desk Accessories, Black"/>
    <n v="15.488"/>
    <n v="4"/>
    <n v="3.6783999999999999"/>
    <x v="0"/>
    <x v="1"/>
    <x v="1"/>
  </r>
  <r>
    <s v="CA-2015-151680"/>
    <d v="2015-11-19T00:00:00"/>
    <d v="2015-11-21T00:00:00"/>
    <x v="0"/>
    <s v="TC-21475"/>
    <s v="Tony Chapman"/>
    <x v="2"/>
    <x v="15"/>
    <x v="13"/>
    <x v="1"/>
    <s v="FUR-FU-10000305"/>
    <s v="Furniture"/>
    <x v="3"/>
    <s v="Tenex V2T-RE Standard Weight Series Chair Mat, 45&quot; x 53&quot;, Lip 25&quot; x 12&quot;"/>
    <n v="141.96"/>
    <n v="2"/>
    <n v="22.7136"/>
    <x v="3"/>
    <x v="1"/>
    <x v="0"/>
  </r>
  <r>
    <s v="CA-2017-169411"/>
    <d v="2017-12-24T00:00:00"/>
    <d v="2017-12-29T00:00:00"/>
    <x v="1"/>
    <s v="AC-10615"/>
    <s v="Ann Chong"/>
    <x v="1"/>
    <x v="77"/>
    <x v="7"/>
    <x v="2"/>
    <s v="FUR-FU-10001602"/>
    <s v="Furniture"/>
    <x v="3"/>
    <s v="Eldon Delta Triangular Chair Mat, 52&quot; x 58&quot;, Clear"/>
    <n v="37.93"/>
    <n v="1"/>
    <n v="6.8273999999999999"/>
    <x v="2"/>
    <x v="3"/>
    <x v="5"/>
  </r>
  <r>
    <s v="CA-2016-126543"/>
    <d v="2016-01-09T00:00:00"/>
    <d v="2016-01-13T00:00:00"/>
    <x v="0"/>
    <s v="MF-17665"/>
    <s v="Maureen Fritzler"/>
    <x v="1"/>
    <x v="219"/>
    <x v="15"/>
    <x v="2"/>
    <s v="FUR-FU-10002445"/>
    <s v="Furniture"/>
    <x v="3"/>
    <s v="DAX Two-Tone Rosewood/Black Document Frame, Desktop, 5 x 7"/>
    <n v="15.167999999999999"/>
    <n v="2"/>
    <n v="3.7919999999999998"/>
    <x v="4"/>
    <x v="0"/>
    <x v="8"/>
  </r>
  <r>
    <s v="CA-2014-120544"/>
    <d v="2014-11-23T00:00:00"/>
    <d v="2014-11-27T00:00:00"/>
    <x v="1"/>
    <s v="SS-20140"/>
    <s v="Saphhira Shifley"/>
    <x v="1"/>
    <x v="220"/>
    <x v="5"/>
    <x v="3"/>
    <s v="FUR-FU-10001940"/>
    <s v="Furniture"/>
    <x v="3"/>
    <s v="Staple-based wall hangings"/>
    <n v="6.3680000000000003"/>
    <n v="2"/>
    <n v="-2.5472000000000001"/>
    <x v="4"/>
    <x v="2"/>
    <x v="0"/>
  </r>
  <r>
    <s v="CA-2017-113670"/>
    <d v="2017-10-15T00:00:00"/>
    <d v="2017-10-17T00:00:00"/>
    <x v="2"/>
    <s v="RS-19765"/>
    <s v="Roland Schwarz"/>
    <x v="1"/>
    <x v="2"/>
    <x v="2"/>
    <x v="1"/>
    <s v="FUR-TA-10001705"/>
    <s v="Furniture"/>
    <x v="2"/>
    <s v="Bush Advantage Collection Round Conference Table"/>
    <n v="510.24"/>
    <n v="3"/>
    <n v="6.3780000000000001"/>
    <x v="3"/>
    <x v="3"/>
    <x v="1"/>
  </r>
  <r>
    <s v="CA-2017-166198"/>
    <d v="2017-04-21T00:00:00"/>
    <d v="2017-04-24T00:00:00"/>
    <x v="2"/>
    <s v="JW-15955"/>
    <s v="Joni Wasserman"/>
    <x v="0"/>
    <x v="15"/>
    <x v="13"/>
    <x v="1"/>
    <s v="FUR-FU-10004622"/>
    <s v="Furniture"/>
    <x v="3"/>
    <s v="Eldon Advantage Foldable Chair Mats for Low Pile Carpets"/>
    <n v="162.6"/>
    <n v="3"/>
    <n v="34.146000000000001"/>
    <x v="0"/>
    <x v="3"/>
    <x v="6"/>
  </r>
  <r>
    <s v="CA-2014-135608"/>
    <d v="2014-12-08T00:00:00"/>
    <d v="2014-12-10T00:00:00"/>
    <x v="0"/>
    <s v="JK-15625"/>
    <s v="Jim Karlsson"/>
    <x v="0"/>
    <x v="84"/>
    <x v="13"/>
    <x v="1"/>
    <s v="FUR-CH-10002602"/>
    <s v="Furniture"/>
    <x v="1"/>
    <s v="DMI Arturo Collection Mission-style Design Wood Chair"/>
    <n v="603.91999999999996"/>
    <n v="5"/>
    <n v="45.293999999999997"/>
    <x v="3"/>
    <x v="2"/>
    <x v="5"/>
  </r>
  <r>
    <s v="CA-2016-151155"/>
    <d v="2016-12-20T00:00:00"/>
    <d v="2016-12-24T00:00:00"/>
    <x v="1"/>
    <s v="AB-10255"/>
    <s v="Alejandro Ballentine"/>
    <x v="2"/>
    <x v="38"/>
    <x v="21"/>
    <x v="0"/>
    <s v="FUR-FU-10001918"/>
    <s v="Furniture"/>
    <x v="3"/>
    <s v="C-Line Cubicle Keepers Polyproplyene Holder With Velcro Backings"/>
    <n v="18.920000000000002"/>
    <n v="4"/>
    <n v="7.3788"/>
    <x v="4"/>
    <x v="0"/>
    <x v="5"/>
  </r>
  <r>
    <s v="CA-2017-168193"/>
    <d v="2017-03-06T00:00:00"/>
    <d v="2017-03-11T00:00:00"/>
    <x v="0"/>
    <s v="RM-19750"/>
    <s v="Roland Murray"/>
    <x v="0"/>
    <x v="13"/>
    <x v="7"/>
    <x v="2"/>
    <s v="FUR-FU-10002554"/>
    <s v="Furniture"/>
    <x v="3"/>
    <s v="Westinghouse Floor Lamp with Metal Mesh Shade, Black"/>
    <n v="71.97"/>
    <n v="3"/>
    <n v="16.553100000000001"/>
    <x v="2"/>
    <x v="3"/>
    <x v="9"/>
  </r>
  <r>
    <s v="CA-2016-149979"/>
    <d v="2016-09-23T00:00:00"/>
    <d v="2016-09-28T00:00:00"/>
    <x v="0"/>
    <s v="RA-19915"/>
    <s v="Russell Applegate"/>
    <x v="0"/>
    <x v="29"/>
    <x v="24"/>
    <x v="0"/>
    <s v="FUR-CH-10002084"/>
    <s v="Furniture"/>
    <x v="1"/>
    <s v="Hon Mobius Operator's Chair"/>
    <n v="368.97"/>
    <n v="3"/>
    <n v="81.173400000000001"/>
    <x v="2"/>
    <x v="0"/>
    <x v="4"/>
  </r>
  <r>
    <s v="CA-2017-161956"/>
    <d v="2017-08-27T00:00:00"/>
    <d v="2017-08-29T00:00:00"/>
    <x v="0"/>
    <s v="DR-12880"/>
    <s v="Dan Reichenbach"/>
    <x v="1"/>
    <x v="209"/>
    <x v="2"/>
    <x v="1"/>
    <s v="FUR-FU-10002937"/>
    <s v="Furniture"/>
    <x v="3"/>
    <s v="GE 48&quot; Fluorescent Tube, Cool White Energy Saver, 34 Watts, 30/Box"/>
    <n v="198.46"/>
    <n v="2"/>
    <n v="99.23"/>
    <x v="3"/>
    <x v="3"/>
    <x v="10"/>
  </r>
  <r>
    <s v="CA-2017-161956"/>
    <d v="2017-08-27T00:00:00"/>
    <d v="2017-08-29T00:00:00"/>
    <x v="0"/>
    <s v="DR-12880"/>
    <s v="Dan Reichenbach"/>
    <x v="1"/>
    <x v="209"/>
    <x v="2"/>
    <x v="1"/>
    <s v="FUR-CH-10004886"/>
    <s v="Furniture"/>
    <x v="1"/>
    <s v="Bevis Steel Folding Chairs"/>
    <n v="230.28"/>
    <n v="3"/>
    <n v="23.027999999999999"/>
    <x v="3"/>
    <x v="3"/>
    <x v="10"/>
  </r>
  <r>
    <s v="CA-2016-116799"/>
    <d v="2016-03-03T00:00:00"/>
    <d v="2016-03-06T00:00:00"/>
    <x v="2"/>
    <s v="JG-15310"/>
    <s v="Jason Gross"/>
    <x v="1"/>
    <x v="221"/>
    <x v="5"/>
    <x v="3"/>
    <s v="FUR-CH-10004983"/>
    <s v="Furniture"/>
    <x v="1"/>
    <s v="Office Star - Mid Back Dual function Ergonomic High Back Chair with 2-Way Adjustable Arms"/>
    <n v="563.42999999999995"/>
    <n v="5"/>
    <n v="-56.343000000000004"/>
    <x v="0"/>
    <x v="0"/>
    <x v="9"/>
  </r>
  <r>
    <s v="CA-2015-167745"/>
    <d v="2015-09-18T00:00:00"/>
    <d v="2015-09-23T00:00:00"/>
    <x v="1"/>
    <s v="GB-14530"/>
    <s v="George Bell"/>
    <x v="1"/>
    <x v="2"/>
    <x v="2"/>
    <x v="1"/>
    <s v="FUR-FU-10001591"/>
    <s v="Furniture"/>
    <x v="3"/>
    <s v="Advantus Panel Wall Certificate Holder - 8.5x11"/>
    <n v="24.4"/>
    <n v="2"/>
    <n v="10.247999999999999"/>
    <x v="2"/>
    <x v="1"/>
    <x v="4"/>
  </r>
  <r>
    <s v="CA-2016-156251"/>
    <d v="2016-08-13T00:00:00"/>
    <d v="2016-08-18T00:00:00"/>
    <x v="0"/>
    <s v="TS-21160"/>
    <s v="Theresa Swint"/>
    <x v="1"/>
    <x v="222"/>
    <x v="16"/>
    <x v="3"/>
    <s v="FUR-BO-10001337"/>
    <s v="Furniture"/>
    <x v="0"/>
    <s v="O'Sullivan Living Dimensions 2-Shelf Bookcases"/>
    <n v="241.96"/>
    <n v="2"/>
    <n v="24.196000000000002"/>
    <x v="2"/>
    <x v="0"/>
    <x v="10"/>
  </r>
  <r>
    <s v="CA-2016-163153"/>
    <d v="2016-03-21T00:00:00"/>
    <d v="2016-03-25T00:00:00"/>
    <x v="1"/>
    <s v="DM-12955"/>
    <s v="Dario Medina"/>
    <x v="1"/>
    <x v="6"/>
    <x v="5"/>
    <x v="3"/>
    <s v="FUR-TA-10004767"/>
    <s v="Furniture"/>
    <x v="2"/>
    <s v="Safco Drafting Table"/>
    <n v="99.372"/>
    <n v="2"/>
    <n v="-1.4196"/>
    <x v="4"/>
    <x v="0"/>
    <x v="9"/>
  </r>
  <r>
    <s v="CA-2014-153913"/>
    <d v="2014-12-16T00:00:00"/>
    <d v="2014-12-20T00:00:00"/>
    <x v="0"/>
    <s v="KB-16585"/>
    <s v="Ken Black"/>
    <x v="1"/>
    <x v="173"/>
    <x v="1"/>
    <x v="0"/>
    <s v="FUR-CH-10000988"/>
    <s v="Furniture"/>
    <x v="1"/>
    <s v="Hon Olson Stacker Stools"/>
    <n v="1013.832"/>
    <n v="9"/>
    <n v="101.3832"/>
    <x v="4"/>
    <x v="2"/>
    <x v="5"/>
  </r>
  <r>
    <s v="CA-2016-155530"/>
    <d v="2016-12-17T00:00:00"/>
    <d v="2016-12-21T00:00:00"/>
    <x v="1"/>
    <s v="CM-12160"/>
    <s v="Charles McCrossin"/>
    <x v="0"/>
    <x v="28"/>
    <x v="2"/>
    <x v="1"/>
    <s v="FUR-TA-10004256"/>
    <s v="Furniture"/>
    <x v="2"/>
    <s v="Bretford ÒJust In TimeÓ Height-Adjustable Multi-Task Work Tables"/>
    <n v="2003.52"/>
    <n v="6"/>
    <n v="-325.572"/>
    <x v="4"/>
    <x v="0"/>
    <x v="5"/>
  </r>
  <r>
    <s v="CA-2015-107937"/>
    <d v="2015-05-03T00:00:00"/>
    <d v="2015-05-08T00:00:00"/>
    <x v="1"/>
    <s v="JB-16045"/>
    <s v="Julia Barnett"/>
    <x v="2"/>
    <x v="223"/>
    <x v="2"/>
    <x v="1"/>
    <s v="FUR-FU-10002298"/>
    <s v="Furniture"/>
    <x v="3"/>
    <s v="Rubbermaid ClusterMat Chairmats, Mat Size- 66&quot; x 60&quot;, Lip 20&quot; x 11&quot; -90 Degree Angle"/>
    <n v="665.88"/>
    <n v="6"/>
    <n v="106.5408"/>
    <x v="2"/>
    <x v="1"/>
    <x v="7"/>
  </r>
  <r>
    <s v="US-2014-117163"/>
    <d v="2014-01-27T00:00:00"/>
    <d v="2014-02-02T00:00:00"/>
    <x v="1"/>
    <s v="EJ-13720"/>
    <s v="Ed Jacobs"/>
    <x v="0"/>
    <x v="53"/>
    <x v="2"/>
    <x v="1"/>
    <s v="FUR-TA-10003469"/>
    <s v="Furniture"/>
    <x v="2"/>
    <s v="Balt Split Level Computer Training Table"/>
    <n v="333"/>
    <n v="3"/>
    <n v="-16.649999999999999"/>
    <x v="6"/>
    <x v="2"/>
    <x v="8"/>
  </r>
  <r>
    <s v="CA-2017-147760"/>
    <d v="2017-11-04T00:00:00"/>
    <d v="2017-11-05T00:00:00"/>
    <x v="2"/>
    <s v="KL-16555"/>
    <s v="Kelly Lampkin"/>
    <x v="1"/>
    <x v="224"/>
    <x v="30"/>
    <x v="0"/>
    <s v="FUR-TA-10004575"/>
    <s v="Furniture"/>
    <x v="2"/>
    <s v="Hon 5100 Series Wood Tables"/>
    <n v="523.76400000000001"/>
    <n v="3"/>
    <n v="-192.04679999999999"/>
    <x v="5"/>
    <x v="3"/>
    <x v="0"/>
  </r>
  <r>
    <s v="CA-2016-156503"/>
    <d v="2016-10-14T00:00:00"/>
    <d v="2016-10-20T00:00:00"/>
    <x v="1"/>
    <s v="NC-18415"/>
    <s v="Nathan Cano"/>
    <x v="0"/>
    <x v="51"/>
    <x v="30"/>
    <x v="0"/>
    <s v="FUR-CH-10003606"/>
    <s v="Furniture"/>
    <x v="1"/>
    <s v="SAFCO Folding Chair Trolley"/>
    <n v="102.592"/>
    <n v="1"/>
    <n v="10.2592"/>
    <x v="6"/>
    <x v="0"/>
    <x v="1"/>
  </r>
  <r>
    <s v="CA-2015-113628"/>
    <d v="2015-11-12T00:00:00"/>
    <d v="2015-11-19T00:00:00"/>
    <x v="1"/>
    <s v="AH-10690"/>
    <s v="Anna HŠberlin"/>
    <x v="1"/>
    <x v="217"/>
    <x v="1"/>
    <x v="0"/>
    <s v="FUR-CH-10003298"/>
    <s v="Furniture"/>
    <x v="1"/>
    <s v="Office Star - Contemporary Task Swivel chair with Loop Arms, Charcoal"/>
    <n v="523.91999999999996"/>
    <n v="5"/>
    <n v="-72.039000000000001"/>
    <x v="1"/>
    <x v="1"/>
    <x v="0"/>
  </r>
  <r>
    <s v="CA-2015-113628"/>
    <d v="2015-11-12T00:00:00"/>
    <d v="2015-11-19T00:00:00"/>
    <x v="1"/>
    <s v="AH-10690"/>
    <s v="Anna HŠberlin"/>
    <x v="1"/>
    <x v="217"/>
    <x v="1"/>
    <x v="0"/>
    <s v="FUR-CH-10004477"/>
    <s v="Furniture"/>
    <x v="1"/>
    <s v="Global Push Button Manager's Chair, Indigo"/>
    <n v="146.136"/>
    <n v="3"/>
    <n v="16.440300000000001"/>
    <x v="1"/>
    <x v="1"/>
    <x v="0"/>
  </r>
  <r>
    <s v="CA-2015-102582"/>
    <d v="2015-09-15T00:00:00"/>
    <d v="2015-09-19T00:00:00"/>
    <x v="1"/>
    <s v="NW-18400"/>
    <s v="Natalie Webber"/>
    <x v="0"/>
    <x v="212"/>
    <x v="33"/>
    <x v="0"/>
    <s v="FUR-TA-10003569"/>
    <s v="Furniture"/>
    <x v="2"/>
    <s v="Bretford CR8500 Series Meeting Room Furniture"/>
    <n v="801.96"/>
    <n v="2"/>
    <n v="200.49"/>
    <x v="4"/>
    <x v="1"/>
    <x v="4"/>
  </r>
  <r>
    <s v="CA-2015-102582"/>
    <d v="2015-09-15T00:00:00"/>
    <d v="2015-09-19T00:00:00"/>
    <x v="1"/>
    <s v="NW-18400"/>
    <s v="Natalie Webber"/>
    <x v="0"/>
    <x v="212"/>
    <x v="33"/>
    <x v="0"/>
    <s v="FUR-CH-10004853"/>
    <s v="Furniture"/>
    <x v="1"/>
    <s v="Global Manager's Adjustable Task Chair, Storm"/>
    <n v="1056.8599999999999"/>
    <n v="7"/>
    <n v="306.48939999999999"/>
    <x v="4"/>
    <x v="1"/>
    <x v="4"/>
  </r>
  <r>
    <s v="CA-2017-141873"/>
    <d v="2017-10-09T00:00:00"/>
    <d v="2017-10-14T00:00:00"/>
    <x v="1"/>
    <s v="HG-14845"/>
    <s v="Harry Greene"/>
    <x v="0"/>
    <x v="13"/>
    <x v="7"/>
    <x v="2"/>
    <s v="FUR-BO-10003034"/>
    <s v="Furniture"/>
    <x v="0"/>
    <s v="O'Sullivan Elevations Bookcase, Cherry Finish"/>
    <n v="314.35199999999998"/>
    <n v="3"/>
    <n v="-15.717599999999999"/>
    <x v="2"/>
    <x v="3"/>
    <x v="1"/>
  </r>
  <r>
    <s v="CA-2017-141733"/>
    <d v="2017-05-07T00:00:00"/>
    <d v="2017-05-11T00:00:00"/>
    <x v="1"/>
    <s v="RW-19540"/>
    <s v="Rick Wilson"/>
    <x v="1"/>
    <x v="25"/>
    <x v="17"/>
    <x v="3"/>
    <s v="FUR-CH-10004086"/>
    <s v="Furniture"/>
    <x v="1"/>
    <s v="Hon 4070 Series Pagoda Armless Upholstered Stacking Chairs"/>
    <n v="1458.65"/>
    <n v="5"/>
    <n v="423.00850000000003"/>
    <x v="4"/>
    <x v="3"/>
    <x v="7"/>
  </r>
  <r>
    <s v="CA-2017-141733"/>
    <d v="2017-05-07T00:00:00"/>
    <d v="2017-05-11T00:00:00"/>
    <x v="1"/>
    <s v="RW-19540"/>
    <s v="Rick Wilson"/>
    <x v="1"/>
    <x v="25"/>
    <x v="17"/>
    <x v="3"/>
    <s v="FUR-CH-10002017"/>
    <s v="Furniture"/>
    <x v="1"/>
    <s v="SAFCO Optional Arm Kit for Workspace Cribbage Stacking Chair"/>
    <n v="26.64"/>
    <n v="1"/>
    <n v="7.4592000000000001"/>
    <x v="4"/>
    <x v="3"/>
    <x v="7"/>
  </r>
  <r>
    <s v="CA-2017-141733"/>
    <d v="2017-05-07T00:00:00"/>
    <d v="2017-05-11T00:00:00"/>
    <x v="1"/>
    <s v="RW-19540"/>
    <s v="Rick Wilson"/>
    <x v="1"/>
    <x v="25"/>
    <x v="17"/>
    <x v="3"/>
    <s v="FUR-CH-10000595"/>
    <s v="Furniture"/>
    <x v="1"/>
    <s v="Safco Contoured Stacking Chairs"/>
    <n v="476.8"/>
    <n v="2"/>
    <n v="119.2"/>
    <x v="4"/>
    <x v="3"/>
    <x v="7"/>
  </r>
  <r>
    <s v="US-2015-111927"/>
    <d v="2015-11-14T00:00:00"/>
    <d v="2015-11-19T00:00:00"/>
    <x v="1"/>
    <s v="LS-17230"/>
    <s v="Lycoris Saunders"/>
    <x v="0"/>
    <x v="63"/>
    <x v="14"/>
    <x v="2"/>
    <s v="FUR-FU-10004017"/>
    <s v="Furniture"/>
    <x v="3"/>
    <s v="Executive Impressions 13&quot; Chairman Wall Clock"/>
    <n v="76.14"/>
    <n v="3"/>
    <n v="26.649000000000001"/>
    <x v="2"/>
    <x v="1"/>
    <x v="0"/>
  </r>
  <r>
    <s v="CA-2014-105984"/>
    <d v="2014-11-24T00:00:00"/>
    <d v="2014-11-24T00:00:00"/>
    <x v="3"/>
    <s v="MY-18295"/>
    <s v="Muhammed Yedwab"/>
    <x v="1"/>
    <x v="29"/>
    <x v="15"/>
    <x v="2"/>
    <s v="FUR-CH-10000847"/>
    <s v="Furniture"/>
    <x v="1"/>
    <s v="Global Executive Mid-Back Manager's Chair"/>
    <n v="611.05799999999999"/>
    <n v="3"/>
    <n v="-34.9176"/>
    <x v="7"/>
    <x v="2"/>
    <x v="0"/>
  </r>
  <r>
    <s v="CA-2014-126760"/>
    <d v="2014-07-26T00:00:00"/>
    <d v="2014-08-02T00:00:00"/>
    <x v="1"/>
    <s v="KM-16720"/>
    <s v="Kunst Miller"/>
    <x v="0"/>
    <x v="111"/>
    <x v="34"/>
    <x v="1"/>
    <s v="FUR-CH-10003312"/>
    <s v="Furniture"/>
    <x v="1"/>
    <s v="Hon 2090 ÒPillow SoftÓ Series Mid Back Swivel/Tilt Chairs"/>
    <n v="674.35199999999998"/>
    <n v="3"/>
    <n v="-109.5822"/>
    <x v="1"/>
    <x v="2"/>
    <x v="3"/>
  </r>
  <r>
    <s v="CA-2014-126760"/>
    <d v="2014-07-26T00:00:00"/>
    <d v="2014-08-02T00:00:00"/>
    <x v="1"/>
    <s v="KM-16720"/>
    <s v="Kunst Miller"/>
    <x v="0"/>
    <x v="111"/>
    <x v="34"/>
    <x v="1"/>
    <s v="FUR-FU-10004018"/>
    <s v="Furniture"/>
    <x v="3"/>
    <s v="Tensor Computer Mounted Lamp"/>
    <n v="134.01"/>
    <n v="9"/>
    <n v="36.182699999999997"/>
    <x v="1"/>
    <x v="2"/>
    <x v="3"/>
  </r>
  <r>
    <s v="US-2014-109162"/>
    <d v="2014-06-08T00:00:00"/>
    <d v="2014-06-12T00:00:00"/>
    <x v="1"/>
    <s v="KE-16420"/>
    <s v="Katrina Edelman"/>
    <x v="1"/>
    <x v="203"/>
    <x v="9"/>
    <x v="0"/>
    <s v="FUR-CH-10002647"/>
    <s v="Furniture"/>
    <x v="1"/>
    <s v="Situations Contoured Folding Chairs, 4/Set"/>
    <n v="170.352"/>
    <n v="3"/>
    <n v="10.647"/>
    <x v="4"/>
    <x v="2"/>
    <x v="2"/>
  </r>
  <r>
    <s v="CA-2014-101931"/>
    <d v="2014-10-28T00:00:00"/>
    <d v="2014-10-31T00:00:00"/>
    <x v="2"/>
    <s v="TS-21370"/>
    <s v="Todd Sumrall"/>
    <x v="1"/>
    <x v="2"/>
    <x v="2"/>
    <x v="1"/>
    <s v="FUR-BO-10001337"/>
    <s v="Furniture"/>
    <x v="0"/>
    <s v="O'Sullivan Living Dimensions 2-Shelf Bookcases"/>
    <n v="616.99800000000005"/>
    <n v="6"/>
    <n v="-36.293999999999997"/>
    <x v="0"/>
    <x v="2"/>
    <x v="1"/>
  </r>
  <r>
    <s v="CA-2015-127593"/>
    <d v="2015-09-21T00:00:00"/>
    <d v="2015-09-21T00:00:00"/>
    <x v="3"/>
    <s v="DH-13675"/>
    <s v="Duane Huffman"/>
    <x v="2"/>
    <x v="202"/>
    <x v="20"/>
    <x v="2"/>
    <s v="FUR-FU-10004006"/>
    <s v="Furniture"/>
    <x v="3"/>
    <s v="Deflect-o DuraMat Lighweight, Studded, Beveled Mat for Low Pile Carpeting"/>
    <n v="85.3"/>
    <n v="2"/>
    <n v="14.500999999999999"/>
    <x v="7"/>
    <x v="1"/>
    <x v="4"/>
  </r>
  <r>
    <s v="US-2017-131849"/>
    <d v="2017-06-06T00:00:00"/>
    <d v="2017-06-10T00:00:00"/>
    <x v="1"/>
    <s v="GH-14410"/>
    <s v="Gary Hansen"/>
    <x v="2"/>
    <x v="28"/>
    <x v="2"/>
    <x v="1"/>
    <s v="FUR-FU-10004164"/>
    <s v="Furniture"/>
    <x v="3"/>
    <s v="Eldon 300 Class Desk Accessories, Black"/>
    <n v="4.95"/>
    <n v="1"/>
    <n v="2.1779999999999999"/>
    <x v="4"/>
    <x v="3"/>
    <x v="2"/>
  </r>
  <r>
    <s v="CA-2017-154039"/>
    <d v="2017-02-17T00:00:00"/>
    <d v="2017-02-22T00:00:00"/>
    <x v="1"/>
    <s v="JK-16120"/>
    <s v="Julie Kriz"/>
    <x v="2"/>
    <x v="9"/>
    <x v="8"/>
    <x v="3"/>
    <s v="FUR-TA-10001932"/>
    <s v="Furniture"/>
    <x v="2"/>
    <s v="Chromcraft 48&quot; x 96&quot; Racetrack Double Pedestal Table"/>
    <n v="480.96"/>
    <n v="3"/>
    <n v="-269.33760000000001"/>
    <x v="2"/>
    <x v="3"/>
    <x v="11"/>
  </r>
  <r>
    <s v="CA-2015-157133"/>
    <d v="2015-11-28T00:00:00"/>
    <d v="2015-12-03T00:00:00"/>
    <x v="1"/>
    <s v="LC-16885"/>
    <s v="Lena Creighton"/>
    <x v="0"/>
    <x v="225"/>
    <x v="8"/>
    <x v="3"/>
    <s v="FUR-FU-10004904"/>
    <s v="Furniture"/>
    <x v="3"/>
    <s v="Eldon &quot;L&quot; Workstation Diamond Chairmat"/>
    <n v="151.96"/>
    <n v="5"/>
    <n v="-182.352"/>
    <x v="2"/>
    <x v="1"/>
    <x v="0"/>
  </r>
  <r>
    <s v="CA-2015-132486"/>
    <d v="2015-10-23T00:00:00"/>
    <d v="2015-10-27T00:00:00"/>
    <x v="0"/>
    <s v="JF-15355"/>
    <s v="Jay Fein"/>
    <x v="0"/>
    <x v="53"/>
    <x v="2"/>
    <x v="1"/>
    <s v="FUR-CH-10004495"/>
    <s v="Furniture"/>
    <x v="1"/>
    <s v="Global Leather and Oak Executive Chair, Black"/>
    <n v="240.78399999999999"/>
    <n v="1"/>
    <n v="27.088200000000001"/>
    <x v="4"/>
    <x v="1"/>
    <x v="1"/>
  </r>
  <r>
    <s v="CA-2015-132486"/>
    <d v="2015-10-23T00:00:00"/>
    <d v="2015-10-27T00:00:00"/>
    <x v="0"/>
    <s v="JF-15355"/>
    <s v="Jay Fein"/>
    <x v="0"/>
    <x v="53"/>
    <x v="2"/>
    <x v="1"/>
    <s v="FUR-CH-10004540"/>
    <s v="Furniture"/>
    <x v="1"/>
    <s v="Global Chrome Stack Chair"/>
    <n v="191.96799999999999"/>
    <n v="7"/>
    <n v="16.7972"/>
    <x v="4"/>
    <x v="1"/>
    <x v="1"/>
  </r>
  <r>
    <s v="CA-2015-132486"/>
    <d v="2015-10-23T00:00:00"/>
    <d v="2015-10-27T00:00:00"/>
    <x v="0"/>
    <s v="JF-15355"/>
    <s v="Jay Fein"/>
    <x v="0"/>
    <x v="53"/>
    <x v="2"/>
    <x v="1"/>
    <s v="FUR-CH-10001854"/>
    <s v="Furniture"/>
    <x v="1"/>
    <s v="Office Star - Professional Matrix Back Chair with 2-to-1 Synchro Tilt and Mesh Fabric Seat"/>
    <n v="842.35199999999998"/>
    <n v="3"/>
    <n v="42.117600000000003"/>
    <x v="4"/>
    <x v="1"/>
    <x v="1"/>
  </r>
  <r>
    <s v="CA-2015-129896"/>
    <d v="2015-06-15T00:00:00"/>
    <d v="2015-06-20T00:00:00"/>
    <x v="1"/>
    <s v="PF-19120"/>
    <s v="Peter Fuller"/>
    <x v="0"/>
    <x v="171"/>
    <x v="22"/>
    <x v="1"/>
    <s v="FUR-FU-10004904"/>
    <s v="Furniture"/>
    <x v="3"/>
    <s v="Eldon &quot;L&quot; Workstation Diamond Chairmat"/>
    <n v="364.70400000000001"/>
    <n v="6"/>
    <n v="-36.470399999999998"/>
    <x v="2"/>
    <x v="1"/>
    <x v="2"/>
  </r>
  <r>
    <s v="CA-2015-129896"/>
    <d v="2015-06-15T00:00:00"/>
    <d v="2015-06-20T00:00:00"/>
    <x v="1"/>
    <s v="PF-19120"/>
    <s v="Peter Fuller"/>
    <x v="0"/>
    <x v="171"/>
    <x v="22"/>
    <x v="1"/>
    <s v="FUR-FU-10002396"/>
    <s v="Furniture"/>
    <x v="3"/>
    <s v="DAX Copper Panel Document Frame, 5 x 7 Size"/>
    <n v="40.256"/>
    <n v="4"/>
    <n v="11.070399999999999"/>
    <x v="2"/>
    <x v="1"/>
    <x v="2"/>
  </r>
  <r>
    <s v="US-2016-163881"/>
    <d v="2016-11-24T00:00:00"/>
    <d v="2016-11-30T00:00:00"/>
    <x v="1"/>
    <s v="SP-20860"/>
    <s v="Sung Pak"/>
    <x v="1"/>
    <x v="2"/>
    <x v="2"/>
    <x v="1"/>
    <s v="FUR-CH-10001394"/>
    <s v="Furniture"/>
    <x v="1"/>
    <s v="Global Leather Executive Chair"/>
    <n v="1684.752"/>
    <n v="6"/>
    <n v="210.59399999999999"/>
    <x v="6"/>
    <x v="0"/>
    <x v="0"/>
  </r>
  <r>
    <s v="CA-2015-167010"/>
    <d v="2015-04-05T00:00:00"/>
    <d v="2015-04-10T00:00:00"/>
    <x v="1"/>
    <s v="VT-21700"/>
    <s v="Valerie Takahito"/>
    <x v="2"/>
    <x v="3"/>
    <x v="3"/>
    <x v="2"/>
    <s v="FUR-FU-10001468"/>
    <s v="Furniture"/>
    <x v="3"/>
    <s v="Tenex Antistatic Computer Chair Mats"/>
    <n v="547.13599999999997"/>
    <n v="4"/>
    <n v="-68.391999999999996"/>
    <x v="2"/>
    <x v="1"/>
    <x v="6"/>
  </r>
  <r>
    <s v="CA-2015-167010"/>
    <d v="2015-04-05T00:00:00"/>
    <d v="2015-04-10T00:00:00"/>
    <x v="1"/>
    <s v="VT-21700"/>
    <s v="Valerie Takahito"/>
    <x v="2"/>
    <x v="3"/>
    <x v="3"/>
    <x v="2"/>
    <s v="FUR-FU-10001037"/>
    <s v="Furniture"/>
    <x v="3"/>
    <s v="DAX Charcoal/Nickel-Tone Document Frame, 5 x 7"/>
    <n v="7.5839999999999996"/>
    <n v="1"/>
    <n v="2.37"/>
    <x v="2"/>
    <x v="1"/>
    <x v="6"/>
  </r>
  <r>
    <s v="CA-2015-167010"/>
    <d v="2015-04-05T00:00:00"/>
    <d v="2015-04-10T00:00:00"/>
    <x v="1"/>
    <s v="VT-21700"/>
    <s v="Valerie Takahito"/>
    <x v="2"/>
    <x v="3"/>
    <x v="3"/>
    <x v="2"/>
    <s v="FUR-BO-10004218"/>
    <s v="Furniture"/>
    <x v="0"/>
    <s v="Bush Heritage Pine Collection 5-Shelf Bookcase, Albany Pine Finish, *Special Order"/>
    <n v="352.45"/>
    <n v="5"/>
    <n v="-211.47"/>
    <x v="2"/>
    <x v="1"/>
    <x v="6"/>
  </r>
  <r>
    <s v="CA-2017-148068"/>
    <d v="2017-09-18T00:00:00"/>
    <d v="2017-09-25T00:00:00"/>
    <x v="1"/>
    <s v="MM-18280"/>
    <s v="Muhammed MacIntyre"/>
    <x v="1"/>
    <x v="13"/>
    <x v="7"/>
    <x v="2"/>
    <s v="FUR-FU-10002268"/>
    <s v="Furniture"/>
    <x v="3"/>
    <s v="Ultra Door Push Plate"/>
    <n v="9.82"/>
    <n v="2"/>
    <n v="3.2406000000000001"/>
    <x v="1"/>
    <x v="3"/>
    <x v="4"/>
  </r>
  <r>
    <s v="US-2017-142573"/>
    <d v="2017-07-18T00:00:00"/>
    <d v="2017-07-23T00:00:00"/>
    <x v="1"/>
    <s v="ML-17410"/>
    <s v="Maris LaWare"/>
    <x v="0"/>
    <x v="43"/>
    <x v="22"/>
    <x v="1"/>
    <s v="FUR-TA-10001932"/>
    <s v="Furniture"/>
    <x v="2"/>
    <s v="Chromcraft 48&quot; x 96&quot; Racetrack Double Pedestal Table"/>
    <n v="801.6"/>
    <n v="5"/>
    <n v="-448.89600000000002"/>
    <x v="2"/>
    <x v="3"/>
    <x v="3"/>
  </r>
  <r>
    <s v="US-2017-142573"/>
    <d v="2017-07-18T00:00:00"/>
    <d v="2017-07-23T00:00:00"/>
    <x v="1"/>
    <s v="ML-17410"/>
    <s v="Maris LaWare"/>
    <x v="0"/>
    <x v="43"/>
    <x v="22"/>
    <x v="1"/>
    <s v="FUR-CH-10004218"/>
    <s v="Furniture"/>
    <x v="1"/>
    <s v="Global Fabric Manager's Chair, Dark Gray"/>
    <n v="161.56800000000001"/>
    <n v="2"/>
    <n v="10.098000000000001"/>
    <x v="2"/>
    <x v="3"/>
    <x v="3"/>
  </r>
  <r>
    <s v="US-2017-142573"/>
    <d v="2017-07-18T00:00:00"/>
    <d v="2017-07-23T00:00:00"/>
    <x v="1"/>
    <s v="ML-17410"/>
    <s v="Maris LaWare"/>
    <x v="0"/>
    <x v="43"/>
    <x v="22"/>
    <x v="1"/>
    <s v="FUR-CH-10000513"/>
    <s v="Furniture"/>
    <x v="1"/>
    <s v="High-Back Leather Manager's Chair"/>
    <n v="311.976"/>
    <n v="3"/>
    <n v="-42.896700000000003"/>
    <x v="2"/>
    <x v="3"/>
    <x v="3"/>
  </r>
  <r>
    <s v="CA-2014-103940"/>
    <d v="2014-09-17T00:00:00"/>
    <d v="2014-09-21T00:00:00"/>
    <x v="1"/>
    <s v="BN-11515"/>
    <s v="Bradley Nguyen"/>
    <x v="0"/>
    <x v="15"/>
    <x v="13"/>
    <x v="1"/>
    <s v="FUR-FU-10004671"/>
    <s v="Furniture"/>
    <x v="3"/>
    <s v="Executive Impressions 12&quot; Wall Clock"/>
    <n v="35.340000000000003"/>
    <n v="2"/>
    <n v="13.4292"/>
    <x v="4"/>
    <x v="2"/>
    <x v="4"/>
  </r>
  <r>
    <s v="CA-2016-162082"/>
    <d v="2016-03-14T00:00:00"/>
    <d v="2016-03-17T00:00:00"/>
    <x v="2"/>
    <s v="JS-15880"/>
    <s v="John Stevenson"/>
    <x v="0"/>
    <x v="226"/>
    <x v="5"/>
    <x v="3"/>
    <s v="FUR-BO-10004409"/>
    <s v="Furniture"/>
    <x v="0"/>
    <s v="Safco Value Mate Series Steel Bookcases, Baked Enamel Finish on Steel, Gray"/>
    <n v="241.33199999999999"/>
    <n v="5"/>
    <n v="-14.196"/>
    <x v="0"/>
    <x v="0"/>
    <x v="9"/>
  </r>
  <r>
    <s v="CA-2015-118955"/>
    <d v="2015-06-16T00:00:00"/>
    <d v="2015-06-20T00:00:00"/>
    <x v="1"/>
    <s v="LS-17230"/>
    <s v="Lycoris Saunders"/>
    <x v="0"/>
    <x v="141"/>
    <x v="5"/>
    <x v="3"/>
    <s v="FUR-CH-10001708"/>
    <s v="Furniture"/>
    <x v="1"/>
    <s v="Office Star - Contemporary Swivel Chair with Padded Adjustable Arms and Flex Back"/>
    <n v="197.37200000000001"/>
    <n v="2"/>
    <n v="-25.3764"/>
    <x v="4"/>
    <x v="1"/>
    <x v="2"/>
  </r>
  <r>
    <s v="US-2016-143448"/>
    <d v="2016-12-10T00:00:00"/>
    <d v="2016-12-10T00:00:00"/>
    <x v="3"/>
    <s v="MH-17455"/>
    <s v="Mark Hamilton"/>
    <x v="0"/>
    <x v="227"/>
    <x v="6"/>
    <x v="3"/>
    <s v="FUR-CH-10003379"/>
    <s v="Furniture"/>
    <x v="1"/>
    <s v="Global Commerce Series High-Back Swivel/Tilt Chairs"/>
    <n v="1424.9"/>
    <n v="5"/>
    <n v="356.22500000000002"/>
    <x v="7"/>
    <x v="0"/>
    <x v="5"/>
  </r>
  <r>
    <s v="CA-2017-117863"/>
    <d v="2017-05-18T00:00:00"/>
    <d v="2017-05-23T00:00:00"/>
    <x v="1"/>
    <s v="TS-21340"/>
    <s v="Toby Swindell"/>
    <x v="0"/>
    <x v="13"/>
    <x v="7"/>
    <x v="2"/>
    <s v="FUR-FU-10002456"/>
    <s v="Furniture"/>
    <x v="3"/>
    <s v="Master Caster Door Stop, Large Neon Orange"/>
    <n v="14.56"/>
    <n v="2"/>
    <n v="6.2607999999999997"/>
    <x v="2"/>
    <x v="3"/>
    <x v="7"/>
  </r>
  <r>
    <s v="CA-2016-119963"/>
    <d v="2016-11-18T00:00:00"/>
    <d v="2016-11-22T00:00:00"/>
    <x v="1"/>
    <s v="SN-20710"/>
    <s v="Steve Nguyen"/>
    <x v="2"/>
    <x v="102"/>
    <x v="5"/>
    <x v="3"/>
    <s v="FUR-CH-10003817"/>
    <s v="Furniture"/>
    <x v="1"/>
    <s v="Global Value Steno Chair, Gray"/>
    <n v="255.108"/>
    <n v="6"/>
    <n v="-18.222000000000001"/>
    <x v="4"/>
    <x v="0"/>
    <x v="0"/>
  </r>
  <r>
    <s v="CA-2014-133228"/>
    <d v="2014-04-04T00:00:00"/>
    <d v="2014-04-09T00:00:00"/>
    <x v="1"/>
    <s v="MS-17710"/>
    <s v="Maurice Satty"/>
    <x v="0"/>
    <x v="25"/>
    <x v="17"/>
    <x v="3"/>
    <s v="FUR-FU-10004020"/>
    <s v="Furniture"/>
    <x v="3"/>
    <s v="Advantus Panel Wall Acrylic Frame"/>
    <n v="5.47"/>
    <n v="1"/>
    <n v="2.3521000000000001"/>
    <x v="2"/>
    <x v="2"/>
    <x v="6"/>
  </r>
  <r>
    <s v="CA-2016-114951"/>
    <d v="2016-06-26T00:00:00"/>
    <d v="2016-07-03T00:00:00"/>
    <x v="1"/>
    <s v="DN-13690"/>
    <s v="Duane Noonan"/>
    <x v="0"/>
    <x v="28"/>
    <x v="2"/>
    <x v="1"/>
    <s v="FUR-FU-10002364"/>
    <s v="Furniture"/>
    <x v="3"/>
    <s v="Eldon Expressions Wood Desk Accessories, Oak"/>
    <n v="22.14"/>
    <n v="3"/>
    <n v="6.4206000000000003"/>
    <x v="1"/>
    <x v="0"/>
    <x v="2"/>
  </r>
  <r>
    <s v="CA-2016-156573"/>
    <d v="2016-05-29T00:00:00"/>
    <d v="2016-06-02T00:00:00"/>
    <x v="1"/>
    <s v="RB-19360"/>
    <s v="Raymond Buch"/>
    <x v="0"/>
    <x v="228"/>
    <x v="9"/>
    <x v="0"/>
    <s v="FUR-FU-10001085"/>
    <s v="Furniture"/>
    <x v="3"/>
    <s v="3M Polarizing Light Filter Sleeves"/>
    <n v="44.76"/>
    <n v="3"/>
    <n v="14.547000000000001"/>
    <x v="4"/>
    <x v="0"/>
    <x v="7"/>
  </r>
  <r>
    <s v="CA-2017-134838"/>
    <d v="2017-02-19T00:00:00"/>
    <d v="2017-02-20T00:00:00"/>
    <x v="2"/>
    <s v="ED-13885"/>
    <s v="Emily Ducich"/>
    <x v="2"/>
    <x v="2"/>
    <x v="2"/>
    <x v="1"/>
    <s v="FUR-FU-10004018"/>
    <s v="Furniture"/>
    <x v="3"/>
    <s v="Tensor Computer Mounted Lamp"/>
    <n v="44.67"/>
    <n v="3"/>
    <n v="12.0609"/>
    <x v="5"/>
    <x v="3"/>
    <x v="11"/>
  </r>
  <r>
    <s v="CA-2016-167556"/>
    <d v="2016-03-29T00:00:00"/>
    <d v="2016-04-02T00:00:00"/>
    <x v="1"/>
    <s v="JM-15250"/>
    <s v="Janet Martin"/>
    <x v="0"/>
    <x v="13"/>
    <x v="7"/>
    <x v="2"/>
    <s v="FUR-FU-10004848"/>
    <s v="Furniture"/>
    <x v="3"/>
    <s v="Howard Miller 13-3/4&quot; Diameter Brushed Chrome Round Wall Clock"/>
    <n v="414"/>
    <n v="8"/>
    <n v="124.2"/>
    <x v="4"/>
    <x v="0"/>
    <x v="9"/>
  </r>
  <r>
    <s v="US-2016-116400"/>
    <d v="2016-10-22T00:00:00"/>
    <d v="2016-10-24T00:00:00"/>
    <x v="2"/>
    <s v="EB-13930"/>
    <s v="Eric Barreto"/>
    <x v="0"/>
    <x v="52"/>
    <x v="25"/>
    <x v="0"/>
    <s v="FUR-FU-10003731"/>
    <s v="Furniture"/>
    <x v="3"/>
    <s v="Eldon Expressions Wood and Plastic Desk Accessories, Oak"/>
    <n v="39.92"/>
    <n v="4"/>
    <n v="11.1776"/>
    <x v="3"/>
    <x v="0"/>
    <x v="1"/>
  </r>
  <r>
    <s v="CA-2014-114517"/>
    <d v="2014-12-23T00:00:00"/>
    <d v="2014-12-27T00:00:00"/>
    <x v="1"/>
    <s v="TH-21235"/>
    <s v="Tiffany House"/>
    <x v="1"/>
    <x v="13"/>
    <x v="7"/>
    <x v="2"/>
    <s v="FUR-TA-10001676"/>
    <s v="Furniture"/>
    <x v="2"/>
    <s v="Hon 61000 Series Interactive Training Tables"/>
    <n v="53.316000000000003"/>
    <n v="2"/>
    <n v="-19.549199999999999"/>
    <x v="4"/>
    <x v="2"/>
    <x v="5"/>
  </r>
  <r>
    <s v="CA-2017-119564"/>
    <d v="2017-12-15T00:00:00"/>
    <d v="2017-12-20T00:00:00"/>
    <x v="1"/>
    <s v="PL-18925"/>
    <s v="Paul Lucas"/>
    <x v="2"/>
    <x v="15"/>
    <x v="13"/>
    <x v="1"/>
    <s v="FUR-FU-10003096"/>
    <s v="Furniture"/>
    <x v="3"/>
    <s v="Master Giant Foot Doorstop, Safety Yellow"/>
    <n v="22.77"/>
    <n v="3"/>
    <n v="9.7911000000000001"/>
    <x v="2"/>
    <x v="3"/>
    <x v="5"/>
  </r>
  <r>
    <s v="CA-2016-135265"/>
    <d v="2016-07-07T00:00:00"/>
    <d v="2016-07-09T00:00:00"/>
    <x v="0"/>
    <s v="CC-12370"/>
    <s v="Christopher Conant"/>
    <x v="0"/>
    <x v="2"/>
    <x v="2"/>
    <x v="1"/>
    <s v="FUR-CH-10003061"/>
    <s v="Furniture"/>
    <x v="1"/>
    <s v="Global Leather Task Chair, Black"/>
    <n v="287.96800000000002"/>
    <n v="4"/>
    <n v="-3.5996000000000001"/>
    <x v="3"/>
    <x v="0"/>
    <x v="3"/>
  </r>
  <r>
    <s v="CA-2016-108735"/>
    <d v="2016-04-17T00:00:00"/>
    <d v="2016-04-21T00:00:00"/>
    <x v="1"/>
    <s v="JM-15535"/>
    <s v="Jessica Myrick"/>
    <x v="0"/>
    <x v="174"/>
    <x v="2"/>
    <x v="1"/>
    <s v="FUR-BO-10003441"/>
    <s v="Furniture"/>
    <x v="0"/>
    <s v="Bush Westfield Collection Bookcases, Fully Assembled"/>
    <n v="257.49900000000002"/>
    <n v="3"/>
    <n v="24.235199999999999"/>
    <x v="4"/>
    <x v="0"/>
    <x v="6"/>
  </r>
  <r>
    <s v="US-2016-159415"/>
    <d v="2016-04-17T00:00:00"/>
    <d v="2016-04-22T00:00:00"/>
    <x v="1"/>
    <s v="CS-12175"/>
    <s v="Charles Sheldon"/>
    <x v="1"/>
    <x v="11"/>
    <x v="9"/>
    <x v="0"/>
    <s v="FUR-FU-10003798"/>
    <s v="Furniture"/>
    <x v="3"/>
    <s v="Ultra Door Kickplate, 8&quot;H x 34&quot;W"/>
    <n v="79.12"/>
    <n v="5"/>
    <n v="13.846"/>
    <x v="2"/>
    <x v="0"/>
    <x v="6"/>
  </r>
  <r>
    <s v="CA-2014-122588"/>
    <d v="2014-11-25T00:00:00"/>
    <d v="2014-11-27T00:00:00"/>
    <x v="0"/>
    <s v="AR-10540"/>
    <s v="Andy Reiter"/>
    <x v="0"/>
    <x v="229"/>
    <x v="38"/>
    <x v="2"/>
    <s v="FUR-FU-10001095"/>
    <s v="Furniture"/>
    <x v="3"/>
    <s v="DAX Black Cherry Wood-Tone Poster Frame"/>
    <n v="52.96"/>
    <n v="2"/>
    <n v="20.1248"/>
    <x v="3"/>
    <x v="2"/>
    <x v="0"/>
  </r>
  <r>
    <s v="CA-2015-161998"/>
    <d v="2015-05-01T00:00:00"/>
    <d v="2015-05-05T00:00:00"/>
    <x v="1"/>
    <s v="DB-13120"/>
    <s v="David Bremer"/>
    <x v="1"/>
    <x v="26"/>
    <x v="1"/>
    <x v="0"/>
    <s v="FUR-FU-10001095"/>
    <s v="Furniture"/>
    <x v="3"/>
    <s v="DAX Black Cherry Wood-Tone Poster Frame"/>
    <n v="63.552"/>
    <n v="3"/>
    <n v="14.299200000000001"/>
    <x v="4"/>
    <x v="1"/>
    <x v="7"/>
  </r>
  <r>
    <s v="CA-2015-105627"/>
    <d v="2015-03-08T00:00:00"/>
    <d v="2015-03-12T00:00:00"/>
    <x v="1"/>
    <s v="DK-12895"/>
    <s v="Dana Kaydos"/>
    <x v="0"/>
    <x v="230"/>
    <x v="16"/>
    <x v="3"/>
    <s v="FUR-BO-10002916"/>
    <s v="Furniture"/>
    <x v="0"/>
    <s v="Rush Hierlooms Collection 1&quot; Thick Stackable Bookcases"/>
    <n v="512.94000000000005"/>
    <n v="3"/>
    <n v="97.458600000000004"/>
    <x v="4"/>
    <x v="1"/>
    <x v="9"/>
  </r>
  <r>
    <s v="CA-2015-105627"/>
    <d v="2015-03-08T00:00:00"/>
    <d v="2015-03-12T00:00:00"/>
    <x v="1"/>
    <s v="DK-12895"/>
    <s v="Dana Kaydos"/>
    <x v="0"/>
    <x v="230"/>
    <x v="16"/>
    <x v="3"/>
    <s v="FUR-CH-10002084"/>
    <s v="Furniture"/>
    <x v="1"/>
    <s v="Hon Mobius Operator's Chair"/>
    <n v="860.93"/>
    <n v="7"/>
    <n v="189.40459999999999"/>
    <x v="4"/>
    <x v="1"/>
    <x v="9"/>
  </r>
  <r>
    <s v="CA-2015-105627"/>
    <d v="2015-03-08T00:00:00"/>
    <d v="2015-03-12T00:00:00"/>
    <x v="1"/>
    <s v="DK-12895"/>
    <s v="Dana Kaydos"/>
    <x v="0"/>
    <x v="230"/>
    <x v="16"/>
    <x v="3"/>
    <s v="FUR-FU-10000308"/>
    <s v="Furniture"/>
    <x v="3"/>
    <s v="Deflect-o Glass Clear Studded Chair Mats"/>
    <n v="373.08"/>
    <n v="6"/>
    <n v="82.077600000000004"/>
    <x v="4"/>
    <x v="1"/>
    <x v="9"/>
  </r>
  <r>
    <s v="US-2015-149629"/>
    <d v="2015-07-17T00:00:00"/>
    <d v="2015-07-20T00:00:00"/>
    <x v="0"/>
    <s v="MP-17965"/>
    <s v="Michael Paige"/>
    <x v="1"/>
    <x v="231"/>
    <x v="1"/>
    <x v="0"/>
    <s v="FUR-BO-10004709"/>
    <s v="Furniture"/>
    <x v="0"/>
    <s v="Bush Westfield Collection Bookcases, Medium Cherry Finish"/>
    <n v="231.92"/>
    <n v="5"/>
    <n v="5.798"/>
    <x v="0"/>
    <x v="1"/>
    <x v="3"/>
  </r>
  <r>
    <s v="CA-2014-116834"/>
    <d v="2014-10-11T00:00:00"/>
    <d v="2014-10-16T00:00:00"/>
    <x v="1"/>
    <s v="Dp-13240"/>
    <s v="Dean percer"/>
    <x v="2"/>
    <x v="15"/>
    <x v="13"/>
    <x v="1"/>
    <s v="FUR-FU-10001196"/>
    <s v="Furniture"/>
    <x v="3"/>
    <s v="DAX Cubicle Frames - 8x10"/>
    <n v="63.47"/>
    <n v="11"/>
    <n v="19.041"/>
    <x v="2"/>
    <x v="2"/>
    <x v="1"/>
  </r>
  <r>
    <s v="CA-2016-145730"/>
    <d v="2016-03-03T00:00:00"/>
    <d v="2016-03-08T00:00:00"/>
    <x v="1"/>
    <s v="CC-12220"/>
    <s v="Chris Cortes"/>
    <x v="0"/>
    <x v="21"/>
    <x v="5"/>
    <x v="3"/>
    <s v="FUR-TA-10004915"/>
    <s v="Furniture"/>
    <x v="2"/>
    <s v="Office Impressions End Table, 20-1/2&quot;H x 24&quot;W x 20&quot;D"/>
    <n v="637.89599999999996"/>
    <n v="3"/>
    <n v="-127.5792"/>
    <x v="2"/>
    <x v="0"/>
    <x v="9"/>
  </r>
  <r>
    <s v="CA-2017-144463"/>
    <d v="2017-01-01T00:00:00"/>
    <d v="2017-01-05T00:00:00"/>
    <x v="1"/>
    <s v="SC-20725"/>
    <s v="Steven Cartwright"/>
    <x v="0"/>
    <x v="2"/>
    <x v="2"/>
    <x v="1"/>
    <s v="FUR-FU-10001215"/>
    <s v="Furniture"/>
    <x v="3"/>
    <s v="Howard Miller 11-1/2&quot; Diameter Brentwood Wall Clock"/>
    <n v="474.43"/>
    <n v="11"/>
    <n v="199.26060000000001"/>
    <x v="4"/>
    <x v="3"/>
    <x v="8"/>
  </r>
  <r>
    <s v="CA-2014-154963"/>
    <d v="2014-06-22T00:00:00"/>
    <d v="2014-06-27T00:00:00"/>
    <x v="1"/>
    <s v="AA-10645"/>
    <s v="Anna Andreadi"/>
    <x v="0"/>
    <x v="100"/>
    <x v="3"/>
    <x v="2"/>
    <s v="FUR-CH-10004698"/>
    <s v="Furniture"/>
    <x v="1"/>
    <s v="Padded Folding Chairs, Black, 4/Carton"/>
    <n v="170.05799999999999"/>
    <n v="3"/>
    <n v="-4.8587999999999996"/>
    <x v="2"/>
    <x v="2"/>
    <x v="2"/>
  </r>
  <r>
    <s v="CA-2014-154963"/>
    <d v="2014-06-22T00:00:00"/>
    <d v="2014-06-27T00:00:00"/>
    <x v="1"/>
    <s v="AA-10645"/>
    <s v="Anna Andreadi"/>
    <x v="0"/>
    <x v="100"/>
    <x v="3"/>
    <x v="2"/>
    <s v="FUR-CH-10000454"/>
    <s v="Furniture"/>
    <x v="1"/>
    <s v="Hon Deluxe Fabric Upholstered Stacking Chairs, Rounded Back"/>
    <n v="853.93"/>
    <n v="5"/>
    <n v="0"/>
    <x v="2"/>
    <x v="2"/>
    <x v="2"/>
  </r>
  <r>
    <s v="CA-2017-130764"/>
    <d v="2017-10-27T00:00:00"/>
    <d v="2017-10-28T00:00:00"/>
    <x v="2"/>
    <s v="JO-15145"/>
    <s v="Jack O'Briant"/>
    <x v="1"/>
    <x v="28"/>
    <x v="2"/>
    <x v="1"/>
    <s v="FUR-BO-10003034"/>
    <s v="Furniture"/>
    <x v="0"/>
    <s v="O'Sullivan Elevations Bookcase, Cherry Finish"/>
    <n v="556.66499999999996"/>
    <n v="5"/>
    <n v="6.5490000000000004"/>
    <x v="5"/>
    <x v="3"/>
    <x v="1"/>
  </r>
  <r>
    <s v="CA-2017-124296"/>
    <d v="2017-12-24T00:00:00"/>
    <d v="2017-12-28T00:00:00"/>
    <x v="1"/>
    <s v="CS-12355"/>
    <s v="Christine Sundaresam"/>
    <x v="0"/>
    <x v="120"/>
    <x v="35"/>
    <x v="0"/>
    <s v="FUR-CH-10002439"/>
    <s v="Furniture"/>
    <x v="1"/>
    <s v="Iceberg Nesting Folding Chair, 19w x 6d x 43h"/>
    <n v="232.88"/>
    <n v="4"/>
    <n v="60.5488"/>
    <x v="4"/>
    <x v="3"/>
    <x v="5"/>
  </r>
  <r>
    <s v="CA-2014-110786"/>
    <d v="2014-12-29T00:00:00"/>
    <d v="2015-01-02T00:00:00"/>
    <x v="1"/>
    <s v="AJ-10795"/>
    <s v="Anthony Johnson"/>
    <x v="1"/>
    <x v="28"/>
    <x v="2"/>
    <x v="1"/>
    <s v="FUR-FU-10000550"/>
    <s v="Furniture"/>
    <x v="3"/>
    <s v="Stacking Trays by OIC"/>
    <n v="24.9"/>
    <n v="5"/>
    <n v="8.2170000000000005"/>
    <x v="4"/>
    <x v="2"/>
    <x v="5"/>
  </r>
  <r>
    <s v="CA-2014-110786"/>
    <d v="2014-12-29T00:00:00"/>
    <d v="2015-01-02T00:00:00"/>
    <x v="1"/>
    <s v="AJ-10795"/>
    <s v="Anthony Johnson"/>
    <x v="1"/>
    <x v="28"/>
    <x v="2"/>
    <x v="1"/>
    <s v="FUR-FU-10000672"/>
    <s v="Furniture"/>
    <x v="3"/>
    <s v="Executive Impressions 10&quot; Spectator Wall Clock"/>
    <n v="70.56"/>
    <n v="6"/>
    <n v="23.990400000000001"/>
    <x v="4"/>
    <x v="2"/>
    <x v="5"/>
  </r>
  <r>
    <s v="CA-2015-137750"/>
    <d v="2015-06-25T00:00:00"/>
    <d v="2015-06-30T00:00:00"/>
    <x v="1"/>
    <s v="JF-15565"/>
    <s v="Jill Fjeld"/>
    <x v="0"/>
    <x v="28"/>
    <x v="2"/>
    <x v="1"/>
    <s v="FUR-FU-10001979"/>
    <s v="Furniture"/>
    <x v="3"/>
    <s v="Dana Halogen Swing-Arm Architect Lamp"/>
    <n v="204.85"/>
    <n v="5"/>
    <n v="57.357999999999997"/>
    <x v="2"/>
    <x v="1"/>
    <x v="2"/>
  </r>
  <r>
    <s v="CA-2017-136350"/>
    <d v="2017-06-24T00:00:00"/>
    <d v="2017-06-26T00:00:00"/>
    <x v="0"/>
    <s v="GA-14515"/>
    <s v="George Ashbrook"/>
    <x v="0"/>
    <x v="13"/>
    <x v="7"/>
    <x v="2"/>
    <s v="FUR-FU-10003601"/>
    <s v="Furniture"/>
    <x v="3"/>
    <s v="Deflect-o RollaMat Studded, Beveled Mat for Medium Pile Carpeting"/>
    <n v="276.69"/>
    <n v="3"/>
    <n v="49.804200000000002"/>
    <x v="3"/>
    <x v="3"/>
    <x v="2"/>
  </r>
  <r>
    <s v="CA-2017-136350"/>
    <d v="2017-06-24T00:00:00"/>
    <d v="2017-06-26T00:00:00"/>
    <x v="0"/>
    <s v="GA-14515"/>
    <s v="George Ashbrook"/>
    <x v="0"/>
    <x v="13"/>
    <x v="7"/>
    <x v="2"/>
    <s v="FUR-CH-10001891"/>
    <s v="Furniture"/>
    <x v="1"/>
    <s v="Global Deluxe Office Fabric Chairs"/>
    <n v="172.76400000000001"/>
    <n v="2"/>
    <n v="32.633200000000002"/>
    <x v="3"/>
    <x v="3"/>
    <x v="2"/>
  </r>
  <r>
    <s v="CA-2014-122931"/>
    <d v="2014-09-29T00:00:00"/>
    <d v="2014-10-03T00:00:00"/>
    <x v="1"/>
    <s v="SM-20950"/>
    <s v="Suzanne McNair"/>
    <x v="1"/>
    <x v="3"/>
    <x v="3"/>
    <x v="2"/>
    <s v="FUR-TA-10004175"/>
    <s v="Furniture"/>
    <x v="2"/>
    <s v="Hon 30&quot; x 60&quot; Table with Locking Drawer"/>
    <n v="409.27199999999999"/>
    <n v="2"/>
    <n v="-81.854399999999998"/>
    <x v="4"/>
    <x v="2"/>
    <x v="4"/>
  </r>
  <r>
    <s v="CA-2014-122931"/>
    <d v="2014-09-29T00:00:00"/>
    <d v="2014-10-03T00:00:00"/>
    <x v="1"/>
    <s v="SM-20950"/>
    <s v="Suzanne McNair"/>
    <x v="1"/>
    <x v="3"/>
    <x v="3"/>
    <x v="2"/>
    <s v="FUR-TA-10004147"/>
    <s v="Furniture"/>
    <x v="2"/>
    <s v="Hon 4060 Series Tables"/>
    <n v="67.176000000000002"/>
    <n v="1"/>
    <n v="-20.152799999999999"/>
    <x v="4"/>
    <x v="2"/>
    <x v="4"/>
  </r>
  <r>
    <s v="CA-2015-124058"/>
    <d v="2015-11-20T00:00:00"/>
    <d v="2015-11-24T00:00:00"/>
    <x v="1"/>
    <s v="LC-16885"/>
    <s v="Lena Creighton"/>
    <x v="0"/>
    <x v="121"/>
    <x v="2"/>
    <x v="1"/>
    <s v="FUR-CH-10000595"/>
    <s v="Furniture"/>
    <x v="1"/>
    <s v="Safco Contoured Stacking Chairs"/>
    <n v="572.16"/>
    <n v="3"/>
    <n v="35.76"/>
    <x v="4"/>
    <x v="1"/>
    <x v="0"/>
  </r>
  <r>
    <s v="CA-2016-145303"/>
    <d v="2016-08-28T00:00:00"/>
    <d v="2016-08-31T00:00:00"/>
    <x v="2"/>
    <s v="TP-21415"/>
    <s v="Tom Prescott"/>
    <x v="0"/>
    <x v="144"/>
    <x v="5"/>
    <x v="3"/>
    <s v="FUR-BO-10003159"/>
    <s v="Furniture"/>
    <x v="0"/>
    <s v="Sauder Camden County Collection Libraries, Planked Cherry Finish"/>
    <n v="156.37280000000001"/>
    <n v="2"/>
    <n v="-52.890799999999999"/>
    <x v="0"/>
    <x v="0"/>
    <x v="10"/>
  </r>
  <r>
    <s v="CA-2017-108112"/>
    <d v="2017-11-15T00:00:00"/>
    <d v="2017-11-20T00:00:00"/>
    <x v="1"/>
    <s v="DK-12895"/>
    <s v="Dana Kaydos"/>
    <x v="0"/>
    <x v="232"/>
    <x v="1"/>
    <x v="0"/>
    <s v="FUR-FU-10003553"/>
    <s v="Furniture"/>
    <x v="3"/>
    <s v="Howard Miller 13-1/2&quot; Diameter Rosebrook Wall Clock"/>
    <n v="220.06399999999999"/>
    <n v="4"/>
    <n v="55.015999999999998"/>
    <x v="2"/>
    <x v="3"/>
    <x v="0"/>
  </r>
  <r>
    <s v="CA-2017-108112"/>
    <d v="2017-11-15T00:00:00"/>
    <d v="2017-11-20T00:00:00"/>
    <x v="1"/>
    <s v="DK-12895"/>
    <s v="Dana Kaydos"/>
    <x v="0"/>
    <x v="232"/>
    <x v="1"/>
    <x v="0"/>
    <s v="FUR-FU-10001488"/>
    <s v="Furniture"/>
    <x v="3"/>
    <s v="Tenex 46&quot; x 60&quot; Computer Anti-Static Chairmat, Rectangular Shaped"/>
    <n v="339.13600000000002"/>
    <n v="4"/>
    <n v="0"/>
    <x v="2"/>
    <x v="3"/>
    <x v="0"/>
  </r>
  <r>
    <s v="US-2014-156559"/>
    <d v="2014-08-19T00:00:00"/>
    <d v="2014-08-26T00:00:00"/>
    <x v="1"/>
    <s v="LH-16900"/>
    <s v="Lena Hernandez"/>
    <x v="0"/>
    <x v="93"/>
    <x v="31"/>
    <x v="0"/>
    <s v="FUR-BO-10000711"/>
    <s v="Furniture"/>
    <x v="0"/>
    <s v="Hon Metal Bookcases, Gray"/>
    <n v="638.82000000000005"/>
    <n v="9"/>
    <n v="172.48140000000001"/>
    <x v="1"/>
    <x v="2"/>
    <x v="10"/>
  </r>
  <r>
    <s v="CA-2017-137456"/>
    <d v="2017-12-21T00:00:00"/>
    <d v="2017-12-21T00:00:00"/>
    <x v="3"/>
    <s v="RB-19465"/>
    <s v="Rick Bensley"/>
    <x v="2"/>
    <x v="233"/>
    <x v="27"/>
    <x v="3"/>
    <s v="FUR-FU-10001940"/>
    <s v="Furniture"/>
    <x v="3"/>
    <s v="Staple-based wall hangings"/>
    <n v="15.92"/>
    <n v="2"/>
    <n v="7.0048000000000004"/>
    <x v="7"/>
    <x v="3"/>
    <x v="5"/>
  </r>
  <r>
    <s v="CA-2015-105599"/>
    <d v="2015-09-07T00:00:00"/>
    <d v="2015-09-07T00:00:00"/>
    <x v="3"/>
    <s v="MC-17275"/>
    <s v="Marc Crier"/>
    <x v="0"/>
    <x v="13"/>
    <x v="7"/>
    <x v="2"/>
    <s v="FUR-TA-10003837"/>
    <s v="Furniture"/>
    <x v="2"/>
    <s v="Anderson Hickey Conga Table Tops &amp; Accessories"/>
    <n v="27.414000000000001"/>
    <n v="3"/>
    <n v="-14.1639"/>
    <x v="7"/>
    <x v="1"/>
    <x v="4"/>
  </r>
  <r>
    <s v="CA-2015-153717"/>
    <d v="2015-12-25T00:00:00"/>
    <d v="2016-01-01T00:00:00"/>
    <x v="1"/>
    <s v="DL-13495"/>
    <s v="Dionis Lloyd"/>
    <x v="1"/>
    <x v="25"/>
    <x v="17"/>
    <x v="3"/>
    <s v="FUR-BO-10004360"/>
    <s v="Furniture"/>
    <x v="0"/>
    <s v="Rush Hierlooms Collection Rich Wood Bookcases"/>
    <n v="160.97999999999999"/>
    <n v="1"/>
    <n v="20.927399999999999"/>
    <x v="1"/>
    <x v="1"/>
    <x v="5"/>
  </r>
  <r>
    <s v="CA-2017-123239"/>
    <d v="2017-07-27T00:00:00"/>
    <d v="2017-07-31T00:00:00"/>
    <x v="0"/>
    <s v="MG-18145"/>
    <s v="Mike Gockenbach"/>
    <x v="0"/>
    <x v="51"/>
    <x v="1"/>
    <x v="0"/>
    <s v="FUR-FU-10001602"/>
    <s v="Furniture"/>
    <x v="3"/>
    <s v="Eldon Delta Triangular Chair Mat, 52&quot; x 58&quot;, Clear"/>
    <n v="91.031999999999996"/>
    <n v="3"/>
    <n v="-2.2757999999999998"/>
    <x v="4"/>
    <x v="3"/>
    <x v="3"/>
  </r>
  <r>
    <s v="CA-2017-127313"/>
    <d v="2017-12-01T00:00:00"/>
    <d v="2017-12-04T00:00:00"/>
    <x v="2"/>
    <s v="RA-19285"/>
    <s v="Ralph Arnett"/>
    <x v="0"/>
    <x v="3"/>
    <x v="3"/>
    <x v="2"/>
    <s v="FUR-FU-10003798"/>
    <s v="Furniture"/>
    <x v="3"/>
    <s v="Ultra Door Kickplate, 8&quot;H x 34&quot;W"/>
    <n v="79.12"/>
    <n v="5"/>
    <n v="13.846"/>
    <x v="0"/>
    <x v="3"/>
    <x v="5"/>
  </r>
  <r>
    <s v="CA-2017-112725"/>
    <d v="2017-01-30T00:00:00"/>
    <d v="2017-02-06T00:00:00"/>
    <x v="1"/>
    <s v="EH-14125"/>
    <s v="Eugene Hildebrand"/>
    <x v="2"/>
    <x v="28"/>
    <x v="2"/>
    <x v="1"/>
    <s v="FUR-CH-10000863"/>
    <s v="Furniture"/>
    <x v="1"/>
    <s v="Novimex Swivel Fabric Task Chair"/>
    <n v="120.78400000000001"/>
    <n v="1"/>
    <n v="-13.588200000000001"/>
    <x v="1"/>
    <x v="3"/>
    <x v="8"/>
  </r>
  <r>
    <s v="CA-2015-136196"/>
    <d v="2015-11-28T00:00:00"/>
    <d v="2015-12-04T00:00:00"/>
    <x v="1"/>
    <s v="TP-21415"/>
    <s v="Tom Prescott"/>
    <x v="0"/>
    <x v="234"/>
    <x v="7"/>
    <x v="2"/>
    <s v="FUR-FU-10004017"/>
    <s v="Furniture"/>
    <x v="3"/>
    <s v="Tenex Contemporary Contur Chairmats for Low and Medium Pile Carpet, Computer, 39&quot; x 49&quot;"/>
    <n v="322.58999999999997"/>
    <n v="3"/>
    <n v="64.518000000000001"/>
    <x v="6"/>
    <x v="1"/>
    <x v="0"/>
  </r>
  <r>
    <s v="CA-2014-157924"/>
    <d v="2014-10-11T00:00:00"/>
    <d v="2014-10-13T00:00:00"/>
    <x v="2"/>
    <s v="HA-14920"/>
    <s v="Helen Andreada"/>
    <x v="0"/>
    <x v="102"/>
    <x v="2"/>
    <x v="1"/>
    <s v="FUR-CH-10000229"/>
    <s v="Furniture"/>
    <x v="1"/>
    <s v="Global Enterprise Series Seating High-Back Swivel/Tilt Chairs"/>
    <n v="433.56799999999998"/>
    <n v="2"/>
    <n v="-65.035200000000003"/>
    <x v="3"/>
    <x v="2"/>
    <x v="1"/>
  </r>
  <r>
    <s v="CA-2016-143749"/>
    <d v="2016-12-05T00:00:00"/>
    <d v="2016-12-07T00:00:00"/>
    <x v="2"/>
    <s v="AG-10300"/>
    <s v="Aleksandra Gannaway"/>
    <x v="1"/>
    <x v="20"/>
    <x v="20"/>
    <x v="2"/>
    <s v="FUR-BO-10002853"/>
    <s v="Furniture"/>
    <x v="0"/>
    <s v="O'Sullivan 5-Shelf Heavy-Duty Bookcases"/>
    <n v="81.94"/>
    <n v="1"/>
    <n v="20.484999999999999"/>
    <x v="3"/>
    <x v="0"/>
    <x v="5"/>
  </r>
  <r>
    <s v="CA-2015-150875"/>
    <d v="2015-11-16T00:00:00"/>
    <d v="2015-11-20T00:00:00"/>
    <x v="1"/>
    <s v="HK-14890"/>
    <s v="Heather Kirkland"/>
    <x v="1"/>
    <x v="235"/>
    <x v="42"/>
    <x v="1"/>
    <s v="FUR-TA-10000577"/>
    <s v="Furniture"/>
    <x v="2"/>
    <s v="Bretford CR4500 Series Slim Rectangular Table"/>
    <n v="696.42"/>
    <n v="2"/>
    <n v="160.17660000000001"/>
    <x v="4"/>
    <x v="1"/>
    <x v="0"/>
  </r>
  <r>
    <s v="CA-2016-124233"/>
    <d v="2016-04-08T00:00:00"/>
    <d v="2016-04-14T00:00:00"/>
    <x v="1"/>
    <s v="CK-12595"/>
    <s v="Clytie Kelty"/>
    <x v="0"/>
    <x v="2"/>
    <x v="2"/>
    <x v="1"/>
    <s v="FUR-FU-10002597"/>
    <s v="Furniture"/>
    <x v="3"/>
    <s v="C-Line Magnetic Cubicle Keepers, Clear Polypropylene"/>
    <n v="24.7"/>
    <n v="5"/>
    <n v="10.374000000000001"/>
    <x v="6"/>
    <x v="0"/>
    <x v="6"/>
  </r>
  <r>
    <s v="CA-2014-145387"/>
    <d v="2014-10-31T00:00:00"/>
    <d v="2014-11-02T00:00:00"/>
    <x v="0"/>
    <s v="AM-10705"/>
    <s v="Anne McFarland"/>
    <x v="0"/>
    <x v="236"/>
    <x v="38"/>
    <x v="2"/>
    <s v="FUR-FU-10002364"/>
    <s v="Furniture"/>
    <x v="3"/>
    <s v="Eldon Expressions Wood Desk Accessories, Oak"/>
    <n v="14.76"/>
    <n v="2"/>
    <n v="4.2804000000000002"/>
    <x v="3"/>
    <x v="2"/>
    <x v="1"/>
  </r>
  <r>
    <s v="CA-2014-145387"/>
    <d v="2014-10-31T00:00:00"/>
    <d v="2014-11-02T00:00:00"/>
    <x v="0"/>
    <s v="AM-10705"/>
    <s v="Anne McFarland"/>
    <x v="0"/>
    <x v="236"/>
    <x v="38"/>
    <x v="2"/>
    <s v="FUR-FU-10000023"/>
    <s v="Furniture"/>
    <x v="3"/>
    <s v="Eldon Wave Desk Accessories"/>
    <n v="17.670000000000002"/>
    <n v="3"/>
    <n v="7.7747999999999999"/>
    <x v="3"/>
    <x v="2"/>
    <x v="1"/>
  </r>
  <r>
    <s v="CA-2014-145387"/>
    <d v="2014-10-31T00:00:00"/>
    <d v="2014-11-02T00:00:00"/>
    <x v="0"/>
    <s v="AM-10705"/>
    <s v="Anne McFarland"/>
    <x v="0"/>
    <x v="236"/>
    <x v="38"/>
    <x v="2"/>
    <s v="FUR-CH-10002320"/>
    <s v="Furniture"/>
    <x v="1"/>
    <s v="Hon Pagoda Stacking Chairs"/>
    <n v="1604.9"/>
    <n v="5"/>
    <n v="481.47"/>
    <x v="3"/>
    <x v="2"/>
    <x v="1"/>
  </r>
  <r>
    <s v="CA-2014-145387"/>
    <d v="2014-10-31T00:00:00"/>
    <d v="2014-11-02T00:00:00"/>
    <x v="0"/>
    <s v="AM-10705"/>
    <s v="Anne McFarland"/>
    <x v="0"/>
    <x v="236"/>
    <x v="38"/>
    <x v="2"/>
    <s v="FUR-TA-10003238"/>
    <s v="Furniture"/>
    <x v="2"/>
    <s v="Chromcraft Bull-Nose Wood 48&quot; x 96&quot; Rectangular Conference Tables"/>
    <n v="385.68599999999998"/>
    <n v="1"/>
    <n v="-60.607799999999997"/>
    <x v="3"/>
    <x v="2"/>
    <x v="1"/>
  </r>
  <r>
    <s v="CA-2017-149881"/>
    <d v="2017-04-01T00:00:00"/>
    <d v="2017-04-03T00:00:00"/>
    <x v="2"/>
    <s v="NC-18535"/>
    <s v="Nick Crebassa"/>
    <x v="1"/>
    <x v="28"/>
    <x v="2"/>
    <x v="1"/>
    <s v="FUR-BO-10003894"/>
    <s v="Furniture"/>
    <x v="0"/>
    <s v="Safco Value Mate Steel Bookcase, Baked Enamel Finish on Steel, Black"/>
    <n v="482.66399999999999"/>
    <n v="8"/>
    <n v="85.176000000000002"/>
    <x v="3"/>
    <x v="3"/>
    <x v="6"/>
  </r>
  <r>
    <s v="CA-2017-134565"/>
    <d v="2017-06-11T00:00:00"/>
    <d v="2017-06-13T00:00:00"/>
    <x v="0"/>
    <s v="TB-21400"/>
    <s v="Tom Boeckenhauer"/>
    <x v="0"/>
    <x v="15"/>
    <x v="13"/>
    <x v="1"/>
    <s v="FUR-BO-10001519"/>
    <s v="Furniture"/>
    <x v="0"/>
    <s v="O'Sullivan 3-Shelf Heavy-Duty Bookcases"/>
    <n v="174.42"/>
    <n v="3"/>
    <n v="41.860799999999998"/>
    <x v="3"/>
    <x v="3"/>
    <x v="2"/>
  </r>
  <r>
    <s v="US-2014-102631"/>
    <d v="2014-12-13T00:00:00"/>
    <d v="2014-12-17T00:00:00"/>
    <x v="1"/>
    <s v="EB-13840"/>
    <s v="Ellis Ballard"/>
    <x v="1"/>
    <x v="9"/>
    <x v="8"/>
    <x v="3"/>
    <s v="FUR-FU-10003930"/>
    <s v="Furniture"/>
    <x v="3"/>
    <s v="Howard Miller 12-3/4 Diameter Accuwave DS  Wall Clock"/>
    <n v="94.427999999999997"/>
    <n v="3"/>
    <n v="-42.492600000000003"/>
    <x v="4"/>
    <x v="2"/>
    <x v="5"/>
  </r>
  <r>
    <s v="CA-2015-154970"/>
    <d v="2015-01-05T00:00:00"/>
    <d v="2015-01-10T00:00:00"/>
    <x v="1"/>
    <s v="SR-20740"/>
    <s v="Steven Roelle"/>
    <x v="2"/>
    <x v="15"/>
    <x v="13"/>
    <x v="1"/>
    <s v="FUR-CH-10003396"/>
    <s v="Furniture"/>
    <x v="1"/>
    <s v="Global Deluxe Steno Chair"/>
    <n v="61.584000000000003"/>
    <n v="1"/>
    <n v="-6.9282000000000004"/>
    <x v="2"/>
    <x v="1"/>
    <x v="8"/>
  </r>
  <r>
    <s v="CA-2017-100223"/>
    <d v="2017-07-05T00:00:00"/>
    <d v="2017-07-10T00:00:00"/>
    <x v="1"/>
    <s v="LS-16945"/>
    <s v="Linda Southworth"/>
    <x v="1"/>
    <x v="144"/>
    <x v="5"/>
    <x v="3"/>
    <s v="FUR-FU-10003601"/>
    <s v="Furniture"/>
    <x v="3"/>
    <s v="Deflect-o RollaMat Studded, Beveled Mat for Medium Pile Carpeting"/>
    <n v="332.02800000000002"/>
    <n v="9"/>
    <n v="-348.62939999999998"/>
    <x v="2"/>
    <x v="3"/>
    <x v="3"/>
  </r>
  <r>
    <s v="CA-2017-117702"/>
    <d v="2017-11-28T00:00:00"/>
    <d v="2017-12-04T00:00:00"/>
    <x v="1"/>
    <s v="LS-16975"/>
    <s v="Lindsay Shagiari"/>
    <x v="2"/>
    <x v="237"/>
    <x v="32"/>
    <x v="2"/>
    <s v="FUR-FU-10000576"/>
    <s v="Furniture"/>
    <x v="3"/>
    <s v="Luxo Professional Fluorescent Magnifier Lamp with Clamp-Mount Base"/>
    <n v="1049.2"/>
    <n v="5"/>
    <n v="272.79199999999997"/>
    <x v="6"/>
    <x v="3"/>
    <x v="0"/>
  </r>
  <r>
    <s v="CA-2017-117702"/>
    <d v="2017-11-28T00:00:00"/>
    <d v="2017-12-04T00:00:00"/>
    <x v="1"/>
    <s v="LS-16975"/>
    <s v="Lindsay Shagiari"/>
    <x v="2"/>
    <x v="237"/>
    <x v="32"/>
    <x v="2"/>
    <s v="FUR-FU-10004270"/>
    <s v="Furniture"/>
    <x v="3"/>
    <s v="Eldon Image Series Desk Accessories, Burgundy"/>
    <n v="20.9"/>
    <n v="5"/>
    <n v="7.524"/>
    <x v="6"/>
    <x v="3"/>
    <x v="0"/>
  </r>
  <r>
    <s v="CA-2016-157336"/>
    <d v="2016-12-01T00:00:00"/>
    <d v="2016-12-05T00:00:00"/>
    <x v="0"/>
    <s v="SJ-20500"/>
    <s v="Shirley Jackson"/>
    <x v="0"/>
    <x v="130"/>
    <x v="19"/>
    <x v="2"/>
    <s v="FUR-CH-10004997"/>
    <s v="Furniture"/>
    <x v="1"/>
    <s v="Hon Every-Day Series Multi-Task Chairs"/>
    <n v="751.92"/>
    <n v="4"/>
    <n v="150.38399999999999"/>
    <x v="4"/>
    <x v="0"/>
    <x v="5"/>
  </r>
  <r>
    <s v="CA-2014-168130"/>
    <d v="2014-09-19T00:00:00"/>
    <d v="2014-09-19T00:00:00"/>
    <x v="3"/>
    <s v="BS-11365"/>
    <s v="Bill Shonely"/>
    <x v="1"/>
    <x v="13"/>
    <x v="7"/>
    <x v="2"/>
    <s v="FUR-CH-10000988"/>
    <s v="Furniture"/>
    <x v="1"/>
    <s v="Hon Olson Stacker Stools"/>
    <n v="887.10299999999995"/>
    <n v="7"/>
    <n v="177.42060000000001"/>
    <x v="7"/>
    <x v="2"/>
    <x v="4"/>
  </r>
  <r>
    <s v="CA-2017-163160"/>
    <d v="2017-10-13T00:00:00"/>
    <d v="2017-10-16T00:00:00"/>
    <x v="2"/>
    <s v="TS-21610"/>
    <s v="Troy Staebel"/>
    <x v="0"/>
    <x v="234"/>
    <x v="8"/>
    <x v="3"/>
    <s v="FUR-FU-10001424"/>
    <s v="Furniture"/>
    <x v="3"/>
    <s v="Dax Clear Box Frame"/>
    <n v="10.476000000000001"/>
    <n v="3"/>
    <n v="-6.8094000000000001"/>
    <x v="0"/>
    <x v="3"/>
    <x v="1"/>
  </r>
  <r>
    <s v="CA-2016-124793"/>
    <d v="2016-03-14T00:00:00"/>
    <d v="2016-03-16T00:00:00"/>
    <x v="2"/>
    <s v="MM-18280"/>
    <s v="Muhammed MacIntyre"/>
    <x v="1"/>
    <x v="15"/>
    <x v="13"/>
    <x v="1"/>
    <s v="FUR-CH-10002880"/>
    <s v="Furniture"/>
    <x v="1"/>
    <s v="Global High-Back Leather Tilter, Burgundy"/>
    <n v="196.78399999999999"/>
    <n v="2"/>
    <n v="-22.138200000000001"/>
    <x v="3"/>
    <x v="0"/>
    <x v="9"/>
  </r>
  <r>
    <s v="US-2016-131611"/>
    <d v="2016-11-05T00:00:00"/>
    <d v="2016-11-09T00:00:00"/>
    <x v="1"/>
    <s v="EP-13915"/>
    <s v="Emily Phan"/>
    <x v="0"/>
    <x v="6"/>
    <x v="5"/>
    <x v="3"/>
    <s v="FUR-TA-10002774"/>
    <s v="Furniture"/>
    <x v="2"/>
    <s v="Laminate Occasional Tables"/>
    <n v="863.12800000000004"/>
    <n v="8"/>
    <n v="-160.29519999999999"/>
    <x v="4"/>
    <x v="0"/>
    <x v="0"/>
  </r>
  <r>
    <s v="US-2016-131611"/>
    <d v="2016-11-05T00:00:00"/>
    <d v="2016-11-09T00:00:00"/>
    <x v="1"/>
    <s v="EP-13915"/>
    <s v="Emily Phan"/>
    <x v="0"/>
    <x v="6"/>
    <x v="5"/>
    <x v="3"/>
    <s v="FUR-BO-10000780"/>
    <s v="Furniture"/>
    <x v="0"/>
    <s v="O'Sullivan Plantations 2-Door Library in Landvery Oak"/>
    <n v="956.66480000000001"/>
    <n v="7"/>
    <n v="-225.0976"/>
    <x v="4"/>
    <x v="0"/>
    <x v="0"/>
  </r>
  <r>
    <s v="US-2017-124821"/>
    <d v="2017-06-25T00:00:00"/>
    <d v="2017-06-29T00:00:00"/>
    <x v="0"/>
    <s v="AM-10705"/>
    <s v="Anne McFarland"/>
    <x v="0"/>
    <x v="15"/>
    <x v="13"/>
    <x v="1"/>
    <s v="FUR-TA-10000688"/>
    <s v="Furniture"/>
    <x v="2"/>
    <s v="Chromcraft Bull-Nose Wood Round Conference Table Top, Wood Base"/>
    <n v="871.4"/>
    <n v="4"/>
    <n v="148.13800000000001"/>
    <x v="4"/>
    <x v="3"/>
    <x v="2"/>
  </r>
  <r>
    <s v="CA-2015-166975"/>
    <d v="2015-11-26T00:00:00"/>
    <d v="2015-11-30T00:00:00"/>
    <x v="1"/>
    <s v="SH-20635"/>
    <s v="Stefanie Holloman"/>
    <x v="1"/>
    <x v="38"/>
    <x v="9"/>
    <x v="0"/>
    <s v="FUR-FU-10003930"/>
    <s v="Furniture"/>
    <x v="3"/>
    <s v="Howard Miller 12-3/4 Diameter Accuwave DS  Wall Clock"/>
    <n v="692.47199999999998"/>
    <n v="11"/>
    <n v="190.4298"/>
    <x v="4"/>
    <x v="1"/>
    <x v="0"/>
  </r>
  <r>
    <s v="CA-2016-123806"/>
    <d v="2016-11-24T00:00:00"/>
    <d v="2016-11-27T00:00:00"/>
    <x v="0"/>
    <s v="LA-16780"/>
    <s v="Laura Armstrong"/>
    <x v="1"/>
    <x v="237"/>
    <x v="32"/>
    <x v="2"/>
    <s v="FUR-FU-10000965"/>
    <s v="Furniture"/>
    <x v="3"/>
    <s v="Howard Miller 11-1/2&quot; Diameter Ridgewood Wall Clock"/>
    <n v="207.76"/>
    <n v="4"/>
    <n v="85.181600000000003"/>
    <x v="0"/>
    <x v="0"/>
    <x v="0"/>
  </r>
  <r>
    <s v="US-2016-107440"/>
    <d v="2016-04-16T00:00:00"/>
    <d v="2016-04-20T00:00:00"/>
    <x v="1"/>
    <s v="BS-11365"/>
    <s v="Bill Shonely"/>
    <x v="1"/>
    <x v="174"/>
    <x v="18"/>
    <x v="2"/>
    <s v="FUR-FU-10000550"/>
    <s v="Furniture"/>
    <x v="3"/>
    <s v="Stacking Trays by OIC"/>
    <n v="9.9600000000000009"/>
    <n v="2"/>
    <n v="3.2867999999999999"/>
    <x v="4"/>
    <x v="0"/>
    <x v="6"/>
  </r>
  <r>
    <s v="CA-2014-166989"/>
    <d v="2014-11-14T00:00:00"/>
    <d v="2014-11-18T00:00:00"/>
    <x v="1"/>
    <s v="RM-19675"/>
    <s v="Robert Marley"/>
    <x v="2"/>
    <x v="13"/>
    <x v="7"/>
    <x v="2"/>
    <s v="FUR-CH-10001797"/>
    <s v="Furniture"/>
    <x v="1"/>
    <s v="Safco Chair Connectors, 6/Carton"/>
    <n v="69.263999999999996"/>
    <n v="2"/>
    <n v="14.622400000000001"/>
    <x v="4"/>
    <x v="2"/>
    <x v="0"/>
  </r>
  <r>
    <s v="CA-2015-105690"/>
    <d v="2015-11-21T00:00:00"/>
    <d v="2015-11-26T00:00:00"/>
    <x v="0"/>
    <s v="CA-11965"/>
    <s v="Carol Adams"/>
    <x v="1"/>
    <x v="238"/>
    <x v="5"/>
    <x v="3"/>
    <s v="FUR-BO-10003965"/>
    <s v="Furniture"/>
    <x v="0"/>
    <s v="O'Sullivan Manor Hill 2-Door Library in Brianna Oak"/>
    <n v="246.1328"/>
    <n v="2"/>
    <n v="-76.011600000000001"/>
    <x v="2"/>
    <x v="1"/>
    <x v="0"/>
  </r>
  <r>
    <s v="CA-2017-102407"/>
    <d v="2017-12-09T00:00:00"/>
    <d v="2017-12-13T00:00:00"/>
    <x v="0"/>
    <s v="AT-10435"/>
    <s v="Alyssa Tate"/>
    <x v="2"/>
    <x v="2"/>
    <x v="2"/>
    <x v="1"/>
    <s v="FUR-TA-10003748"/>
    <s v="Furniture"/>
    <x v="2"/>
    <s v="Bevis 36 x 72 Conference Tables"/>
    <n v="896.32799999999997"/>
    <n v="9"/>
    <n v="22.408200000000001"/>
    <x v="4"/>
    <x v="3"/>
    <x v="5"/>
  </r>
  <r>
    <s v="CA-2017-101581"/>
    <d v="2017-10-22T00:00:00"/>
    <d v="2017-10-27T00:00:00"/>
    <x v="1"/>
    <s v="DW-13195"/>
    <s v="David Wiener"/>
    <x v="1"/>
    <x v="125"/>
    <x v="36"/>
    <x v="1"/>
    <s v="FUR-TA-10002607"/>
    <s v="Furniture"/>
    <x v="2"/>
    <s v="KI Conference Tables"/>
    <n v="177.22499999999999"/>
    <n v="5"/>
    <n v="-120.51300000000001"/>
    <x v="2"/>
    <x v="3"/>
    <x v="1"/>
  </r>
  <r>
    <s v="CA-2017-169124"/>
    <d v="2017-07-03T00:00:00"/>
    <d v="2017-07-10T00:00:00"/>
    <x v="1"/>
    <s v="MB-17305"/>
    <s v="Maria Bertelson"/>
    <x v="0"/>
    <x v="239"/>
    <x v="2"/>
    <x v="1"/>
    <s v="FUR-FU-10001215"/>
    <s v="Furniture"/>
    <x v="3"/>
    <s v="Howard Miller 11-1/2&quot; Diameter Brentwood Wall Clock"/>
    <n v="129.38999999999999"/>
    <n v="3"/>
    <n v="54.343800000000002"/>
    <x v="1"/>
    <x v="3"/>
    <x v="3"/>
  </r>
  <r>
    <s v="CA-2017-129021"/>
    <d v="2017-08-23T00:00:00"/>
    <d v="2017-08-26T00:00:00"/>
    <x v="0"/>
    <s v="PO-18850"/>
    <s v="Patrick O'Brill"/>
    <x v="0"/>
    <x v="199"/>
    <x v="1"/>
    <x v="0"/>
    <s v="FUR-FU-10001852"/>
    <s v="Furniture"/>
    <x v="3"/>
    <s v="Eldon Regeneration Recycled Desk Accessories, Smoke"/>
    <n v="2.7839999999999998"/>
    <n v="2"/>
    <n v="0.41760000000000003"/>
    <x v="0"/>
    <x v="3"/>
    <x v="10"/>
  </r>
  <r>
    <s v="CA-2014-162278"/>
    <d v="2014-10-26T00:00:00"/>
    <d v="2014-10-30T00:00:00"/>
    <x v="0"/>
    <s v="AH-10585"/>
    <s v="Angele Hood"/>
    <x v="0"/>
    <x v="15"/>
    <x v="13"/>
    <x v="1"/>
    <s v="FUR-FU-10000448"/>
    <s v="Furniture"/>
    <x v="3"/>
    <s v="Tenex Chairmats For Use With Carpeted Floors"/>
    <n v="63.92"/>
    <n v="4"/>
    <n v="3.1960000000000002"/>
    <x v="4"/>
    <x v="2"/>
    <x v="1"/>
  </r>
  <r>
    <s v="CA-2014-125829"/>
    <d v="2014-11-04T00:00:00"/>
    <d v="2014-11-11T00:00:00"/>
    <x v="1"/>
    <s v="WB-21850"/>
    <s v="William Brown"/>
    <x v="0"/>
    <x v="2"/>
    <x v="2"/>
    <x v="1"/>
    <s v="FUR-TA-10002041"/>
    <s v="Furniture"/>
    <x v="2"/>
    <s v="Bevis Round Conference Table Top, X-Base"/>
    <n v="573.72799999999995"/>
    <n v="4"/>
    <n v="-64.544399999999996"/>
    <x v="1"/>
    <x v="2"/>
    <x v="0"/>
  </r>
  <r>
    <s v="US-2017-136189"/>
    <d v="2017-12-07T00:00:00"/>
    <d v="2017-12-11T00:00:00"/>
    <x v="1"/>
    <s v="DC-13285"/>
    <s v="Debra Catini"/>
    <x v="0"/>
    <x v="52"/>
    <x v="25"/>
    <x v="0"/>
    <s v="FUR-FU-10000175"/>
    <s v="Furniture"/>
    <x v="3"/>
    <s v="DAX Wood Document Frame."/>
    <n v="82.38"/>
    <n v="6"/>
    <n v="25.537800000000001"/>
    <x v="4"/>
    <x v="3"/>
    <x v="5"/>
  </r>
  <r>
    <s v="CA-2015-154795"/>
    <d v="2015-12-20T00:00:00"/>
    <d v="2015-12-24T00:00:00"/>
    <x v="1"/>
    <s v="GZ-14470"/>
    <s v="Gary Zandusky"/>
    <x v="0"/>
    <x v="240"/>
    <x v="22"/>
    <x v="1"/>
    <s v="FUR-FU-10002088"/>
    <s v="Furniture"/>
    <x v="3"/>
    <s v="Nu-Dell Float Frame 11 x 14 1/2"/>
    <n v="14.368"/>
    <n v="2"/>
    <n v="3.9512"/>
    <x v="4"/>
    <x v="1"/>
    <x v="5"/>
  </r>
  <r>
    <s v="CA-2016-120355"/>
    <d v="2016-09-18T00:00:00"/>
    <d v="2016-09-25T00:00:00"/>
    <x v="1"/>
    <s v="MM-17260"/>
    <s v="Magdelene Morse"/>
    <x v="0"/>
    <x v="241"/>
    <x v="7"/>
    <x v="2"/>
    <s v="FUR-CH-10001394"/>
    <s v="Furniture"/>
    <x v="1"/>
    <s v="Global Leather Executive Chair"/>
    <n v="631.78200000000004"/>
    <n v="2"/>
    <n v="140.39599999999999"/>
    <x v="1"/>
    <x v="0"/>
    <x v="4"/>
  </r>
  <r>
    <s v="CA-2016-120355"/>
    <d v="2016-09-18T00:00:00"/>
    <d v="2016-09-25T00:00:00"/>
    <x v="1"/>
    <s v="MM-17260"/>
    <s v="Magdelene Morse"/>
    <x v="0"/>
    <x v="241"/>
    <x v="7"/>
    <x v="2"/>
    <s v="FUR-FU-10004053"/>
    <s v="Furniture"/>
    <x v="3"/>
    <s v="DAX Two-Tone Silver Metal Document Frame"/>
    <n v="60.72"/>
    <n v="3"/>
    <n v="26.1096"/>
    <x v="1"/>
    <x v="0"/>
    <x v="4"/>
  </r>
  <r>
    <s v="CA-2017-162565"/>
    <d v="2017-12-11T00:00:00"/>
    <d v="2017-12-11T00:00:00"/>
    <x v="3"/>
    <s v="RR-19315"/>
    <s v="Ralph Ritter"/>
    <x v="0"/>
    <x v="14"/>
    <x v="8"/>
    <x v="3"/>
    <s v="FUR-FU-10004306"/>
    <s v="Furniture"/>
    <x v="3"/>
    <s v="Electrix Halogen Magnifier Lamp"/>
    <n v="77.72"/>
    <n v="1"/>
    <n v="-66.061999999999998"/>
    <x v="7"/>
    <x v="3"/>
    <x v="5"/>
  </r>
  <r>
    <s v="CA-2017-162565"/>
    <d v="2017-12-11T00:00:00"/>
    <d v="2017-12-11T00:00:00"/>
    <x v="3"/>
    <s v="RR-19315"/>
    <s v="Ralph Ritter"/>
    <x v="0"/>
    <x v="14"/>
    <x v="8"/>
    <x v="3"/>
    <s v="FUR-CH-10003973"/>
    <s v="Furniture"/>
    <x v="1"/>
    <s v="GuestStacker Chair with Chrome Finish Legs"/>
    <n v="520.46400000000006"/>
    <n v="2"/>
    <n v="-14.8704"/>
    <x v="7"/>
    <x v="3"/>
    <x v="5"/>
  </r>
  <r>
    <s v="CA-2014-166954"/>
    <d v="2014-04-25T00:00:00"/>
    <d v="2014-04-30T00:00:00"/>
    <x v="1"/>
    <s v="BT-11305"/>
    <s v="Beth Thompson"/>
    <x v="2"/>
    <x v="242"/>
    <x v="2"/>
    <x v="1"/>
    <s v="FUR-FU-10003708"/>
    <s v="Furniture"/>
    <x v="3"/>
    <s v="Tenex Traditional Chairmats for Medium Pile Carpet, Standard Lip, 36&quot; x 48&quot;"/>
    <n v="303.25"/>
    <n v="5"/>
    <n v="63.682499999999997"/>
    <x v="2"/>
    <x v="2"/>
    <x v="6"/>
  </r>
  <r>
    <s v="CA-2014-166954"/>
    <d v="2014-04-25T00:00:00"/>
    <d v="2014-04-30T00:00:00"/>
    <x v="1"/>
    <s v="BT-11305"/>
    <s v="Beth Thompson"/>
    <x v="2"/>
    <x v="242"/>
    <x v="2"/>
    <x v="1"/>
    <s v="FUR-CH-10003973"/>
    <s v="Furniture"/>
    <x v="1"/>
    <s v="GuestStacker Chair with Chrome Finish Legs"/>
    <n v="1487.04"/>
    <n v="5"/>
    <n v="148.70400000000001"/>
    <x v="2"/>
    <x v="2"/>
    <x v="6"/>
  </r>
  <r>
    <s v="CA-2015-152891"/>
    <d v="2015-10-25T00:00:00"/>
    <d v="2015-10-30T00:00:00"/>
    <x v="1"/>
    <s v="TB-21625"/>
    <s v="Trudy Brown"/>
    <x v="0"/>
    <x v="28"/>
    <x v="2"/>
    <x v="1"/>
    <s v="FUR-TA-10001857"/>
    <s v="Furniture"/>
    <x v="2"/>
    <s v="Balt Solid Wood Rectangular Table"/>
    <n v="253.17599999999999"/>
    <n v="3"/>
    <n v="-31.646999999999998"/>
    <x v="2"/>
    <x v="1"/>
    <x v="1"/>
  </r>
  <r>
    <s v="US-2015-122784"/>
    <d v="2015-07-20T00:00:00"/>
    <d v="2015-07-27T00:00:00"/>
    <x v="1"/>
    <s v="RA-19915"/>
    <s v="Russell Applegate"/>
    <x v="0"/>
    <x v="185"/>
    <x v="8"/>
    <x v="3"/>
    <s v="FUR-BO-10004690"/>
    <s v="Furniture"/>
    <x v="0"/>
    <s v="O'Sullivan Cherrywood Estates Traditional Barrister Bookcase"/>
    <n v="384.94400000000002"/>
    <n v="4"/>
    <n v="-126.4816"/>
    <x v="1"/>
    <x v="1"/>
    <x v="3"/>
  </r>
  <r>
    <s v="US-2015-122784"/>
    <d v="2015-07-20T00:00:00"/>
    <d v="2015-07-27T00:00:00"/>
    <x v="1"/>
    <s v="RA-19915"/>
    <s v="Russell Applegate"/>
    <x v="0"/>
    <x v="185"/>
    <x v="8"/>
    <x v="3"/>
    <s v="FUR-BO-10002545"/>
    <s v="Furniture"/>
    <x v="0"/>
    <s v="Atlantic Metals Mobile 3-Shelf Bookcases, Custom Colors"/>
    <n v="913.43"/>
    <n v="5"/>
    <n v="-52.195999999999998"/>
    <x v="1"/>
    <x v="1"/>
    <x v="3"/>
  </r>
  <r>
    <s v="CA-2017-111556"/>
    <d v="2017-11-20T00:00:00"/>
    <d v="2017-11-22T00:00:00"/>
    <x v="2"/>
    <s v="CD-11920"/>
    <s v="Carlos Daly"/>
    <x v="0"/>
    <x v="13"/>
    <x v="7"/>
    <x v="2"/>
    <s v="FUR-BO-10003159"/>
    <s v="Furniture"/>
    <x v="0"/>
    <s v="Sauder Camden County Collection Libraries, Planked Cherry Finish"/>
    <n v="183.96799999999999"/>
    <n v="2"/>
    <n v="-25.2956"/>
    <x v="3"/>
    <x v="3"/>
    <x v="0"/>
  </r>
  <r>
    <s v="US-2014-138758"/>
    <d v="2014-07-07T00:00:00"/>
    <d v="2014-07-11T00:00:00"/>
    <x v="1"/>
    <s v="JL-15835"/>
    <s v="John Lee"/>
    <x v="0"/>
    <x v="3"/>
    <x v="3"/>
    <x v="2"/>
    <s v="FUR-CH-10002880"/>
    <s v="Furniture"/>
    <x v="1"/>
    <s v="Global High-Back Leather Tilter, Burgundy"/>
    <n v="172.18600000000001"/>
    <n v="2"/>
    <n v="-46.736199999999997"/>
    <x v="4"/>
    <x v="2"/>
    <x v="3"/>
  </r>
  <r>
    <s v="US-2014-138758"/>
    <d v="2014-07-07T00:00:00"/>
    <d v="2014-07-11T00:00:00"/>
    <x v="1"/>
    <s v="JL-15835"/>
    <s v="John Lee"/>
    <x v="0"/>
    <x v="3"/>
    <x v="3"/>
    <x v="2"/>
    <s v="FUR-FU-10003039"/>
    <s v="Furniture"/>
    <x v="3"/>
    <s v="Howard Miller 11-1/2&quot; Diameter Grantwood Wall Clock"/>
    <n v="69.007999999999996"/>
    <n v="2"/>
    <n v="12.0764"/>
    <x v="4"/>
    <x v="2"/>
    <x v="3"/>
  </r>
  <r>
    <s v="CA-2016-131737"/>
    <d v="2016-03-17T00:00:00"/>
    <d v="2016-03-17T00:00:00"/>
    <x v="3"/>
    <s v="GZ-14470"/>
    <s v="Gary Zandusky"/>
    <x v="0"/>
    <x v="11"/>
    <x v="32"/>
    <x v="2"/>
    <s v="FUR-FU-10004306"/>
    <s v="Furniture"/>
    <x v="3"/>
    <s v="Electrix Halogen Magnifier Lamp"/>
    <n v="971.5"/>
    <n v="5"/>
    <n v="252.59"/>
    <x v="7"/>
    <x v="0"/>
    <x v="9"/>
  </r>
  <r>
    <s v="CA-2014-160157"/>
    <d v="2014-12-20T00:00:00"/>
    <d v="2014-12-27T00:00:00"/>
    <x v="1"/>
    <s v="MH-17455"/>
    <s v="Mark Hamilton"/>
    <x v="0"/>
    <x v="243"/>
    <x v="15"/>
    <x v="2"/>
    <s v="FUR-FU-10003773"/>
    <s v="Furniture"/>
    <x v="3"/>
    <s v="Eldon Cleatmat Plus Chair Mats for High Pile Carpets"/>
    <n v="190.84800000000001"/>
    <n v="3"/>
    <n v="-21.470400000000001"/>
    <x v="1"/>
    <x v="2"/>
    <x v="5"/>
  </r>
  <r>
    <s v="CA-2017-159464"/>
    <d v="2017-05-18T00:00:00"/>
    <d v="2017-05-19T00:00:00"/>
    <x v="2"/>
    <s v="TB-21355"/>
    <s v="Todd Boyes"/>
    <x v="1"/>
    <x v="244"/>
    <x v="24"/>
    <x v="0"/>
    <s v="FUR-BO-10003546"/>
    <s v="Furniture"/>
    <x v="0"/>
    <s v="Hon 4-Shelf Metal Bookcases"/>
    <n v="302.94"/>
    <n v="3"/>
    <n v="75.734999999999999"/>
    <x v="5"/>
    <x v="3"/>
    <x v="7"/>
  </r>
  <r>
    <s v="CA-2017-119452"/>
    <d v="2017-03-21T00:00:00"/>
    <d v="2017-03-27T00:00:00"/>
    <x v="1"/>
    <s v="CL-12565"/>
    <s v="Clay Ludtke"/>
    <x v="0"/>
    <x v="169"/>
    <x v="37"/>
    <x v="3"/>
    <s v="FUR-CH-10004495"/>
    <s v="Furniture"/>
    <x v="1"/>
    <s v="Global Leather and Oak Executive Chair, Black"/>
    <n v="1805.88"/>
    <n v="6"/>
    <n v="523.70519999999999"/>
    <x v="6"/>
    <x v="3"/>
    <x v="9"/>
  </r>
  <r>
    <s v="CA-2016-168893"/>
    <d v="2016-11-03T00:00:00"/>
    <d v="2016-11-08T00:00:00"/>
    <x v="0"/>
    <s v="AP-10915"/>
    <s v="Arthur Prichep"/>
    <x v="0"/>
    <x v="0"/>
    <x v="0"/>
    <x v="0"/>
    <s v="FUR-FU-10002885"/>
    <s v="Furniture"/>
    <x v="3"/>
    <s v="Magna Visual Magnetic Picture Hangers"/>
    <n v="24.1"/>
    <n v="5"/>
    <n v="9.1579999999999995"/>
    <x v="2"/>
    <x v="0"/>
    <x v="0"/>
  </r>
  <r>
    <s v="CA-2016-168893"/>
    <d v="2016-11-03T00:00:00"/>
    <d v="2016-11-08T00:00:00"/>
    <x v="0"/>
    <s v="AP-10915"/>
    <s v="Arthur Prichep"/>
    <x v="0"/>
    <x v="0"/>
    <x v="0"/>
    <x v="0"/>
    <s v="FUR-TA-10003392"/>
    <s v="Furniture"/>
    <x v="2"/>
    <s v="Global Adaptabilities Conference Tables"/>
    <n v="842.94"/>
    <n v="3"/>
    <n v="160.15860000000001"/>
    <x v="2"/>
    <x v="0"/>
    <x v="0"/>
  </r>
  <r>
    <s v="CA-2015-121965"/>
    <d v="2015-06-19T00:00:00"/>
    <d v="2015-06-23T00:00:00"/>
    <x v="1"/>
    <s v="LH-17155"/>
    <s v="Logan Haushalter"/>
    <x v="0"/>
    <x v="2"/>
    <x v="2"/>
    <x v="1"/>
    <s v="FUR-FU-10000732"/>
    <s v="Furniture"/>
    <x v="3"/>
    <s v="Eldon 200 Class Desk Accessories"/>
    <n v="12.56"/>
    <n v="2"/>
    <n v="4.0191999999999997"/>
    <x v="4"/>
    <x v="1"/>
    <x v="2"/>
  </r>
  <r>
    <s v="CA-2016-147137"/>
    <d v="2016-07-04T00:00:00"/>
    <d v="2016-07-06T00:00:00"/>
    <x v="2"/>
    <s v="AA-10645"/>
    <s v="Anna Andreadi"/>
    <x v="0"/>
    <x v="28"/>
    <x v="2"/>
    <x v="1"/>
    <s v="FUR-FU-10000221"/>
    <s v="Furniture"/>
    <x v="3"/>
    <s v="Master Caster Door Stop, Brown"/>
    <n v="25.4"/>
    <n v="5"/>
    <n v="8.6359999999999992"/>
    <x v="3"/>
    <x v="0"/>
    <x v="3"/>
  </r>
  <r>
    <s v="CA-2016-147137"/>
    <d v="2016-07-04T00:00:00"/>
    <d v="2016-07-06T00:00:00"/>
    <x v="2"/>
    <s v="AA-10645"/>
    <s v="Anna Andreadi"/>
    <x v="0"/>
    <x v="28"/>
    <x v="2"/>
    <x v="1"/>
    <s v="FUR-BO-10001811"/>
    <s v="Furniture"/>
    <x v="0"/>
    <s v="Atlantic Metals Mobile 5-Shelf Bookcases, Custom Colors"/>
    <n v="1279.165"/>
    <n v="5"/>
    <n v="225.73500000000001"/>
    <x v="3"/>
    <x v="0"/>
    <x v="3"/>
  </r>
  <r>
    <s v="US-2015-146745"/>
    <d v="2015-09-03T00:00:00"/>
    <d v="2015-09-08T00:00:00"/>
    <x v="1"/>
    <s v="AS-10630"/>
    <s v="Ann Steele"/>
    <x v="2"/>
    <x v="28"/>
    <x v="2"/>
    <x v="1"/>
    <s v="FUR-CH-10002372"/>
    <s v="Furniture"/>
    <x v="1"/>
    <s v="Office Star - Ergonomically Designed Knee Chair"/>
    <n v="129.56800000000001"/>
    <n v="2"/>
    <n v="-12.956799999999999"/>
    <x v="2"/>
    <x v="1"/>
    <x v="4"/>
  </r>
  <r>
    <s v="US-2017-125717"/>
    <d v="2017-09-28T00:00:00"/>
    <d v="2017-10-01T00:00:00"/>
    <x v="2"/>
    <s v="DS-13030"/>
    <s v="Darrin Sayre"/>
    <x v="2"/>
    <x v="14"/>
    <x v="12"/>
    <x v="1"/>
    <s v="FUR-FU-10001979"/>
    <s v="Furniture"/>
    <x v="3"/>
    <s v="Dana Halogen Swing-Arm Architect Lamp"/>
    <n v="32.776000000000003"/>
    <n v="1"/>
    <n v="3.2776000000000001"/>
    <x v="0"/>
    <x v="3"/>
    <x v="4"/>
  </r>
  <r>
    <s v="CA-2017-168641"/>
    <d v="2017-11-24T00:00:00"/>
    <d v="2017-12-01T00:00:00"/>
    <x v="1"/>
    <s v="KA-16525"/>
    <s v="Kelly Andreada"/>
    <x v="0"/>
    <x v="13"/>
    <x v="7"/>
    <x v="2"/>
    <s v="FUR-BO-10000780"/>
    <s v="Furniture"/>
    <x v="0"/>
    <s v="O'Sullivan Plantations 2-Door Library in Landvery Oak"/>
    <n v="321.56799999999998"/>
    <n v="2"/>
    <n v="-16.078399999999998"/>
    <x v="1"/>
    <x v="3"/>
    <x v="0"/>
  </r>
  <r>
    <s v="CA-2017-156895"/>
    <d v="2017-05-08T00:00:00"/>
    <d v="2017-05-12T00:00:00"/>
    <x v="1"/>
    <s v="DJ-13510"/>
    <s v="Don Jones"/>
    <x v="1"/>
    <x v="3"/>
    <x v="3"/>
    <x v="2"/>
    <s v="FUR-CH-10003535"/>
    <s v="Furniture"/>
    <x v="1"/>
    <s v="Global Armless Task Chair, Royal Blue"/>
    <n v="128.05799999999999"/>
    <n v="3"/>
    <n v="-23.7822"/>
    <x v="4"/>
    <x v="3"/>
    <x v="7"/>
  </r>
  <r>
    <s v="CA-2017-121300"/>
    <d v="2017-09-29T00:00:00"/>
    <d v="2017-09-29T00:00:00"/>
    <x v="3"/>
    <s v="MG-17680"/>
    <s v="Maureen Gastineau"/>
    <x v="2"/>
    <x v="245"/>
    <x v="15"/>
    <x v="2"/>
    <s v="FUR-CH-10003774"/>
    <s v="Furniture"/>
    <x v="1"/>
    <s v="Global Wood Trimmed Manager's Task Chair, Khaki"/>
    <n v="63.686"/>
    <n v="1"/>
    <n v="-15.4666"/>
    <x v="7"/>
    <x v="3"/>
    <x v="4"/>
  </r>
  <r>
    <s v="CA-2017-121300"/>
    <d v="2017-09-29T00:00:00"/>
    <d v="2017-09-29T00:00:00"/>
    <x v="3"/>
    <s v="MG-17680"/>
    <s v="Maureen Gastineau"/>
    <x v="2"/>
    <x v="245"/>
    <x v="15"/>
    <x v="2"/>
    <s v="FUR-TA-10004442"/>
    <s v="Furniture"/>
    <x v="2"/>
    <s v="Riverside Furniture Stanwyck Manor Table Series"/>
    <n v="344.22"/>
    <n v="2"/>
    <n v="-189.321"/>
    <x v="7"/>
    <x v="3"/>
    <x v="4"/>
  </r>
  <r>
    <s v="CA-2017-121300"/>
    <d v="2017-09-29T00:00:00"/>
    <d v="2017-09-29T00:00:00"/>
    <x v="3"/>
    <s v="MG-17680"/>
    <s v="Maureen Gastineau"/>
    <x v="2"/>
    <x v="245"/>
    <x v="15"/>
    <x v="2"/>
    <s v="FUR-FU-10004586"/>
    <s v="Furniture"/>
    <x v="3"/>
    <s v="G.E. Longer-Life Indoor Recessed Floodlight Bulbs"/>
    <n v="21.248000000000001"/>
    <n v="4"/>
    <n v="7.4367999999999999"/>
    <x v="7"/>
    <x v="3"/>
    <x v="4"/>
  </r>
  <r>
    <s v="CA-2017-130211"/>
    <d v="2017-10-22T00:00:00"/>
    <d v="2017-10-22T00:00:00"/>
    <x v="3"/>
    <s v="BD-11620"/>
    <s v="Brian DeCherney"/>
    <x v="0"/>
    <x v="246"/>
    <x v="37"/>
    <x v="3"/>
    <s v="FUR-TA-10003748"/>
    <s v="Furniture"/>
    <x v="2"/>
    <s v="Bevis 36 x 72 Conference Tables"/>
    <n v="248.98"/>
    <n v="2"/>
    <n v="54.775599999999997"/>
    <x v="7"/>
    <x v="3"/>
    <x v="1"/>
  </r>
  <r>
    <s v="CA-2017-105921"/>
    <d v="2017-08-14T00:00:00"/>
    <d v="2017-08-21T00:00:00"/>
    <x v="1"/>
    <s v="JM-15250"/>
    <s v="Janet Martin"/>
    <x v="0"/>
    <x v="2"/>
    <x v="2"/>
    <x v="1"/>
    <s v="FUR-TA-10001095"/>
    <s v="Furniture"/>
    <x v="2"/>
    <s v="Chromcraft Round Conference Tables"/>
    <n v="418.29599999999999"/>
    <n v="3"/>
    <n v="5.2286999999999999"/>
    <x v="1"/>
    <x v="3"/>
    <x v="10"/>
  </r>
  <r>
    <s v="CA-2014-150798"/>
    <d v="2014-12-01T00:00:00"/>
    <d v="2014-12-03T00:00:00"/>
    <x v="0"/>
    <s v="JK-15730"/>
    <s v="Joe Kamberova"/>
    <x v="0"/>
    <x v="29"/>
    <x v="15"/>
    <x v="2"/>
    <s v="FUR-FU-10000221"/>
    <s v="Furniture"/>
    <x v="3"/>
    <s v="Master Caster Door Stop, Brown"/>
    <n v="8.1280000000000001"/>
    <n v="2"/>
    <n v="1.4224000000000001"/>
    <x v="3"/>
    <x v="2"/>
    <x v="5"/>
  </r>
  <r>
    <s v="CA-2014-150798"/>
    <d v="2014-12-01T00:00:00"/>
    <d v="2014-12-03T00:00:00"/>
    <x v="0"/>
    <s v="JK-15730"/>
    <s v="Joe Kamberova"/>
    <x v="0"/>
    <x v="29"/>
    <x v="15"/>
    <x v="2"/>
    <s v="FUR-CH-10000015"/>
    <s v="Furniture"/>
    <x v="1"/>
    <s v="Hon Multipurpose Stacking Arm Chairs"/>
    <n v="909.72"/>
    <n v="6"/>
    <n v="-51.984000000000002"/>
    <x v="3"/>
    <x v="2"/>
    <x v="5"/>
  </r>
  <r>
    <s v="CA-2017-112753"/>
    <d v="2017-06-18T00:00:00"/>
    <d v="2017-06-23T00:00:00"/>
    <x v="1"/>
    <s v="CC-12670"/>
    <s v="Craig Carreira"/>
    <x v="0"/>
    <x v="2"/>
    <x v="2"/>
    <x v="1"/>
    <s v="FUR-BO-10004015"/>
    <s v="Furniture"/>
    <x v="0"/>
    <s v="Bush Andora Bookcase, Maple/Graphite Gray Finish"/>
    <n v="917.92349999999999"/>
    <n v="9"/>
    <n v="75.593699999999998"/>
    <x v="2"/>
    <x v="3"/>
    <x v="2"/>
  </r>
  <r>
    <s v="US-2014-138247"/>
    <d v="2014-12-24T00:00:00"/>
    <d v="2014-12-29T00:00:00"/>
    <x v="1"/>
    <s v="BF-11170"/>
    <s v="Ben Ferrer"/>
    <x v="2"/>
    <x v="2"/>
    <x v="2"/>
    <x v="1"/>
    <s v="FUR-FU-10002554"/>
    <s v="Furniture"/>
    <x v="3"/>
    <s v="Westinghouse Floor Lamp with Metal Mesh Shade, Black"/>
    <n v="23.99"/>
    <n v="1"/>
    <n v="5.5176999999999996"/>
    <x v="2"/>
    <x v="2"/>
    <x v="5"/>
  </r>
  <r>
    <s v="CA-2017-167003"/>
    <d v="2017-05-23T00:00:00"/>
    <d v="2017-05-29T00:00:00"/>
    <x v="1"/>
    <s v="VS-21820"/>
    <s v="Vivek Sundaresam"/>
    <x v="0"/>
    <x v="2"/>
    <x v="2"/>
    <x v="1"/>
    <s v="FUR-TA-10001520"/>
    <s v="Furniture"/>
    <x v="2"/>
    <s v="Lesro Sheffield Collection Coffee Table, End Table, Center Table, Corner Table"/>
    <n v="171.28800000000001"/>
    <n v="3"/>
    <n v="-6.4233000000000002"/>
    <x v="6"/>
    <x v="3"/>
    <x v="7"/>
  </r>
  <r>
    <s v="CA-2016-119935"/>
    <d v="2016-11-10T00:00:00"/>
    <d v="2016-11-14T00:00:00"/>
    <x v="1"/>
    <s v="KM-16225"/>
    <s v="Kalyca Meade"/>
    <x v="1"/>
    <x v="76"/>
    <x v="23"/>
    <x v="3"/>
    <s v="FUR-FU-10001085"/>
    <s v="Furniture"/>
    <x v="3"/>
    <s v="3M Polarizing Light Filter Sleeves"/>
    <n v="37.299999999999997"/>
    <n v="2"/>
    <n v="17.158000000000001"/>
    <x v="4"/>
    <x v="0"/>
    <x v="0"/>
  </r>
  <r>
    <s v="CA-2016-120873"/>
    <d v="2016-10-27T00:00:00"/>
    <d v="2016-11-01T00:00:00"/>
    <x v="0"/>
    <s v="BW-11200"/>
    <s v="Ben Wallace"/>
    <x v="0"/>
    <x v="247"/>
    <x v="25"/>
    <x v="0"/>
    <s v="FUR-CH-10000847"/>
    <s v="Furniture"/>
    <x v="1"/>
    <s v="Global Executive Mid-Back Manager's Chair"/>
    <n v="290.98"/>
    <n v="1"/>
    <n v="75.654799999999994"/>
    <x v="2"/>
    <x v="0"/>
    <x v="1"/>
  </r>
  <r>
    <s v="CA-2014-109491"/>
    <d v="2014-02-20T00:00:00"/>
    <d v="2014-02-26T00:00:00"/>
    <x v="1"/>
    <s v="LC-16930"/>
    <s v="Linda Cazamias"/>
    <x v="1"/>
    <x v="52"/>
    <x v="6"/>
    <x v="3"/>
    <s v="FUR-FU-10000221"/>
    <s v="Furniture"/>
    <x v="3"/>
    <s v="Master Caster Door Stop, Brown"/>
    <n v="20.32"/>
    <n v="4"/>
    <n v="6.9088000000000003"/>
    <x v="6"/>
    <x v="2"/>
    <x v="11"/>
  </r>
  <r>
    <s v="CA-2014-107454"/>
    <d v="2014-11-02T00:00:00"/>
    <d v="2014-11-06T00:00:00"/>
    <x v="1"/>
    <s v="RD-19720"/>
    <s v="Roger Demir"/>
    <x v="0"/>
    <x v="13"/>
    <x v="7"/>
    <x v="2"/>
    <s v="FUR-FU-10004018"/>
    <s v="Furniture"/>
    <x v="3"/>
    <s v="Tensor Computer Mounted Lamp"/>
    <n v="89.34"/>
    <n v="6"/>
    <n v="24.1218"/>
    <x v="4"/>
    <x v="2"/>
    <x v="0"/>
  </r>
  <r>
    <s v="US-2017-105046"/>
    <d v="2017-07-17T00:00:00"/>
    <d v="2017-07-23T00:00:00"/>
    <x v="1"/>
    <s v="BE-11335"/>
    <s v="Bill Eplett"/>
    <x v="2"/>
    <x v="248"/>
    <x v="7"/>
    <x v="2"/>
    <s v="FUR-FU-10004848"/>
    <s v="Furniture"/>
    <x v="3"/>
    <s v="DAX Solid Wood Frames"/>
    <n v="39.08"/>
    <n v="4"/>
    <n v="14.4596"/>
    <x v="6"/>
    <x v="3"/>
    <x v="3"/>
  </r>
  <r>
    <s v="CA-2016-118759"/>
    <d v="2016-11-14T00:00:00"/>
    <d v="2016-11-17T00:00:00"/>
    <x v="2"/>
    <s v="MB-17305"/>
    <s v="Maria Bertelson"/>
    <x v="0"/>
    <x v="13"/>
    <x v="7"/>
    <x v="2"/>
    <s v="FUR-CH-10002335"/>
    <s v="Furniture"/>
    <x v="1"/>
    <s v="Hon GuestStacker Chair"/>
    <n v="408.00599999999997"/>
    <n v="2"/>
    <n v="72.534400000000005"/>
    <x v="0"/>
    <x v="0"/>
    <x v="0"/>
  </r>
  <r>
    <s v="CA-2014-140403"/>
    <d v="2014-10-10T00:00:00"/>
    <d v="2014-10-10T00:00:00"/>
    <x v="3"/>
    <s v="TN-21040"/>
    <s v="Tanja Norvell"/>
    <x v="2"/>
    <x v="249"/>
    <x v="2"/>
    <x v="1"/>
    <s v="FUR-CH-10002774"/>
    <s v="Furniture"/>
    <x v="1"/>
    <s v="Global Deluxe Stacking Chair, Gray"/>
    <n v="122.352"/>
    <n v="3"/>
    <n v="13.7646"/>
    <x v="7"/>
    <x v="2"/>
    <x v="1"/>
  </r>
  <r>
    <s v="CA-2017-138464"/>
    <d v="2017-07-08T00:00:00"/>
    <d v="2017-07-12T00:00:00"/>
    <x v="1"/>
    <s v="VF-21715"/>
    <s v="Vicky Freymann"/>
    <x v="2"/>
    <x v="15"/>
    <x v="13"/>
    <x v="1"/>
    <s v="FUR-FU-10003142"/>
    <s v="Furniture"/>
    <x v="3"/>
    <s v="Master Big Foot Doorstop, Beige"/>
    <n v="15.84"/>
    <n v="3"/>
    <n v="4.9104000000000001"/>
    <x v="4"/>
    <x v="3"/>
    <x v="3"/>
  </r>
  <r>
    <s v="CA-2015-104129"/>
    <d v="2015-02-27T00:00:00"/>
    <d v="2015-03-02T00:00:00"/>
    <x v="1"/>
    <s v="ES-14080"/>
    <s v="Erin Smith"/>
    <x v="1"/>
    <x v="134"/>
    <x v="38"/>
    <x v="2"/>
    <s v="FUR-TA-10004152"/>
    <s v="Furniture"/>
    <x v="2"/>
    <s v="Barricks 18&quot; x 48&quot; Non-Folding Utility Table with Bottom Storage Shelf"/>
    <n v="493.92"/>
    <n v="7"/>
    <n v="-28.224"/>
    <x v="0"/>
    <x v="1"/>
    <x v="11"/>
  </r>
  <r>
    <s v="CA-2015-126557"/>
    <d v="2015-07-12T00:00:00"/>
    <d v="2015-07-17T00:00:00"/>
    <x v="0"/>
    <s v="RL-19615"/>
    <s v="Rob Lucas"/>
    <x v="0"/>
    <x v="9"/>
    <x v="8"/>
    <x v="3"/>
    <s v="FUR-CH-10004477"/>
    <s v="Furniture"/>
    <x v="1"/>
    <s v="Global Push Button Manager's Chair, Indigo"/>
    <n v="383.60700000000003"/>
    <n v="9"/>
    <n v="-5.4801000000000002"/>
    <x v="2"/>
    <x v="1"/>
    <x v="3"/>
  </r>
  <r>
    <s v="CA-2015-126557"/>
    <d v="2015-07-12T00:00:00"/>
    <d v="2015-07-17T00:00:00"/>
    <x v="0"/>
    <s v="RL-19615"/>
    <s v="Rob Lucas"/>
    <x v="0"/>
    <x v="9"/>
    <x v="8"/>
    <x v="3"/>
    <s v="FUR-FU-10001861"/>
    <s v="Furniture"/>
    <x v="3"/>
    <s v="Floodlight Indoor Halogen Bulbs, 1 Bulb per Pack, 60 Watts"/>
    <n v="7.76"/>
    <n v="1"/>
    <n v="-2.1339999999999999"/>
    <x v="2"/>
    <x v="1"/>
    <x v="3"/>
  </r>
  <r>
    <s v="US-2014-165862"/>
    <d v="2014-07-13T00:00:00"/>
    <d v="2014-07-17T00:00:00"/>
    <x v="1"/>
    <s v="GK-14620"/>
    <s v="Grace Kelly"/>
    <x v="1"/>
    <x v="2"/>
    <x v="2"/>
    <x v="1"/>
    <s v="FUR-TA-10002855"/>
    <s v="Furniture"/>
    <x v="2"/>
    <s v="Bevis Round Conference Table Top &amp; Single Column Base"/>
    <n v="351.21600000000001"/>
    <n v="3"/>
    <n v="4.3902000000000001"/>
    <x v="4"/>
    <x v="2"/>
    <x v="3"/>
  </r>
  <r>
    <s v="US-2014-106334"/>
    <d v="2014-12-27T00:00:00"/>
    <d v="2015-01-02T00:00:00"/>
    <x v="1"/>
    <s v="JF-15490"/>
    <s v="Jeremy Farry"/>
    <x v="0"/>
    <x v="28"/>
    <x v="2"/>
    <x v="1"/>
    <s v="FUR-CH-10004886"/>
    <s v="Furniture"/>
    <x v="1"/>
    <s v="Bevis Steel Folding Chairs"/>
    <n v="230.28"/>
    <n v="3"/>
    <n v="23.027999999999999"/>
    <x v="6"/>
    <x v="2"/>
    <x v="5"/>
  </r>
  <r>
    <s v="CA-2014-110219"/>
    <d v="2014-05-05T00:00:00"/>
    <d v="2014-05-08T00:00:00"/>
    <x v="2"/>
    <s v="EB-13870"/>
    <s v="Emily Burns"/>
    <x v="0"/>
    <x v="21"/>
    <x v="5"/>
    <x v="3"/>
    <s v="FUR-CH-10001146"/>
    <s v="Furniture"/>
    <x v="1"/>
    <s v="Global Value Mid-Back Manager's Chair, Gray"/>
    <n v="127.869"/>
    <n v="3"/>
    <n v="-9.1334999999999997"/>
    <x v="0"/>
    <x v="2"/>
    <x v="7"/>
  </r>
  <r>
    <s v="CA-2015-118871"/>
    <d v="2015-12-04T00:00:00"/>
    <d v="2015-12-09T00:00:00"/>
    <x v="0"/>
    <s v="HM-14860"/>
    <s v="Harry Marie"/>
    <x v="1"/>
    <x v="2"/>
    <x v="2"/>
    <x v="1"/>
    <s v="FUR-FU-10002111"/>
    <s v="Furniture"/>
    <x v="3"/>
    <s v="Master Caster Door Stop, Large Brown"/>
    <n v="36.4"/>
    <n v="5"/>
    <n v="13.832000000000001"/>
    <x v="2"/>
    <x v="1"/>
    <x v="5"/>
  </r>
  <r>
    <s v="CA-2017-129490"/>
    <d v="2017-09-26T00:00:00"/>
    <d v="2017-09-30T00:00:00"/>
    <x v="1"/>
    <s v="SJ-20125"/>
    <s v="Sanjit Jacobs"/>
    <x v="2"/>
    <x v="232"/>
    <x v="1"/>
    <x v="0"/>
    <s v="FUR-CH-10003298"/>
    <s v="Furniture"/>
    <x v="1"/>
    <s v="Office Star - Contemporary Task Swivel chair with Loop Arms, Charcoal"/>
    <n v="419.13600000000002"/>
    <n v="4"/>
    <n v="-57.6312"/>
    <x v="4"/>
    <x v="3"/>
    <x v="4"/>
  </r>
  <r>
    <s v="CA-2014-169460"/>
    <d v="2014-04-19T00:00:00"/>
    <d v="2014-04-21T00:00:00"/>
    <x v="0"/>
    <s v="NF-18595"/>
    <s v="Nicole Fjeld"/>
    <x v="2"/>
    <x v="124"/>
    <x v="2"/>
    <x v="1"/>
    <s v="FUR-FU-10004017"/>
    <s v="Furniture"/>
    <x v="3"/>
    <s v="Executive Impressions 13&quot; Chairman Wall Clock"/>
    <n v="76.14"/>
    <n v="3"/>
    <n v="26.649000000000001"/>
    <x v="3"/>
    <x v="2"/>
    <x v="6"/>
  </r>
  <r>
    <s v="CA-2016-139395"/>
    <d v="2016-12-12T00:00:00"/>
    <d v="2016-12-18T00:00:00"/>
    <x v="1"/>
    <s v="MG-17650"/>
    <s v="Matthew Grinstein"/>
    <x v="2"/>
    <x v="38"/>
    <x v="17"/>
    <x v="3"/>
    <s v="FUR-FU-10003724"/>
    <s v="Furniture"/>
    <x v="3"/>
    <s v="Westinghouse Clip-On Gooseneck Lamps"/>
    <n v="33.479999999999997"/>
    <n v="4"/>
    <n v="8.7048000000000005"/>
    <x v="6"/>
    <x v="0"/>
    <x v="5"/>
  </r>
  <r>
    <s v="CA-2016-120250"/>
    <d v="2016-09-19T00:00:00"/>
    <d v="2016-09-22T00:00:00"/>
    <x v="2"/>
    <s v="AP-10720"/>
    <s v="Anne Pryor"/>
    <x v="2"/>
    <x v="3"/>
    <x v="3"/>
    <x v="2"/>
    <s v="FUR-FU-10003424"/>
    <s v="Furniture"/>
    <x v="3"/>
    <s v="Nu-Dell Oak Frame"/>
    <n v="25.632000000000001"/>
    <n v="3"/>
    <n v="3.8448000000000002"/>
    <x v="0"/>
    <x v="0"/>
    <x v="4"/>
  </r>
  <r>
    <s v="US-2017-163790"/>
    <d v="2017-11-02T00:00:00"/>
    <d v="2017-11-04T00:00:00"/>
    <x v="0"/>
    <s v="NL-18310"/>
    <s v="Nancy Lomonaco"/>
    <x v="2"/>
    <x v="250"/>
    <x v="2"/>
    <x v="1"/>
    <s v="FUR-FU-10002508"/>
    <s v="Furniture"/>
    <x v="3"/>
    <s v="Document Clip Frames"/>
    <n v="25.02"/>
    <n v="3"/>
    <n v="10.5084"/>
    <x v="3"/>
    <x v="3"/>
    <x v="0"/>
  </r>
  <r>
    <s v="CA-2016-129868"/>
    <d v="2016-12-26T00:00:00"/>
    <d v="2016-12-31T00:00:00"/>
    <x v="1"/>
    <s v="MC-18130"/>
    <s v="Mike Caudle"/>
    <x v="1"/>
    <x v="2"/>
    <x v="2"/>
    <x v="1"/>
    <s v="FUR-CH-10003535"/>
    <s v="Furniture"/>
    <x v="1"/>
    <s v="Global Armless Task Chair, Royal Blue"/>
    <n v="146.352"/>
    <n v="3"/>
    <n v="-5.4882"/>
    <x v="2"/>
    <x v="0"/>
    <x v="5"/>
  </r>
  <r>
    <s v="CA-2016-129868"/>
    <d v="2016-12-26T00:00:00"/>
    <d v="2016-12-31T00:00:00"/>
    <x v="1"/>
    <s v="MC-18130"/>
    <s v="Mike Caudle"/>
    <x v="1"/>
    <x v="2"/>
    <x v="2"/>
    <x v="1"/>
    <s v="FUR-TA-10003473"/>
    <s v="Furniture"/>
    <x v="2"/>
    <s v="Bretford Rectangular Conference Table Tops"/>
    <n v="902.71199999999999"/>
    <n v="3"/>
    <n v="33.851700000000001"/>
    <x v="2"/>
    <x v="0"/>
    <x v="5"/>
  </r>
  <r>
    <s v="CA-2015-146948"/>
    <d v="2015-07-16T00:00:00"/>
    <d v="2015-07-20T00:00:00"/>
    <x v="1"/>
    <s v="MG-17890"/>
    <s v="Michael Granlund"/>
    <x v="2"/>
    <x v="237"/>
    <x v="32"/>
    <x v="2"/>
    <s v="FUR-CH-10004853"/>
    <s v="Furniture"/>
    <x v="1"/>
    <s v="Global Manager's Adjustable Task Chair, Storm"/>
    <n v="150.97999999999999"/>
    <n v="1"/>
    <n v="43.784199999999998"/>
    <x v="4"/>
    <x v="1"/>
    <x v="3"/>
  </r>
  <r>
    <s v="US-2017-141852"/>
    <d v="2017-11-09T00:00:00"/>
    <d v="2017-11-14T00:00:00"/>
    <x v="1"/>
    <s v="JE-15745"/>
    <s v="Joel Eaton"/>
    <x v="0"/>
    <x v="64"/>
    <x v="2"/>
    <x v="1"/>
    <s v="FUR-FU-10000023"/>
    <s v="Furniture"/>
    <x v="3"/>
    <s v="Eldon Wave Desk Accessories"/>
    <n v="47.12"/>
    <n v="8"/>
    <n v="20.732800000000001"/>
    <x v="2"/>
    <x v="3"/>
    <x v="0"/>
  </r>
  <r>
    <s v="CA-2015-117800"/>
    <d v="2015-09-21T00:00:00"/>
    <d v="2015-09-26T00:00:00"/>
    <x v="1"/>
    <s v="TH-21550"/>
    <s v="Tracy Hopkins"/>
    <x v="2"/>
    <x v="114"/>
    <x v="20"/>
    <x v="2"/>
    <s v="FUR-CH-10000785"/>
    <s v="Furniture"/>
    <x v="1"/>
    <s v="Global Ergonomic Managers Chair"/>
    <n v="542.94000000000005"/>
    <n v="3"/>
    <n v="141.1644"/>
    <x v="2"/>
    <x v="1"/>
    <x v="4"/>
  </r>
  <r>
    <s v="CA-2017-147228"/>
    <d v="2017-09-09T00:00:00"/>
    <d v="2017-09-14T00:00:00"/>
    <x v="1"/>
    <s v="SO-20335"/>
    <s v="Sean O'Donnell"/>
    <x v="0"/>
    <x v="11"/>
    <x v="9"/>
    <x v="0"/>
    <s v="FUR-FU-10000023"/>
    <s v="Furniture"/>
    <x v="3"/>
    <s v="Eldon Wave Desk Accessories"/>
    <n v="14.135999999999999"/>
    <n v="3"/>
    <n v="4.2408000000000001"/>
    <x v="2"/>
    <x v="3"/>
    <x v="4"/>
  </r>
  <r>
    <s v="US-2015-126235"/>
    <d v="2015-10-15T00:00:00"/>
    <d v="2015-10-15T00:00:00"/>
    <x v="3"/>
    <s v="GA-14725"/>
    <s v="Guy Armstrong"/>
    <x v="0"/>
    <x v="189"/>
    <x v="17"/>
    <x v="3"/>
    <s v="FUR-FU-10000719"/>
    <s v="Furniture"/>
    <x v="3"/>
    <s v="DAX Cubicle Frames, 8-1/2 x 11"/>
    <n v="17.14"/>
    <n v="2"/>
    <n v="6.1703999999999999"/>
    <x v="7"/>
    <x v="1"/>
    <x v="1"/>
  </r>
  <r>
    <s v="CA-2017-168396"/>
    <d v="2017-08-03T00:00:00"/>
    <d v="2017-08-08T00:00:00"/>
    <x v="0"/>
    <s v="BD-11725"/>
    <s v="Bruce Degenhardt"/>
    <x v="0"/>
    <x v="28"/>
    <x v="2"/>
    <x v="1"/>
    <s v="FUR-FU-10000723"/>
    <s v="Furniture"/>
    <x v="3"/>
    <s v="Deflect-o EconoMat Studded, No Bevel Mat for Low Pile Carpeting"/>
    <n v="123.96"/>
    <n v="3"/>
    <n v="11.1564"/>
    <x v="2"/>
    <x v="3"/>
    <x v="10"/>
  </r>
  <r>
    <s v="CA-2015-130456"/>
    <d v="2015-08-21T00:00:00"/>
    <d v="2015-08-26T00:00:00"/>
    <x v="1"/>
    <s v="DS-13180"/>
    <s v="David Smith"/>
    <x v="1"/>
    <x v="28"/>
    <x v="2"/>
    <x v="1"/>
    <s v="FUR-BO-10003893"/>
    <s v="Furniture"/>
    <x v="0"/>
    <s v="Sauder Camden County Collection Library"/>
    <n v="586.39800000000002"/>
    <n v="6"/>
    <n v="34.494"/>
    <x v="2"/>
    <x v="1"/>
    <x v="10"/>
  </r>
  <r>
    <s v="CA-2017-130141"/>
    <d v="2017-10-22T00:00:00"/>
    <d v="2017-10-24T00:00:00"/>
    <x v="0"/>
    <s v="HA-14905"/>
    <s v="Helen Abelman"/>
    <x v="0"/>
    <x v="200"/>
    <x v="12"/>
    <x v="1"/>
    <s v="FUR-CH-10000749"/>
    <s v="Furniture"/>
    <x v="1"/>
    <s v="Office Star - Ergonomic Mid Back Chair with 2-Way Adjustable Arms"/>
    <n v="579.13599999999997"/>
    <n v="4"/>
    <n v="-28.956800000000001"/>
    <x v="3"/>
    <x v="3"/>
    <x v="1"/>
  </r>
  <r>
    <s v="CA-2016-143910"/>
    <d v="2016-08-12T00:00:00"/>
    <d v="2016-08-16T00:00:00"/>
    <x v="1"/>
    <s v="BC-11125"/>
    <s v="Becky Castell"/>
    <x v="2"/>
    <x v="13"/>
    <x v="7"/>
    <x v="2"/>
    <s v="FUR-CH-10000225"/>
    <s v="Furniture"/>
    <x v="1"/>
    <s v="Global Geo Office Task Chair, Gray"/>
    <n v="145.76400000000001"/>
    <n v="2"/>
    <n v="-8.0980000000000008"/>
    <x v="4"/>
    <x v="0"/>
    <x v="10"/>
  </r>
  <r>
    <s v="CA-2016-139556"/>
    <d v="2016-04-26T00:00:00"/>
    <d v="2016-05-01T00:00:00"/>
    <x v="1"/>
    <s v="DB-13360"/>
    <s v="Dennis Bolton"/>
    <x v="2"/>
    <x v="13"/>
    <x v="7"/>
    <x v="2"/>
    <s v="FUR-CH-10004983"/>
    <s v="Furniture"/>
    <x v="1"/>
    <s v="Office Star - Mid Back Dual function Ergonomic High Back Chair with 2-Way Adjustable Arms"/>
    <n v="434.64600000000002"/>
    <n v="3"/>
    <n v="62.782200000000003"/>
    <x v="2"/>
    <x v="0"/>
    <x v="6"/>
  </r>
  <r>
    <s v="CA-2015-112130"/>
    <d v="2015-05-03T00:00:00"/>
    <d v="2015-05-07T00:00:00"/>
    <x v="1"/>
    <s v="SV-20785"/>
    <s v="Stewart Visinsky"/>
    <x v="0"/>
    <x v="3"/>
    <x v="3"/>
    <x v="2"/>
    <s v="FUR-CH-10002965"/>
    <s v="Furniture"/>
    <x v="1"/>
    <s v="Global Leather Highback Executive Chair with Pneumatic Height Adjustment, Black"/>
    <n v="844.11599999999999"/>
    <n v="6"/>
    <n v="-36.176400000000001"/>
    <x v="4"/>
    <x v="1"/>
    <x v="7"/>
  </r>
  <r>
    <s v="CA-2016-116547"/>
    <d v="2016-01-10T00:00:00"/>
    <d v="2016-01-17T00:00:00"/>
    <x v="1"/>
    <s v="KB-16585"/>
    <s v="Ken Black"/>
    <x v="1"/>
    <x v="15"/>
    <x v="13"/>
    <x v="1"/>
    <s v="FUR-FU-10000076"/>
    <s v="Furniture"/>
    <x v="3"/>
    <s v="24-Hour Round Wall Clock"/>
    <n v="79.92"/>
    <n v="4"/>
    <n v="34.365600000000001"/>
    <x v="1"/>
    <x v="0"/>
    <x v="8"/>
  </r>
  <r>
    <s v="US-2017-133200"/>
    <d v="2017-05-06T00:00:00"/>
    <d v="2017-05-11T00:00:00"/>
    <x v="1"/>
    <s v="DB-13555"/>
    <s v="Dorothy Badders"/>
    <x v="1"/>
    <x v="50"/>
    <x v="5"/>
    <x v="3"/>
    <s v="FUR-BO-10001601"/>
    <s v="Furniture"/>
    <x v="0"/>
    <s v="Sauder Mission Library with Doors, Fruitwood Finish"/>
    <n v="623.46479999999997"/>
    <n v="7"/>
    <n v="-119.1918"/>
    <x v="2"/>
    <x v="3"/>
    <x v="7"/>
  </r>
  <r>
    <s v="CA-2016-133550"/>
    <d v="2016-07-31T00:00:00"/>
    <d v="2016-08-06T00:00:00"/>
    <x v="1"/>
    <s v="KL-16645"/>
    <s v="Ken Lonsdale"/>
    <x v="0"/>
    <x v="25"/>
    <x v="17"/>
    <x v="3"/>
    <s v="FUR-FU-10002918"/>
    <s v="Furniture"/>
    <x v="3"/>
    <s v="Eldon ClusterMat Chair Mat with Cordless Antistatic Protection"/>
    <n v="272.94"/>
    <n v="3"/>
    <n v="30.023399999999999"/>
    <x v="6"/>
    <x v="0"/>
    <x v="3"/>
  </r>
  <r>
    <s v="CA-2017-139416"/>
    <d v="2017-03-27T00:00:00"/>
    <d v="2017-03-29T00:00:00"/>
    <x v="0"/>
    <s v="AG-10270"/>
    <s v="Alejandro Grove"/>
    <x v="0"/>
    <x v="3"/>
    <x v="3"/>
    <x v="2"/>
    <s v="FUR-FU-10003832"/>
    <s v="Furniture"/>
    <x v="3"/>
    <s v="Eldon Expressions Punched Metal &amp; Wood Desk Accessories, Black &amp; Cherry"/>
    <n v="15.007999999999999"/>
    <n v="2"/>
    <n v="1.5007999999999999"/>
    <x v="3"/>
    <x v="3"/>
    <x v="9"/>
  </r>
  <r>
    <s v="CA-2016-159912"/>
    <d v="2016-08-29T00:00:00"/>
    <d v="2016-09-03T00:00:00"/>
    <x v="1"/>
    <s v="GB-14530"/>
    <s v="George Bell"/>
    <x v="1"/>
    <x v="3"/>
    <x v="3"/>
    <x v="2"/>
    <s v="FUR-TA-10004152"/>
    <s v="Furniture"/>
    <x v="2"/>
    <s v="Barricks 18&quot; x 48&quot; Non-Folding Utility Table with Bottom Storage Shelf"/>
    <n v="241.92"/>
    <n v="4"/>
    <n v="-56.448"/>
    <x v="2"/>
    <x v="0"/>
    <x v="10"/>
  </r>
  <r>
    <s v="CA-2016-159912"/>
    <d v="2016-08-29T00:00:00"/>
    <d v="2016-09-03T00:00:00"/>
    <x v="1"/>
    <s v="GB-14530"/>
    <s v="George Bell"/>
    <x v="1"/>
    <x v="3"/>
    <x v="3"/>
    <x v="2"/>
    <s v="FUR-BO-10002853"/>
    <s v="Furniture"/>
    <x v="0"/>
    <s v="O'Sullivan 5-Shelf Heavy-Duty Bookcases"/>
    <n v="163.88"/>
    <n v="4"/>
    <n v="-81.94"/>
    <x v="2"/>
    <x v="0"/>
    <x v="10"/>
  </r>
  <r>
    <s v="CA-2014-138681"/>
    <d v="2014-12-20T00:00:00"/>
    <d v="2014-12-22T00:00:00"/>
    <x v="2"/>
    <s v="CT-11995"/>
    <s v="Carol Triggs"/>
    <x v="0"/>
    <x v="104"/>
    <x v="22"/>
    <x v="1"/>
    <s v="FUR-FU-10001876"/>
    <s v="Furniture"/>
    <x v="3"/>
    <s v="Computer Room Manger, 14&quot;"/>
    <n v="51.968000000000004"/>
    <n v="2"/>
    <n v="10.393599999999999"/>
    <x v="3"/>
    <x v="2"/>
    <x v="5"/>
  </r>
  <r>
    <s v="CA-2014-138681"/>
    <d v="2014-12-20T00:00:00"/>
    <d v="2014-12-22T00:00:00"/>
    <x v="2"/>
    <s v="CT-11995"/>
    <s v="Carol Triggs"/>
    <x v="0"/>
    <x v="104"/>
    <x v="22"/>
    <x v="1"/>
    <s v="FUR-CH-10004860"/>
    <s v="Furniture"/>
    <x v="1"/>
    <s v="Global Low Back Tilter Chair"/>
    <n v="242.352"/>
    <n v="3"/>
    <n v="-42.4116"/>
    <x v="3"/>
    <x v="2"/>
    <x v="5"/>
  </r>
  <r>
    <s v="US-2015-138121"/>
    <d v="2015-12-17T00:00:00"/>
    <d v="2015-12-17T00:00:00"/>
    <x v="3"/>
    <s v="JL-15835"/>
    <s v="John Lee"/>
    <x v="0"/>
    <x v="25"/>
    <x v="17"/>
    <x v="3"/>
    <s v="FUR-CH-10003846"/>
    <s v="Furniture"/>
    <x v="1"/>
    <s v="Hon Valutask Swivel Chairs"/>
    <n v="302.94"/>
    <n v="3"/>
    <n v="48.470399999999998"/>
    <x v="7"/>
    <x v="1"/>
    <x v="5"/>
  </r>
  <r>
    <s v="US-2015-138121"/>
    <d v="2015-12-17T00:00:00"/>
    <d v="2015-12-17T00:00:00"/>
    <x v="3"/>
    <s v="JL-15835"/>
    <s v="John Lee"/>
    <x v="0"/>
    <x v="25"/>
    <x v="17"/>
    <x v="3"/>
    <s v="FUR-CH-10004875"/>
    <s v="Furniture"/>
    <x v="1"/>
    <s v="Harbour Creations 67200 Series Stacking Chairs"/>
    <n v="142.36000000000001"/>
    <n v="2"/>
    <n v="38.437199999999997"/>
    <x v="7"/>
    <x v="1"/>
    <x v="5"/>
  </r>
  <r>
    <s v="US-2015-138121"/>
    <d v="2015-12-17T00:00:00"/>
    <d v="2015-12-17T00:00:00"/>
    <x v="3"/>
    <s v="JL-15835"/>
    <s v="John Lee"/>
    <x v="0"/>
    <x v="25"/>
    <x v="17"/>
    <x v="3"/>
    <s v="FUR-CH-10003817"/>
    <s v="Furniture"/>
    <x v="1"/>
    <s v="Global Value Steno Chair, Gray"/>
    <n v="546.66"/>
    <n v="9"/>
    <n v="136.66499999999999"/>
    <x v="7"/>
    <x v="1"/>
    <x v="5"/>
  </r>
  <r>
    <s v="US-2015-138121"/>
    <d v="2015-12-17T00:00:00"/>
    <d v="2015-12-17T00:00:00"/>
    <x v="3"/>
    <s v="JL-15835"/>
    <s v="John Lee"/>
    <x v="0"/>
    <x v="25"/>
    <x v="17"/>
    <x v="3"/>
    <s v="FUR-FU-10002116"/>
    <s v="Furniture"/>
    <x v="3"/>
    <s v="Tenex Carpeted, Granite-Look or Clear Contemporary Contour Shape Chair Mats"/>
    <n v="212.13"/>
    <n v="3"/>
    <n v="14.8491"/>
    <x v="7"/>
    <x v="1"/>
    <x v="5"/>
  </r>
  <r>
    <s v="CA-2017-140298"/>
    <d v="2017-05-11T00:00:00"/>
    <d v="2017-05-17T00:00:00"/>
    <x v="1"/>
    <s v="JK-16120"/>
    <s v="Julie Kriz"/>
    <x v="2"/>
    <x v="198"/>
    <x v="5"/>
    <x v="3"/>
    <s v="FUR-FU-10001967"/>
    <s v="Furniture"/>
    <x v="3"/>
    <s v="Telescoping Adjustable Floor Lamp"/>
    <n v="7.9960000000000004"/>
    <n v="1"/>
    <n v="-6.9965000000000002"/>
    <x v="6"/>
    <x v="3"/>
    <x v="7"/>
  </r>
  <r>
    <s v="CA-2016-158435"/>
    <d v="2016-05-17T00:00:00"/>
    <d v="2016-05-18T00:00:00"/>
    <x v="2"/>
    <s v="AG-10900"/>
    <s v="Arthur Gainer"/>
    <x v="0"/>
    <x v="251"/>
    <x v="19"/>
    <x v="2"/>
    <s v="FUR-FU-10003975"/>
    <s v="Furniture"/>
    <x v="3"/>
    <s v="Eldon Advantage Chair Mats for Low to Medium Pile Carpets"/>
    <n v="173.24"/>
    <n v="4"/>
    <n v="17.324000000000002"/>
    <x v="5"/>
    <x v="0"/>
    <x v="7"/>
  </r>
  <r>
    <s v="CA-2014-108273"/>
    <d v="2014-12-16T00:00:00"/>
    <d v="2014-12-21T00:00:00"/>
    <x v="1"/>
    <s v="EJ-13720"/>
    <s v="Ed Jacobs"/>
    <x v="0"/>
    <x v="156"/>
    <x v="5"/>
    <x v="3"/>
    <s v="FUR-FU-10002116"/>
    <s v="Furniture"/>
    <x v="3"/>
    <s v="Tenex Carpeted, Granite-Look or Clear Contemporary Contour Shape Chair Mats"/>
    <n v="56.567999999999998"/>
    <n v="2"/>
    <n v="-74.952600000000004"/>
    <x v="2"/>
    <x v="2"/>
    <x v="5"/>
  </r>
  <r>
    <s v="CA-2017-143126"/>
    <d v="2017-12-03T00:00:00"/>
    <d v="2017-12-07T00:00:00"/>
    <x v="0"/>
    <s v="CM-12655"/>
    <s v="Corinna Mitchell"/>
    <x v="2"/>
    <x v="15"/>
    <x v="13"/>
    <x v="1"/>
    <s v="FUR-TA-10002958"/>
    <s v="Furniture"/>
    <x v="2"/>
    <s v="Bevis Oval Conference Table, Walnut"/>
    <n v="521.96"/>
    <n v="2"/>
    <n v="88.733199999999997"/>
    <x v="4"/>
    <x v="3"/>
    <x v="5"/>
  </r>
  <r>
    <s v="CA-2014-106229"/>
    <d v="2014-06-07T00:00:00"/>
    <d v="2014-06-11T00:00:00"/>
    <x v="0"/>
    <s v="NR-18550"/>
    <s v="Nick Radford"/>
    <x v="0"/>
    <x v="14"/>
    <x v="8"/>
    <x v="3"/>
    <s v="FUR-TA-10002041"/>
    <s v="Furniture"/>
    <x v="2"/>
    <s v="Bevis Round Conference Table Top, X-Base"/>
    <n v="268.935"/>
    <n v="3"/>
    <n v="-209.76929999999999"/>
    <x v="4"/>
    <x v="2"/>
    <x v="2"/>
  </r>
  <r>
    <s v="CA-2014-119151"/>
    <d v="2014-11-25T00:00:00"/>
    <d v="2014-11-29T00:00:00"/>
    <x v="0"/>
    <s v="MP-18175"/>
    <s v="Mike Pelletier"/>
    <x v="2"/>
    <x v="13"/>
    <x v="7"/>
    <x v="2"/>
    <s v="FUR-BO-10003159"/>
    <s v="Furniture"/>
    <x v="0"/>
    <s v="Sauder Camden County Collection Libraries, Planked Cherry Finish"/>
    <n v="275.952"/>
    <n v="3"/>
    <n v="-37.943399999999997"/>
    <x v="4"/>
    <x v="2"/>
    <x v="0"/>
  </r>
  <r>
    <s v="US-2015-103996"/>
    <d v="2015-03-29T00:00:00"/>
    <d v="2015-03-31T00:00:00"/>
    <x v="0"/>
    <s v="RB-19435"/>
    <s v="Richard Bierner"/>
    <x v="0"/>
    <x v="53"/>
    <x v="2"/>
    <x v="1"/>
    <s v="FUR-FU-10004586"/>
    <s v="Furniture"/>
    <x v="3"/>
    <s v="G.E. Longer-Life Indoor Recessed Floodlight Bulbs"/>
    <n v="19.920000000000002"/>
    <n v="3"/>
    <n v="9.5616000000000003"/>
    <x v="3"/>
    <x v="1"/>
    <x v="9"/>
  </r>
  <r>
    <s v="CA-2016-120530"/>
    <d v="2016-04-07T00:00:00"/>
    <d v="2016-04-12T00:00:00"/>
    <x v="1"/>
    <s v="Dl-13600"/>
    <s v="Dorris liebe"/>
    <x v="1"/>
    <x v="13"/>
    <x v="7"/>
    <x v="2"/>
    <s v="FUR-CH-10000454"/>
    <s v="Furniture"/>
    <x v="1"/>
    <s v="Hon Deluxe Fabric Upholstered Stacking Chairs, Rounded Back"/>
    <n v="658.74599999999998"/>
    <n v="3"/>
    <n v="146.38800000000001"/>
    <x v="2"/>
    <x v="0"/>
    <x v="6"/>
  </r>
  <r>
    <s v="CA-2015-105725"/>
    <d v="2015-02-18T00:00:00"/>
    <d v="2015-02-24T00:00:00"/>
    <x v="1"/>
    <s v="GT-14755"/>
    <s v="Guy Thornton"/>
    <x v="0"/>
    <x v="62"/>
    <x v="2"/>
    <x v="1"/>
    <s v="FUR-TA-10001676"/>
    <s v="Furniture"/>
    <x v="2"/>
    <s v="Hon 61000 Series Interactive Training Tables"/>
    <n v="35.543999999999997"/>
    <n v="1"/>
    <n v="-0.88859999999999995"/>
    <x v="6"/>
    <x v="1"/>
    <x v="11"/>
  </r>
  <r>
    <s v="CA-2016-120005"/>
    <d v="2016-03-03T00:00:00"/>
    <d v="2016-03-03T00:00:00"/>
    <x v="3"/>
    <s v="TS-21160"/>
    <s v="Theresa Swint"/>
    <x v="1"/>
    <x v="28"/>
    <x v="2"/>
    <x v="1"/>
    <s v="FUR-FU-10000672"/>
    <s v="Furniture"/>
    <x v="3"/>
    <s v="Executive Impressions 10&quot; Spectator Wall Clock"/>
    <n v="35.28"/>
    <n v="3"/>
    <n v="11.995200000000001"/>
    <x v="7"/>
    <x v="0"/>
    <x v="9"/>
  </r>
  <r>
    <s v="CA-2017-103499"/>
    <d v="2017-11-20T00:00:00"/>
    <d v="2017-11-24T00:00:00"/>
    <x v="1"/>
    <s v="ES-14020"/>
    <s v="Erica Smith"/>
    <x v="0"/>
    <x v="38"/>
    <x v="9"/>
    <x v="0"/>
    <s v="FUR-CH-10001482"/>
    <s v="Furniture"/>
    <x v="1"/>
    <s v="Office Star - Mesh Screen back chair with Vinyl seat"/>
    <n v="209.56800000000001"/>
    <n v="2"/>
    <n v="-23.5764"/>
    <x v="4"/>
    <x v="3"/>
    <x v="0"/>
  </r>
  <r>
    <s v="CA-2017-119746"/>
    <d v="2017-11-23T00:00:00"/>
    <d v="2017-11-27T00:00:00"/>
    <x v="1"/>
    <s v="CM-12385"/>
    <s v="Christopher Martinez"/>
    <x v="0"/>
    <x v="9"/>
    <x v="8"/>
    <x v="3"/>
    <s v="FUR-FU-10004909"/>
    <s v="Furniture"/>
    <x v="3"/>
    <s v="Contemporary Wood/Metal Frame"/>
    <n v="6.4640000000000004"/>
    <n v="1"/>
    <n v="-4.04"/>
    <x v="4"/>
    <x v="3"/>
    <x v="0"/>
  </r>
  <r>
    <s v="CA-2014-150301"/>
    <d v="2014-07-08T00:00:00"/>
    <d v="2014-07-10T00:00:00"/>
    <x v="2"/>
    <s v="MH-18025"/>
    <s v="Michelle Huthwaite"/>
    <x v="0"/>
    <x v="252"/>
    <x v="7"/>
    <x v="2"/>
    <s v="FUR-CH-10002647"/>
    <s v="Furniture"/>
    <x v="1"/>
    <s v="Situations Contoured Folding Chairs, 4/Set"/>
    <n v="63.881999999999998"/>
    <n v="1"/>
    <n v="10.647"/>
    <x v="3"/>
    <x v="2"/>
    <x v="3"/>
  </r>
  <r>
    <s v="CA-2014-159310"/>
    <d v="2014-11-07T00:00:00"/>
    <d v="2014-11-12T00:00:00"/>
    <x v="1"/>
    <s v="SC-20725"/>
    <s v="Steven Cartwright"/>
    <x v="0"/>
    <x v="6"/>
    <x v="5"/>
    <x v="3"/>
    <s v="FUR-CH-10002758"/>
    <s v="Furniture"/>
    <x v="1"/>
    <s v="Hon Deluxe Fabric Upholstered Stacking Chairs, Squared Back"/>
    <n v="683.14400000000001"/>
    <n v="4"/>
    <n v="0"/>
    <x v="2"/>
    <x v="2"/>
    <x v="0"/>
  </r>
  <r>
    <s v="CA-2015-104346"/>
    <d v="2015-12-11T00:00:00"/>
    <d v="2015-12-16T00:00:00"/>
    <x v="1"/>
    <s v="IM-15070"/>
    <s v="Irene Maddox"/>
    <x v="0"/>
    <x v="30"/>
    <x v="12"/>
    <x v="1"/>
    <s v="FUR-BO-10003450"/>
    <s v="Furniture"/>
    <x v="0"/>
    <s v="Bush Westfield Collection Bookcases, Dark Cherry Finish"/>
    <n v="69.575999999999993"/>
    <n v="4"/>
    <n v="-143.79040000000001"/>
    <x v="2"/>
    <x v="1"/>
    <x v="5"/>
  </r>
  <r>
    <s v="CA-2015-104346"/>
    <d v="2015-12-11T00:00:00"/>
    <d v="2015-12-16T00:00:00"/>
    <x v="1"/>
    <s v="IM-15070"/>
    <s v="Irene Maddox"/>
    <x v="0"/>
    <x v="30"/>
    <x v="12"/>
    <x v="1"/>
    <s v="FUR-FU-10002456"/>
    <s v="Furniture"/>
    <x v="3"/>
    <s v="Master Caster Door Stop, Large Neon Orange"/>
    <n v="52.415999999999997"/>
    <n v="9"/>
    <n v="15.069599999999999"/>
    <x v="2"/>
    <x v="1"/>
    <x v="5"/>
  </r>
  <r>
    <s v="CA-2015-104346"/>
    <d v="2015-12-11T00:00:00"/>
    <d v="2015-12-16T00:00:00"/>
    <x v="1"/>
    <s v="IM-15070"/>
    <s v="Irene Maddox"/>
    <x v="0"/>
    <x v="30"/>
    <x v="12"/>
    <x v="1"/>
    <s v="FUR-FU-10001473"/>
    <s v="Furniture"/>
    <x v="3"/>
    <s v="DAX Wood Document Frame"/>
    <n v="54.92"/>
    <n v="5"/>
    <n v="10.984"/>
    <x v="2"/>
    <x v="1"/>
    <x v="5"/>
  </r>
  <r>
    <s v="CA-2015-104346"/>
    <d v="2015-12-11T00:00:00"/>
    <d v="2015-12-16T00:00:00"/>
    <x v="1"/>
    <s v="IM-15070"/>
    <s v="Irene Maddox"/>
    <x v="0"/>
    <x v="30"/>
    <x v="12"/>
    <x v="1"/>
    <s v="FUR-TA-10000849"/>
    <s v="Furniture"/>
    <x v="2"/>
    <s v="Bevis Rectangular Conference Tables"/>
    <n v="364.95"/>
    <n v="5"/>
    <n v="-248.166"/>
    <x v="2"/>
    <x v="1"/>
    <x v="5"/>
  </r>
  <r>
    <s v="CA-2015-144722"/>
    <d v="2015-03-16T00:00:00"/>
    <d v="2015-03-23T00:00:00"/>
    <x v="1"/>
    <s v="MF-18250"/>
    <s v="Monica Federle"/>
    <x v="1"/>
    <x v="2"/>
    <x v="2"/>
    <x v="1"/>
    <s v="FUR-FU-10001215"/>
    <s v="Furniture"/>
    <x v="3"/>
    <s v="Howard Miller 11-1/2&quot; Diameter Brentwood Wall Clock"/>
    <n v="43.13"/>
    <n v="1"/>
    <n v="18.114599999999999"/>
    <x v="1"/>
    <x v="1"/>
    <x v="9"/>
  </r>
  <r>
    <s v="US-2016-148901"/>
    <d v="2016-05-14T00:00:00"/>
    <d v="2016-05-19T00:00:00"/>
    <x v="1"/>
    <s v="MK-17905"/>
    <s v="Michael Kennedy"/>
    <x v="1"/>
    <x v="51"/>
    <x v="1"/>
    <x v="0"/>
    <s v="FUR-FU-10002396"/>
    <s v="Furniture"/>
    <x v="3"/>
    <s v="DAX Copper Panel Document Frame, 5 x 7 Size"/>
    <n v="30.192"/>
    <n v="3"/>
    <n v="8.3027999999999995"/>
    <x v="2"/>
    <x v="0"/>
    <x v="7"/>
  </r>
  <r>
    <s v="CA-2017-136364"/>
    <d v="2017-07-13T00:00:00"/>
    <d v="2017-07-17T00:00:00"/>
    <x v="0"/>
    <s v="MH-17455"/>
    <s v="Mark Hamilton"/>
    <x v="0"/>
    <x v="3"/>
    <x v="3"/>
    <x v="2"/>
    <s v="FUR-FU-10002501"/>
    <s v="Furniture"/>
    <x v="3"/>
    <s v="Nu-Dell Executive Frame"/>
    <n v="91.007999999999996"/>
    <n v="9"/>
    <n v="19.339200000000002"/>
    <x v="4"/>
    <x v="3"/>
    <x v="3"/>
  </r>
  <r>
    <s v="CA-2016-121370"/>
    <d v="2016-11-14T00:00:00"/>
    <d v="2016-11-19T00:00:00"/>
    <x v="0"/>
    <s v="EB-14110"/>
    <s v="Eugene Barchas"/>
    <x v="0"/>
    <x v="3"/>
    <x v="3"/>
    <x v="2"/>
    <s v="FUR-CH-10000785"/>
    <s v="Furniture"/>
    <x v="1"/>
    <s v="Global Ergonomic Managers Chair"/>
    <n v="380.05799999999999"/>
    <n v="3"/>
    <n v="-21.717600000000001"/>
    <x v="2"/>
    <x v="0"/>
    <x v="0"/>
  </r>
  <r>
    <s v="CA-2016-121370"/>
    <d v="2016-11-14T00:00:00"/>
    <d v="2016-11-19T00:00:00"/>
    <x v="0"/>
    <s v="EB-14110"/>
    <s v="Eugene Barchas"/>
    <x v="0"/>
    <x v="3"/>
    <x v="3"/>
    <x v="2"/>
    <s v="FUR-FU-10002813"/>
    <s v="Furniture"/>
    <x v="3"/>
    <s v="DAX Contemporary Wood Frame with Silver Metal Mat, Desktop, 11 x 14 Size"/>
    <n v="48.576000000000001"/>
    <n v="3"/>
    <n v="9.7151999999999994"/>
    <x v="2"/>
    <x v="0"/>
    <x v="0"/>
  </r>
  <r>
    <s v="CA-2016-140018"/>
    <d v="2016-11-21T00:00:00"/>
    <d v="2016-11-26T00:00:00"/>
    <x v="1"/>
    <s v="CK-12205"/>
    <s v="Chloris Kastensmidt"/>
    <x v="0"/>
    <x v="29"/>
    <x v="15"/>
    <x v="2"/>
    <s v="FUR-CH-10003817"/>
    <s v="Furniture"/>
    <x v="1"/>
    <s v="Global Value Steno Chair, Gray"/>
    <n v="127.554"/>
    <n v="3"/>
    <n v="-9.1110000000000007"/>
    <x v="2"/>
    <x v="0"/>
    <x v="0"/>
  </r>
  <r>
    <s v="CA-2016-140018"/>
    <d v="2016-11-21T00:00:00"/>
    <d v="2016-11-26T00:00:00"/>
    <x v="1"/>
    <s v="CK-12205"/>
    <s v="Chloris Kastensmidt"/>
    <x v="0"/>
    <x v="29"/>
    <x v="15"/>
    <x v="2"/>
    <s v="FUR-FU-10001876"/>
    <s v="Furniture"/>
    <x v="3"/>
    <s v="Computer Room Manger, 14&quot;"/>
    <n v="77.951999999999998"/>
    <n v="3"/>
    <n v="15.590400000000001"/>
    <x v="2"/>
    <x v="0"/>
    <x v="0"/>
  </r>
  <r>
    <s v="CA-2017-154123"/>
    <d v="2017-11-20T00:00:00"/>
    <d v="2017-11-25T00:00:00"/>
    <x v="1"/>
    <s v="SC-20050"/>
    <s v="Sample Company A"/>
    <x v="2"/>
    <x v="0"/>
    <x v="0"/>
    <x v="0"/>
    <s v="FUR-FU-10000629"/>
    <s v="Furniture"/>
    <x v="3"/>
    <s v="9-3/4 Diameter Round Wall Clock"/>
    <n v="27.58"/>
    <n v="2"/>
    <n v="11.583600000000001"/>
    <x v="2"/>
    <x v="3"/>
    <x v="0"/>
  </r>
  <r>
    <s v="CA-2014-107818"/>
    <d v="2014-09-08T00:00:00"/>
    <d v="2014-09-14T00:00:00"/>
    <x v="1"/>
    <s v="MC-17275"/>
    <s v="Marc Crier"/>
    <x v="0"/>
    <x v="253"/>
    <x v="13"/>
    <x v="1"/>
    <s v="FUR-CH-10000454"/>
    <s v="Furniture"/>
    <x v="1"/>
    <s v="Hon Deluxe Fabric Upholstered Stacking Chairs, Rounded Back"/>
    <n v="975.92"/>
    <n v="5"/>
    <n v="121.99"/>
    <x v="6"/>
    <x v="2"/>
    <x v="4"/>
  </r>
  <r>
    <s v="CA-2014-113320"/>
    <d v="2014-12-12T00:00:00"/>
    <d v="2014-12-15T00:00:00"/>
    <x v="0"/>
    <s v="LH-17155"/>
    <s v="Logan Haushalter"/>
    <x v="0"/>
    <x v="121"/>
    <x v="2"/>
    <x v="1"/>
    <s v="FUR-FU-10004270"/>
    <s v="Furniture"/>
    <x v="3"/>
    <s v="Eldon Image Series Desk Accessories, Burgundy"/>
    <n v="12.54"/>
    <n v="3"/>
    <n v="4.5144000000000002"/>
    <x v="0"/>
    <x v="2"/>
    <x v="5"/>
  </r>
  <r>
    <s v="CA-2014-113320"/>
    <d v="2014-12-12T00:00:00"/>
    <d v="2014-12-15T00:00:00"/>
    <x v="0"/>
    <s v="LH-17155"/>
    <s v="Logan Haushalter"/>
    <x v="0"/>
    <x v="121"/>
    <x v="2"/>
    <x v="1"/>
    <s v="FUR-FU-10001706"/>
    <s v="Furniture"/>
    <x v="3"/>
    <s v="Longer-Life Soft White Bulbs"/>
    <n v="9.24"/>
    <n v="3"/>
    <n v="4.4352"/>
    <x v="0"/>
    <x v="2"/>
    <x v="5"/>
  </r>
  <r>
    <s v="CA-2015-137526"/>
    <d v="2015-01-13T00:00:00"/>
    <d v="2015-01-17T00:00:00"/>
    <x v="1"/>
    <s v="PB-19150"/>
    <s v="Philip Brown"/>
    <x v="0"/>
    <x v="2"/>
    <x v="2"/>
    <x v="1"/>
    <s v="FUR-FU-10001861"/>
    <s v="Furniture"/>
    <x v="3"/>
    <s v="Floodlight Indoor Halogen Bulbs, 1 Bulb per Pack, 60 Watts"/>
    <n v="77.599999999999994"/>
    <n v="4"/>
    <n v="38.024000000000001"/>
    <x v="4"/>
    <x v="1"/>
    <x v="8"/>
  </r>
  <r>
    <s v="CA-2015-137526"/>
    <d v="2015-01-13T00:00:00"/>
    <d v="2015-01-17T00:00:00"/>
    <x v="1"/>
    <s v="PB-19150"/>
    <s v="Philip Brown"/>
    <x v="0"/>
    <x v="2"/>
    <x v="2"/>
    <x v="1"/>
    <s v="FUR-FU-10004845"/>
    <s v="Furniture"/>
    <x v="3"/>
    <s v="Deflect-o EconoMat Nonstudded, No Bevel Mat"/>
    <n v="464.85"/>
    <n v="9"/>
    <n v="92.97"/>
    <x v="4"/>
    <x v="1"/>
    <x v="8"/>
  </r>
  <r>
    <s v="CA-2017-122490"/>
    <d v="2017-11-13T00:00:00"/>
    <d v="2017-11-18T00:00:00"/>
    <x v="1"/>
    <s v="TT-21070"/>
    <s v="Ted Trevino"/>
    <x v="0"/>
    <x v="15"/>
    <x v="13"/>
    <x v="1"/>
    <s v="FUR-CH-10001215"/>
    <s v="Furniture"/>
    <x v="1"/>
    <s v="Global Troy Executive Leather Low-Back Tilter"/>
    <n v="2404.7040000000002"/>
    <n v="6"/>
    <n v="150.29400000000001"/>
    <x v="2"/>
    <x v="3"/>
    <x v="0"/>
  </r>
  <r>
    <s v="CA-2017-143567"/>
    <d v="2017-11-02T00:00:00"/>
    <d v="2017-11-05T00:00:00"/>
    <x v="0"/>
    <s v="TB-21175"/>
    <s v="Thomas Boland"/>
    <x v="1"/>
    <x v="0"/>
    <x v="0"/>
    <x v="0"/>
    <s v="FUR-CH-10000454"/>
    <s v="Furniture"/>
    <x v="1"/>
    <s v="Hon Deluxe Fabric Upholstered Stacking Chairs, Rounded Back"/>
    <n v="975.92"/>
    <n v="4"/>
    <n v="292.77600000000001"/>
    <x v="0"/>
    <x v="3"/>
    <x v="0"/>
  </r>
  <r>
    <s v="CA-2016-163167"/>
    <d v="2016-11-28T00:00:00"/>
    <d v="2016-12-01T00:00:00"/>
    <x v="0"/>
    <s v="RF-19345"/>
    <s v="Randy Ferguson"/>
    <x v="1"/>
    <x v="254"/>
    <x v="24"/>
    <x v="0"/>
    <s v="FUR-CH-10004477"/>
    <s v="Furniture"/>
    <x v="1"/>
    <s v="Global Push Button Manager's Chair, Indigo"/>
    <n v="182.67"/>
    <n v="3"/>
    <n v="52.974299999999999"/>
    <x v="0"/>
    <x v="0"/>
    <x v="0"/>
  </r>
  <r>
    <s v="US-2014-122021"/>
    <d v="2014-10-15T00:00:00"/>
    <d v="2014-10-17T00:00:00"/>
    <x v="2"/>
    <s v="AC-10660"/>
    <s v="Anna Chung"/>
    <x v="0"/>
    <x v="255"/>
    <x v="15"/>
    <x v="2"/>
    <s v="FUR-CH-10003761"/>
    <s v="Furniture"/>
    <x v="1"/>
    <s v="Global Italian Leather Office Chair"/>
    <n v="183.37200000000001"/>
    <n v="2"/>
    <n v="-7.8587999999999996"/>
    <x v="3"/>
    <x v="2"/>
    <x v="1"/>
  </r>
  <r>
    <s v="US-2014-161613"/>
    <d v="2014-12-01T00:00:00"/>
    <d v="2014-12-03T00:00:00"/>
    <x v="0"/>
    <s v="MC-17605"/>
    <s v="Matt Connell"/>
    <x v="1"/>
    <x v="6"/>
    <x v="5"/>
    <x v="3"/>
    <s v="FUR-CH-10003746"/>
    <s v="Furniture"/>
    <x v="1"/>
    <s v="Hon 4070 Series Pagoda Round Back Stacking Chairs"/>
    <n v="674.05799999999999"/>
    <n v="3"/>
    <n v="-19.258800000000001"/>
    <x v="3"/>
    <x v="2"/>
    <x v="5"/>
  </r>
  <r>
    <s v="CA-2017-163125"/>
    <d v="2017-10-09T00:00:00"/>
    <d v="2017-10-11T00:00:00"/>
    <x v="0"/>
    <s v="MB-17305"/>
    <s v="Maria Bertelson"/>
    <x v="0"/>
    <x v="256"/>
    <x v="5"/>
    <x v="3"/>
    <s v="FUR-CH-10001802"/>
    <s v="Furniture"/>
    <x v="1"/>
    <s v="Hon Every-Day Chair Series Swivel Task Chairs"/>
    <n v="254.05799999999999"/>
    <n v="3"/>
    <n v="-32.6646"/>
    <x v="3"/>
    <x v="3"/>
    <x v="1"/>
  </r>
  <r>
    <s v="CA-2016-160304"/>
    <d v="2016-01-02T00:00:00"/>
    <d v="2016-01-07T00:00:00"/>
    <x v="1"/>
    <s v="BM-11575"/>
    <s v="Brendan Murry"/>
    <x v="1"/>
    <x v="257"/>
    <x v="32"/>
    <x v="2"/>
    <s v="FUR-BO-10004709"/>
    <s v="Furniture"/>
    <x v="0"/>
    <s v="Bush Westfield Collection Bookcases, Medium Cherry Finish"/>
    <n v="173.94"/>
    <n v="3"/>
    <n v="38.266800000000003"/>
    <x v="2"/>
    <x v="0"/>
    <x v="8"/>
  </r>
  <r>
    <s v="CA-2017-117653"/>
    <d v="2017-10-19T00:00:00"/>
    <d v="2017-10-23T00:00:00"/>
    <x v="1"/>
    <s v="MO-17500"/>
    <s v="Mary O'Rourke"/>
    <x v="0"/>
    <x v="9"/>
    <x v="8"/>
    <x v="3"/>
    <s v="FUR-TA-10003008"/>
    <s v="Furniture"/>
    <x v="2"/>
    <s v="Lesro Round Back Collection Coffee Table, End Table"/>
    <n v="91.275000000000006"/>
    <n v="1"/>
    <n v="-67.543499999999995"/>
    <x v="4"/>
    <x v="3"/>
    <x v="1"/>
  </r>
  <r>
    <s v="CA-2017-143245"/>
    <d v="2017-12-01T00:00:00"/>
    <d v="2017-12-06T00:00:00"/>
    <x v="1"/>
    <s v="AD-10180"/>
    <s v="Alan Dominguez"/>
    <x v="2"/>
    <x v="130"/>
    <x v="19"/>
    <x v="2"/>
    <s v="FUR-CH-10000155"/>
    <s v="Furniture"/>
    <x v="1"/>
    <s v="Global Comet Stacking Armless Chair"/>
    <n v="897.15"/>
    <n v="3"/>
    <n v="251.202"/>
    <x v="2"/>
    <x v="3"/>
    <x v="5"/>
  </r>
  <r>
    <s v="CA-2014-157147"/>
    <d v="2014-01-13T00:00:00"/>
    <d v="2014-01-18T00:00:00"/>
    <x v="1"/>
    <s v="BD-11605"/>
    <s v="Brian Dahlen"/>
    <x v="0"/>
    <x v="28"/>
    <x v="2"/>
    <x v="1"/>
    <s v="FUR-BO-10003034"/>
    <s v="Furniture"/>
    <x v="0"/>
    <s v="O'Sullivan Elevations Bookcase, Cherry Finish"/>
    <n v="333.99900000000002"/>
    <n v="3"/>
    <n v="3.9293999999999998"/>
    <x v="2"/>
    <x v="2"/>
    <x v="8"/>
  </r>
  <r>
    <s v="CA-2015-156482"/>
    <d v="2015-02-06T00:00:00"/>
    <d v="2015-02-13T00:00:00"/>
    <x v="1"/>
    <s v="IL-15100"/>
    <s v="Ivan Liston"/>
    <x v="0"/>
    <x v="16"/>
    <x v="14"/>
    <x v="2"/>
    <s v="FUR-CH-10001708"/>
    <s v="Furniture"/>
    <x v="1"/>
    <s v="Office Star - Contemporary Swivel Chair with Padded Adjustable Arms and Flex Back"/>
    <n v="1268.82"/>
    <n v="9"/>
    <n v="266.4522"/>
    <x v="1"/>
    <x v="1"/>
    <x v="11"/>
  </r>
  <r>
    <s v="CA-2015-156482"/>
    <d v="2015-02-06T00:00:00"/>
    <d v="2015-02-13T00:00:00"/>
    <x v="1"/>
    <s v="IL-15100"/>
    <s v="Ivan Liston"/>
    <x v="0"/>
    <x v="16"/>
    <x v="14"/>
    <x v="2"/>
    <s v="FUR-BO-10002598"/>
    <s v="Furniture"/>
    <x v="0"/>
    <s v="Hon Metal Bookcases, Putty"/>
    <n v="283.92"/>
    <n v="4"/>
    <n v="82.336799999999997"/>
    <x v="1"/>
    <x v="1"/>
    <x v="11"/>
  </r>
  <r>
    <s v="CA-2017-107125"/>
    <d v="2017-11-27T00:00:00"/>
    <d v="2017-12-02T00:00:00"/>
    <x v="1"/>
    <s v="BD-11320"/>
    <s v="Bill Donatelli"/>
    <x v="0"/>
    <x v="2"/>
    <x v="2"/>
    <x v="1"/>
    <s v="FUR-FU-10000732"/>
    <s v="Furniture"/>
    <x v="3"/>
    <s v="Eldon 200 Class Desk Accessories"/>
    <n v="18.84"/>
    <n v="3"/>
    <n v="6.0288000000000004"/>
    <x v="2"/>
    <x v="3"/>
    <x v="0"/>
  </r>
  <r>
    <s v="CA-2014-160262"/>
    <d v="2014-06-09T00:00:00"/>
    <d v="2014-06-13T00:00:00"/>
    <x v="0"/>
    <s v="TS-21205"/>
    <s v="Thomas Seio"/>
    <x v="1"/>
    <x v="111"/>
    <x v="34"/>
    <x v="1"/>
    <s v="FUR-FU-10002685"/>
    <s v="Furniture"/>
    <x v="3"/>
    <s v="Executive Impressions 13-1/2&quot; Indoor/Outdoor Wall Clock"/>
    <n v="37.4"/>
    <n v="2"/>
    <n v="14.212"/>
    <x v="4"/>
    <x v="2"/>
    <x v="2"/>
  </r>
  <r>
    <s v="CA-2014-156587"/>
    <d v="2014-03-07T00:00:00"/>
    <d v="2014-03-08T00:00:00"/>
    <x v="2"/>
    <s v="AB-10015"/>
    <s v="Aaron Bergman"/>
    <x v="0"/>
    <x v="15"/>
    <x v="13"/>
    <x v="1"/>
    <s v="FUR-CH-10004477"/>
    <s v="Furniture"/>
    <x v="1"/>
    <s v="Global Push Button Manager's Chair, Indigo"/>
    <n v="48.712000000000003"/>
    <n v="1"/>
    <n v="5.4801000000000002"/>
    <x v="5"/>
    <x v="2"/>
    <x v="9"/>
  </r>
  <r>
    <s v="CA-2015-122406"/>
    <d v="2015-08-02T00:00:00"/>
    <d v="2015-08-05T00:00:00"/>
    <x v="0"/>
    <s v="BE-11455"/>
    <s v="Brad Eason"/>
    <x v="2"/>
    <x v="134"/>
    <x v="38"/>
    <x v="2"/>
    <s v="FUR-CH-10001973"/>
    <s v="Furniture"/>
    <x v="1"/>
    <s v="Office Star Flex Back Scooter Chair with White Frame"/>
    <n v="110.98"/>
    <n v="1"/>
    <n v="15.5372"/>
    <x v="0"/>
    <x v="1"/>
    <x v="10"/>
  </r>
  <r>
    <s v="US-2016-153815"/>
    <d v="2016-11-06T00:00:00"/>
    <d v="2016-11-09T00:00:00"/>
    <x v="2"/>
    <s v="KL-16555"/>
    <s v="Kelly Lampkin"/>
    <x v="1"/>
    <x v="51"/>
    <x v="1"/>
    <x v="0"/>
    <s v="FUR-CH-10000513"/>
    <s v="Furniture"/>
    <x v="1"/>
    <s v="High-Back Leather Manager's Chair"/>
    <n v="207.98400000000001"/>
    <n v="2"/>
    <n v="-28.597799999999999"/>
    <x v="0"/>
    <x v="0"/>
    <x v="0"/>
  </r>
  <r>
    <s v="US-2016-153815"/>
    <d v="2016-11-06T00:00:00"/>
    <d v="2016-11-09T00:00:00"/>
    <x v="2"/>
    <s v="KL-16555"/>
    <s v="Kelly Lampkin"/>
    <x v="1"/>
    <x v="51"/>
    <x v="1"/>
    <x v="0"/>
    <s v="FUR-FU-10004090"/>
    <s v="Furniture"/>
    <x v="3"/>
    <s v="Executive Impressions 14&quot; Contract Wall Clock"/>
    <n v="35.567999999999998"/>
    <n v="2"/>
    <n v="5.7797999999999998"/>
    <x v="0"/>
    <x v="0"/>
    <x v="0"/>
  </r>
  <r>
    <s v="CA-2016-149279"/>
    <d v="2016-04-24T00:00:00"/>
    <d v="2016-04-28T00:00:00"/>
    <x v="1"/>
    <s v="CL-12700"/>
    <s v="Craig Leslie"/>
    <x v="2"/>
    <x v="30"/>
    <x v="12"/>
    <x v="1"/>
    <s v="FUR-CH-10004287"/>
    <s v="Furniture"/>
    <x v="1"/>
    <s v="SAFCO Arco Folding Chair"/>
    <n v="1325.76"/>
    <n v="6"/>
    <n v="149.148"/>
    <x v="4"/>
    <x v="0"/>
    <x v="6"/>
  </r>
  <r>
    <s v="CA-2015-153038"/>
    <d v="2015-12-18T00:00:00"/>
    <d v="2015-12-25T00:00:00"/>
    <x v="1"/>
    <s v="RB-19645"/>
    <s v="Robert Barroso"/>
    <x v="1"/>
    <x v="10"/>
    <x v="9"/>
    <x v="0"/>
    <s v="FUR-FU-10000221"/>
    <s v="Furniture"/>
    <x v="3"/>
    <s v="Master Caster Door Stop, Brown"/>
    <n v="20.32"/>
    <n v="5"/>
    <n v="3.556"/>
    <x v="1"/>
    <x v="1"/>
    <x v="5"/>
  </r>
  <r>
    <s v="US-2017-139647"/>
    <d v="2017-05-11T00:00:00"/>
    <d v="2017-05-13T00:00:00"/>
    <x v="2"/>
    <s v="TS-21370"/>
    <s v="Todd Sumrall"/>
    <x v="1"/>
    <x v="43"/>
    <x v="22"/>
    <x v="1"/>
    <s v="FUR-BO-10004467"/>
    <s v="Furniture"/>
    <x v="0"/>
    <s v="Bestar Classic Bookcase"/>
    <n v="209.97900000000001"/>
    <n v="7"/>
    <n v="-356.96429999999998"/>
    <x v="3"/>
    <x v="3"/>
    <x v="7"/>
  </r>
  <r>
    <s v="CA-2014-153850"/>
    <d v="2014-11-24T00:00:00"/>
    <d v="2014-11-29T00:00:00"/>
    <x v="1"/>
    <s v="TH-21100"/>
    <s v="Thea Hendricks"/>
    <x v="0"/>
    <x v="219"/>
    <x v="15"/>
    <x v="2"/>
    <s v="FUR-FU-10002960"/>
    <s v="Furniture"/>
    <x v="3"/>
    <s v="Eldon 200 Class Desk Accessories, Burgundy"/>
    <n v="35.167999999999999"/>
    <n v="7"/>
    <n v="9.6712000000000007"/>
    <x v="2"/>
    <x v="2"/>
    <x v="0"/>
  </r>
  <r>
    <s v="CA-2014-127558"/>
    <d v="2014-11-15T00:00:00"/>
    <d v="2014-11-18T00:00:00"/>
    <x v="2"/>
    <s v="SS-20410"/>
    <s v="Shahid Shariari"/>
    <x v="0"/>
    <x v="2"/>
    <x v="2"/>
    <x v="1"/>
    <s v="FUR-FU-10002505"/>
    <s v="Furniture"/>
    <x v="3"/>
    <s v="Eldon 100 Class Desk Accessories"/>
    <n v="10.11"/>
    <n v="3"/>
    <n v="3.2351999999999999"/>
    <x v="0"/>
    <x v="2"/>
    <x v="0"/>
  </r>
  <r>
    <s v="CA-2016-133795"/>
    <d v="2016-12-18T00:00:00"/>
    <d v="2016-12-24T00:00:00"/>
    <x v="1"/>
    <s v="JE-15475"/>
    <s v="Jeremy Ellison"/>
    <x v="0"/>
    <x v="53"/>
    <x v="2"/>
    <x v="1"/>
    <s v="FUR-FU-10003731"/>
    <s v="Furniture"/>
    <x v="3"/>
    <s v="Eldon Expressions Wood and Plastic Desk Accessories, Oak"/>
    <n v="39.92"/>
    <n v="4"/>
    <n v="11.1776"/>
    <x v="6"/>
    <x v="0"/>
    <x v="5"/>
  </r>
  <r>
    <s v="US-2017-130953"/>
    <d v="2017-07-29T00:00:00"/>
    <d v="2017-08-03T00:00:00"/>
    <x v="1"/>
    <s v="RF-19735"/>
    <s v="Roland Fjeld"/>
    <x v="0"/>
    <x v="258"/>
    <x v="37"/>
    <x v="3"/>
    <s v="FUR-CH-10004626"/>
    <s v="Furniture"/>
    <x v="1"/>
    <s v="Office Star Flex Back Scooter Chair with Aluminum Finish Frame"/>
    <n v="302.67"/>
    <n v="3"/>
    <n v="72.640799999999999"/>
    <x v="2"/>
    <x v="3"/>
    <x v="3"/>
  </r>
  <r>
    <s v="CA-2016-155166"/>
    <d v="2016-12-26T00:00:00"/>
    <d v="2017-01-02T00:00:00"/>
    <x v="1"/>
    <s v="BB-11545"/>
    <s v="Brenda Bowman"/>
    <x v="1"/>
    <x v="109"/>
    <x v="18"/>
    <x v="2"/>
    <s v="FUR-CH-10003968"/>
    <s v="Furniture"/>
    <x v="1"/>
    <s v="Novimex Turbo Task Chair"/>
    <n v="212.94"/>
    <n v="3"/>
    <n v="25.552800000000001"/>
    <x v="1"/>
    <x v="0"/>
    <x v="5"/>
  </r>
  <r>
    <s v="CA-2015-103954"/>
    <d v="2015-08-09T00:00:00"/>
    <d v="2015-08-13T00:00:00"/>
    <x v="0"/>
    <s v="HR-14770"/>
    <s v="Hallie Redmond"/>
    <x v="2"/>
    <x v="79"/>
    <x v="16"/>
    <x v="3"/>
    <s v="FUR-BO-10004690"/>
    <s v="Furniture"/>
    <x v="0"/>
    <s v="O'Sullivan Cherrywood Estates Traditional Barrister Bookcase"/>
    <n v="687.4"/>
    <n v="5"/>
    <n v="48.118000000000002"/>
    <x v="4"/>
    <x v="1"/>
    <x v="10"/>
  </r>
  <r>
    <s v="CA-2014-169803"/>
    <d v="2014-04-06T00:00:00"/>
    <d v="2014-04-12T00:00:00"/>
    <x v="1"/>
    <s v="SC-20260"/>
    <s v="Scott Cohen"/>
    <x v="1"/>
    <x v="15"/>
    <x v="13"/>
    <x v="1"/>
    <s v="FUR-TA-10000688"/>
    <s v="Furniture"/>
    <x v="2"/>
    <s v="Chromcraft Bull-Nose Wood Round Conference Table Top, Wood Base"/>
    <n v="653.54999999999995"/>
    <n v="3"/>
    <n v="111.1035"/>
    <x v="6"/>
    <x v="2"/>
    <x v="6"/>
  </r>
  <r>
    <s v="CA-2015-136469"/>
    <d v="2015-07-11T00:00:00"/>
    <d v="2015-07-12T00:00:00"/>
    <x v="2"/>
    <s v="TS-21370"/>
    <s v="Todd Sumrall"/>
    <x v="1"/>
    <x v="16"/>
    <x v="14"/>
    <x v="2"/>
    <s v="FUR-TA-10001520"/>
    <s v="Furniture"/>
    <x v="2"/>
    <s v="Lesro Sheffield Collection Coffee Table, End Table, Center Table, Corner Table"/>
    <n v="199.83600000000001"/>
    <n v="4"/>
    <n v="-37.112400000000001"/>
    <x v="5"/>
    <x v="1"/>
    <x v="3"/>
  </r>
  <r>
    <s v="CA-2016-158694"/>
    <d v="2016-11-10T00:00:00"/>
    <d v="2016-11-13T00:00:00"/>
    <x v="0"/>
    <s v="AI-10855"/>
    <s v="Arianne Irving"/>
    <x v="0"/>
    <x v="2"/>
    <x v="2"/>
    <x v="1"/>
    <s v="FUR-FU-10000965"/>
    <s v="Furniture"/>
    <x v="3"/>
    <s v="Howard Miller 11-1/2&quot; Diameter Ridgewood Wall Clock"/>
    <n v="467.46"/>
    <n v="9"/>
    <n v="191.65860000000001"/>
    <x v="0"/>
    <x v="0"/>
    <x v="0"/>
  </r>
  <r>
    <s v="CA-2015-141243"/>
    <d v="2015-01-03T00:00:00"/>
    <d v="2015-01-08T00:00:00"/>
    <x v="0"/>
    <s v="AH-10465"/>
    <s v="Amy Hunt"/>
    <x v="0"/>
    <x v="144"/>
    <x v="5"/>
    <x v="3"/>
    <s v="FUR-BO-10003272"/>
    <s v="Furniture"/>
    <x v="0"/>
    <s v="O'Sullivan Living Dimensions 5-Shelf Bookcases"/>
    <n v="1352.3976"/>
    <n v="9"/>
    <n v="-437.54039999999998"/>
    <x v="2"/>
    <x v="1"/>
    <x v="8"/>
  </r>
  <r>
    <s v="CA-2015-136798"/>
    <d v="2015-05-08T00:00:00"/>
    <d v="2015-05-12T00:00:00"/>
    <x v="1"/>
    <s v="DL-12925"/>
    <s v="Daniel Lacy"/>
    <x v="0"/>
    <x v="12"/>
    <x v="11"/>
    <x v="3"/>
    <s v="FUR-FU-10000723"/>
    <s v="Furniture"/>
    <x v="3"/>
    <s v="Deflect-o EconoMat Studded, No Bevel Mat for Low Pile Carpeting"/>
    <n v="123.96"/>
    <n v="3"/>
    <n v="11.1564"/>
    <x v="4"/>
    <x v="1"/>
    <x v="7"/>
  </r>
  <r>
    <s v="CA-2017-142090"/>
    <d v="2017-11-30T00:00:00"/>
    <d v="2017-12-07T00:00:00"/>
    <x v="1"/>
    <s v="SC-20380"/>
    <s v="Shahid Collister"/>
    <x v="0"/>
    <x v="259"/>
    <x v="30"/>
    <x v="0"/>
    <s v="FUR-TA-10001889"/>
    <s v="Furniture"/>
    <x v="2"/>
    <s v="Bush Advantage Collection Racetrack Conference Table"/>
    <n v="1781.682"/>
    <n v="7"/>
    <n v="-653.28340000000003"/>
    <x v="1"/>
    <x v="3"/>
    <x v="0"/>
  </r>
  <r>
    <s v="CA-2014-124478"/>
    <d v="2014-08-08T00:00:00"/>
    <d v="2014-08-12T00:00:00"/>
    <x v="1"/>
    <s v="MA-17560"/>
    <s v="Matt Abelman"/>
    <x v="2"/>
    <x v="65"/>
    <x v="17"/>
    <x v="3"/>
    <s v="FUR-FU-10002088"/>
    <s v="Furniture"/>
    <x v="3"/>
    <s v="Nu-Dell Float Frame 11 x 14 1/2"/>
    <n v="53.88"/>
    <n v="6"/>
    <n v="22.6296"/>
    <x v="4"/>
    <x v="2"/>
    <x v="10"/>
  </r>
  <r>
    <s v="CA-2014-134572"/>
    <d v="2014-04-20T00:00:00"/>
    <d v="2014-04-22T00:00:00"/>
    <x v="0"/>
    <s v="SV-20365"/>
    <s v="Seth Vernon"/>
    <x v="0"/>
    <x v="6"/>
    <x v="5"/>
    <x v="3"/>
    <s v="FUR-TA-10001705"/>
    <s v="Furniture"/>
    <x v="2"/>
    <s v="Bush Advantage Collection Round Conference Table"/>
    <n v="744.1"/>
    <n v="5"/>
    <n v="-95.67"/>
    <x v="3"/>
    <x v="2"/>
    <x v="6"/>
  </r>
  <r>
    <s v="CA-2014-134572"/>
    <d v="2014-04-20T00:00:00"/>
    <d v="2014-04-22T00:00:00"/>
    <x v="0"/>
    <s v="SV-20365"/>
    <s v="Seth Vernon"/>
    <x v="0"/>
    <x v="6"/>
    <x v="5"/>
    <x v="3"/>
    <s v="FUR-TA-10004442"/>
    <s v="Furniture"/>
    <x v="2"/>
    <s v="Riverside Furniture Stanwyck Manor Table Series"/>
    <n v="401.59"/>
    <n v="2"/>
    <n v="-131.95099999999999"/>
    <x v="3"/>
    <x v="2"/>
    <x v="6"/>
  </r>
  <r>
    <s v="US-2017-133312"/>
    <d v="2017-11-25T00:00:00"/>
    <d v="2017-11-29T00:00:00"/>
    <x v="1"/>
    <s v="BD-11500"/>
    <s v="Bradley Drucker"/>
    <x v="0"/>
    <x v="28"/>
    <x v="2"/>
    <x v="1"/>
    <s v="FUR-BO-10002213"/>
    <s v="Furniture"/>
    <x v="0"/>
    <s v="Sauder Forest Hills Library, Woodland Oak Finish"/>
    <n v="359.49900000000002"/>
    <n v="3"/>
    <n v="-29.605799999999999"/>
    <x v="4"/>
    <x v="3"/>
    <x v="0"/>
  </r>
  <r>
    <s v="US-2014-140452"/>
    <d v="2014-12-06T00:00:00"/>
    <d v="2014-12-10T00:00:00"/>
    <x v="1"/>
    <s v="BK-11260"/>
    <s v="Berenike Kampe"/>
    <x v="0"/>
    <x v="9"/>
    <x v="8"/>
    <x v="3"/>
    <s v="FUR-TA-10004086"/>
    <s v="Furniture"/>
    <x v="2"/>
    <s v="KI Adjustable-Height Table"/>
    <n v="214.95"/>
    <n v="5"/>
    <n v="-120.372"/>
    <x v="4"/>
    <x v="2"/>
    <x v="5"/>
  </r>
  <r>
    <s v="US-2014-140452"/>
    <d v="2014-12-06T00:00:00"/>
    <d v="2014-12-10T00:00:00"/>
    <x v="1"/>
    <s v="BK-11260"/>
    <s v="Berenike Kampe"/>
    <x v="0"/>
    <x v="9"/>
    <x v="8"/>
    <x v="3"/>
    <s v="FUR-FU-10002088"/>
    <s v="Furniture"/>
    <x v="3"/>
    <s v="Nu-Dell Float Frame 11 x 14 1/2"/>
    <n v="10.776"/>
    <n v="3"/>
    <n v="-4.8491999999999997"/>
    <x v="4"/>
    <x v="2"/>
    <x v="5"/>
  </r>
  <r>
    <s v="CA-2014-116568"/>
    <d v="2014-12-14T00:00:00"/>
    <d v="2014-12-20T00:00:00"/>
    <x v="1"/>
    <s v="BM-11785"/>
    <s v="Bryan Mills"/>
    <x v="0"/>
    <x v="260"/>
    <x v="1"/>
    <x v="0"/>
    <s v="FUR-CH-10002439"/>
    <s v="Furniture"/>
    <x v="1"/>
    <s v="Iceberg Nesting Folding Chair, 19w x 6d x 43h"/>
    <n v="186.304"/>
    <n v="4"/>
    <n v="13.972799999999999"/>
    <x v="6"/>
    <x v="2"/>
    <x v="5"/>
  </r>
  <r>
    <s v="CA-2015-153073"/>
    <d v="2015-11-13T00:00:00"/>
    <d v="2015-11-13T00:00:00"/>
    <x v="3"/>
    <s v="HA-14905"/>
    <s v="Helen Abelman"/>
    <x v="0"/>
    <x v="9"/>
    <x v="8"/>
    <x v="3"/>
    <s v="FUR-FU-10001025"/>
    <s v="Furniture"/>
    <x v="3"/>
    <s v="Eldon Imˆge Series Desk Accessories, Clear"/>
    <n v="17.495999999999999"/>
    <n v="9"/>
    <n v="-7.4358000000000004"/>
    <x v="7"/>
    <x v="1"/>
    <x v="0"/>
  </r>
  <r>
    <s v="CA-2014-160766"/>
    <d v="2014-09-14T00:00:00"/>
    <d v="2014-09-14T00:00:00"/>
    <x v="3"/>
    <s v="DM-13015"/>
    <s v="Darrin Martin"/>
    <x v="0"/>
    <x v="13"/>
    <x v="7"/>
    <x v="2"/>
    <s v="FUR-TA-10001039"/>
    <s v="Furniture"/>
    <x v="2"/>
    <s v="KI Adjustable-Height Table"/>
    <n v="464.29199999999997"/>
    <n v="9"/>
    <n v="-108.3348"/>
    <x v="7"/>
    <x v="2"/>
    <x v="4"/>
  </r>
  <r>
    <s v="CA-2017-146626"/>
    <d v="2017-12-29T00:00:00"/>
    <d v="2018-01-05T00:00:00"/>
    <x v="1"/>
    <s v="BP-11185"/>
    <s v="Ben Peterman"/>
    <x v="1"/>
    <x v="261"/>
    <x v="2"/>
    <x v="1"/>
    <s v="FUR-FU-10002501"/>
    <s v="Furniture"/>
    <x v="3"/>
    <s v="Nu-Dell Executive Frame"/>
    <n v="101.12"/>
    <n v="8"/>
    <n v="37.414400000000001"/>
    <x v="1"/>
    <x v="3"/>
    <x v="5"/>
  </r>
  <r>
    <s v="CA-2016-128972"/>
    <d v="2016-11-13T00:00:00"/>
    <d v="2016-11-17T00:00:00"/>
    <x v="1"/>
    <s v="TS-21430"/>
    <s v="Tom Stivers"/>
    <x v="1"/>
    <x v="258"/>
    <x v="37"/>
    <x v="3"/>
    <s v="FUR-FU-10003096"/>
    <s v="Furniture"/>
    <x v="3"/>
    <s v="Master Giant Foot Doorstop, Safety Yellow"/>
    <n v="30.36"/>
    <n v="4"/>
    <n v="13.0548"/>
    <x v="4"/>
    <x v="0"/>
    <x v="0"/>
  </r>
  <r>
    <s v="CA-2016-111213"/>
    <d v="2016-04-01T00:00:00"/>
    <d v="2016-04-05T00:00:00"/>
    <x v="1"/>
    <s v="FP-14320"/>
    <s v="Frank Preis"/>
    <x v="0"/>
    <x v="13"/>
    <x v="7"/>
    <x v="2"/>
    <s v="FUR-CH-10000454"/>
    <s v="Furniture"/>
    <x v="1"/>
    <s v="Hon Deluxe Fabric Upholstered Stacking Chairs, Rounded Back"/>
    <n v="1317.492"/>
    <n v="6"/>
    <n v="292.77600000000001"/>
    <x v="4"/>
    <x v="0"/>
    <x v="6"/>
  </r>
  <r>
    <s v="CA-2017-161333"/>
    <d v="2017-02-02T00:00:00"/>
    <d v="2017-02-07T00:00:00"/>
    <x v="1"/>
    <s v="JL-15835"/>
    <s v="John Lee"/>
    <x v="0"/>
    <x v="2"/>
    <x v="2"/>
    <x v="1"/>
    <s v="FUR-FU-10003039"/>
    <s v="Furniture"/>
    <x v="3"/>
    <s v="Howard Miller 11-1/2&quot; Diameter Grantwood Wall Clock"/>
    <n v="86.26"/>
    <n v="2"/>
    <n v="29.328399999999998"/>
    <x v="2"/>
    <x v="3"/>
    <x v="11"/>
  </r>
  <r>
    <s v="CA-2017-128734"/>
    <d v="2017-12-24T00:00:00"/>
    <d v="2017-12-31T00:00:00"/>
    <x v="1"/>
    <s v="JL-15175"/>
    <s v="James Lanier"/>
    <x v="2"/>
    <x v="262"/>
    <x v="22"/>
    <x v="1"/>
    <s v="FUR-FU-10001731"/>
    <s v="Furniture"/>
    <x v="3"/>
    <s v="Acrylic Self-Standing Desk Frames"/>
    <n v="8.5440000000000005"/>
    <n v="4"/>
    <n v="1.9224000000000001"/>
    <x v="1"/>
    <x v="3"/>
    <x v="5"/>
  </r>
  <r>
    <s v="CA-2017-128734"/>
    <d v="2017-12-24T00:00:00"/>
    <d v="2017-12-31T00:00:00"/>
    <x v="1"/>
    <s v="JL-15175"/>
    <s v="James Lanier"/>
    <x v="2"/>
    <x v="262"/>
    <x v="22"/>
    <x v="1"/>
    <s v="FUR-CH-10001394"/>
    <s v="Furniture"/>
    <x v="1"/>
    <s v="Global Leather Executive Chair"/>
    <n v="842.37599999999998"/>
    <n v="3"/>
    <n v="105.297"/>
    <x v="1"/>
    <x v="3"/>
    <x v="5"/>
  </r>
  <r>
    <s v="US-2015-124219"/>
    <d v="2015-08-07T00:00:00"/>
    <d v="2015-08-08T00:00:00"/>
    <x v="2"/>
    <s v="KW-16570"/>
    <s v="Kelly Williams"/>
    <x v="0"/>
    <x v="263"/>
    <x v="23"/>
    <x v="3"/>
    <s v="FUR-FU-10000305"/>
    <s v="Furniture"/>
    <x v="3"/>
    <s v="Tenex V2T-RE Standard Weight Series Chair Mat, 45&quot; x 53&quot;, Lip 25&quot; x 12&quot;"/>
    <n v="212.94"/>
    <n v="3"/>
    <n v="34.070399999999999"/>
    <x v="5"/>
    <x v="1"/>
    <x v="10"/>
  </r>
  <r>
    <s v="CA-2017-163006"/>
    <d v="2017-06-30T00:00:00"/>
    <d v="2017-07-04T00:00:00"/>
    <x v="0"/>
    <s v="GH-14410"/>
    <s v="Gary Hansen"/>
    <x v="2"/>
    <x v="9"/>
    <x v="8"/>
    <x v="3"/>
    <s v="FUR-CH-10000229"/>
    <s v="Furniture"/>
    <x v="1"/>
    <s v="Global Enterprise Series Seating High-Back Swivel/Tilt Chairs"/>
    <n v="569.05799999999999"/>
    <n v="3"/>
    <n v="-178.8468"/>
    <x v="4"/>
    <x v="3"/>
    <x v="2"/>
  </r>
  <r>
    <s v="CA-2017-163006"/>
    <d v="2017-06-30T00:00:00"/>
    <d v="2017-07-04T00:00:00"/>
    <x v="0"/>
    <s v="GH-14410"/>
    <s v="Gary Hansen"/>
    <x v="2"/>
    <x v="9"/>
    <x v="8"/>
    <x v="3"/>
    <s v="FUR-FU-10003799"/>
    <s v="Furniture"/>
    <x v="3"/>
    <s v="Seth Thomas 13 1/2&quot; Wall Clock"/>
    <n v="14.224"/>
    <n v="2"/>
    <n v="-10.3124"/>
    <x v="4"/>
    <x v="3"/>
    <x v="2"/>
  </r>
  <r>
    <s v="CA-2014-111192"/>
    <d v="2014-07-30T00:00:00"/>
    <d v="2014-08-05T00:00:00"/>
    <x v="1"/>
    <s v="TS-21430"/>
    <s v="Tom Stivers"/>
    <x v="1"/>
    <x v="15"/>
    <x v="13"/>
    <x v="1"/>
    <s v="FUR-BO-10002916"/>
    <s v="Furniture"/>
    <x v="0"/>
    <s v="Rush Hierlooms Collection 1&quot; Thick Stackable Bookcases"/>
    <n v="1367.84"/>
    <n v="8"/>
    <n v="259.88959999999997"/>
    <x v="6"/>
    <x v="2"/>
    <x v="3"/>
  </r>
  <r>
    <s v="CA-2016-115378"/>
    <d v="2016-11-18T00:00:00"/>
    <d v="2016-11-23T00:00:00"/>
    <x v="0"/>
    <s v="AJ-10945"/>
    <s v="Ashley Jarboe"/>
    <x v="0"/>
    <x v="264"/>
    <x v="17"/>
    <x v="3"/>
    <s v="FUR-CH-10000863"/>
    <s v="Furniture"/>
    <x v="1"/>
    <s v="Novimex Swivel Fabric Task Chair"/>
    <n v="301.95999999999998"/>
    <n v="2"/>
    <n v="33.215600000000002"/>
    <x v="2"/>
    <x v="0"/>
    <x v="0"/>
  </r>
  <r>
    <s v="CA-2015-161627"/>
    <d v="2015-07-06T00:00:00"/>
    <d v="2015-07-11T00:00:00"/>
    <x v="1"/>
    <s v="SJ-20215"/>
    <s v="Sarah Jordon"/>
    <x v="0"/>
    <x v="102"/>
    <x v="2"/>
    <x v="1"/>
    <s v="FUR-CH-10003968"/>
    <s v="Furniture"/>
    <x v="1"/>
    <s v="Novimex Turbo Task Chair"/>
    <n v="170.352"/>
    <n v="3"/>
    <n v="-17.0352"/>
    <x v="2"/>
    <x v="1"/>
    <x v="3"/>
  </r>
  <r>
    <s v="CA-2014-121006"/>
    <d v="2014-11-10T00:00:00"/>
    <d v="2014-11-16T00:00:00"/>
    <x v="1"/>
    <s v="SC-20020"/>
    <s v="Sam Craven"/>
    <x v="0"/>
    <x v="265"/>
    <x v="17"/>
    <x v="3"/>
    <s v="FUR-CH-10004997"/>
    <s v="Furniture"/>
    <x v="1"/>
    <s v="Hon Every-Day Series Multi-Task Chairs"/>
    <n v="563.94000000000005"/>
    <n v="3"/>
    <n v="112.788"/>
    <x v="6"/>
    <x v="2"/>
    <x v="0"/>
  </r>
  <r>
    <s v="CA-2016-122903"/>
    <d v="2016-05-27T00:00:00"/>
    <d v="2016-05-29T00:00:00"/>
    <x v="0"/>
    <s v="LA-16780"/>
    <s v="Laura Armstrong"/>
    <x v="1"/>
    <x v="25"/>
    <x v="17"/>
    <x v="3"/>
    <s v="FUR-CH-10002024"/>
    <s v="Furniture"/>
    <x v="1"/>
    <s v="HON 5400 Series Task Chairs for Big and Tall"/>
    <n v="3504.9"/>
    <n v="5"/>
    <n v="700.98"/>
    <x v="3"/>
    <x v="0"/>
    <x v="7"/>
  </r>
  <r>
    <s v="CA-2017-106432"/>
    <d v="2017-10-19T00:00:00"/>
    <d v="2017-10-24T00:00:00"/>
    <x v="1"/>
    <s v="CA-12265"/>
    <s v="Christina Anderson"/>
    <x v="0"/>
    <x v="266"/>
    <x v="5"/>
    <x v="3"/>
    <s v="FUR-BO-10004360"/>
    <s v="Furniture"/>
    <x v="0"/>
    <s v="Rush Hierlooms Collection Rich Wood Bookcases"/>
    <n v="328.39920000000001"/>
    <n v="3"/>
    <n v="-91.758600000000001"/>
    <x v="2"/>
    <x v="3"/>
    <x v="1"/>
  </r>
  <r>
    <s v="US-2015-120502"/>
    <d v="2015-04-13T00:00:00"/>
    <d v="2015-04-19T00:00:00"/>
    <x v="1"/>
    <s v="BT-11395"/>
    <s v="Bill Tyler"/>
    <x v="1"/>
    <x v="2"/>
    <x v="2"/>
    <x v="1"/>
    <s v="FUR-FU-10004973"/>
    <s v="Furniture"/>
    <x v="3"/>
    <s v="Flat Face Poster Frame"/>
    <n v="37.68"/>
    <n v="2"/>
    <n v="15.8256"/>
    <x v="6"/>
    <x v="1"/>
    <x v="6"/>
  </r>
  <r>
    <s v="CA-2015-115567"/>
    <d v="2015-09-13T00:00:00"/>
    <d v="2015-09-18T00:00:00"/>
    <x v="1"/>
    <s v="ZC-21910"/>
    <s v="Zuschuss Carroll"/>
    <x v="0"/>
    <x v="29"/>
    <x v="6"/>
    <x v="3"/>
    <s v="FUR-CH-10000015"/>
    <s v="Furniture"/>
    <x v="1"/>
    <s v="Hon Multipurpose Stacking Arm Chairs"/>
    <n v="1516.2"/>
    <n v="7"/>
    <n v="394.21199999999999"/>
    <x v="2"/>
    <x v="1"/>
    <x v="4"/>
  </r>
  <r>
    <s v="CA-2014-101560"/>
    <d v="2014-11-28T00:00:00"/>
    <d v="2014-12-01T00:00:00"/>
    <x v="0"/>
    <s v="CS-12250"/>
    <s v="Chris Selesnick"/>
    <x v="1"/>
    <x v="11"/>
    <x v="10"/>
    <x v="0"/>
    <s v="FUR-FU-10003773"/>
    <s v="Furniture"/>
    <x v="3"/>
    <s v="Eldon Cleatmat Plus Chair Mats for High Pile Carpets"/>
    <n v="397.6"/>
    <n v="5"/>
    <n v="43.735999999999997"/>
    <x v="0"/>
    <x v="2"/>
    <x v="0"/>
  </r>
  <r>
    <s v="CA-2015-142454"/>
    <d v="2015-08-15T00:00:00"/>
    <d v="2015-08-19T00:00:00"/>
    <x v="1"/>
    <s v="RE-19450"/>
    <s v="Richard Eichhorn"/>
    <x v="0"/>
    <x v="121"/>
    <x v="2"/>
    <x v="1"/>
    <s v="FUR-FU-10004018"/>
    <s v="Furniture"/>
    <x v="3"/>
    <s v="Tensor Computer Mounted Lamp"/>
    <n v="104.23"/>
    <n v="7"/>
    <n v="28.142099999999999"/>
    <x v="4"/>
    <x v="1"/>
    <x v="10"/>
  </r>
  <r>
    <s v="CA-2017-145653"/>
    <d v="2017-09-01T00:00:00"/>
    <d v="2017-09-01T00:00:00"/>
    <x v="3"/>
    <s v="CA-12775"/>
    <s v="Cynthia Arntzen"/>
    <x v="0"/>
    <x v="25"/>
    <x v="17"/>
    <x v="3"/>
    <s v="FUR-CH-10004875"/>
    <s v="Furniture"/>
    <x v="1"/>
    <s v="Harbour Creations 67200 Series Stacking Chairs"/>
    <n v="498.26"/>
    <n v="7"/>
    <n v="134.53020000000001"/>
    <x v="7"/>
    <x v="3"/>
    <x v="4"/>
  </r>
  <r>
    <s v="CA-2014-140487"/>
    <d v="2014-06-14T00:00:00"/>
    <d v="2014-06-20T00:00:00"/>
    <x v="1"/>
    <s v="SR-20425"/>
    <s v="Sharelle Roach"/>
    <x v="2"/>
    <x v="25"/>
    <x v="17"/>
    <x v="3"/>
    <s v="FUR-BO-10000711"/>
    <s v="Furniture"/>
    <x v="0"/>
    <s v="Hon Metal Bookcases, Gray"/>
    <n v="212.94"/>
    <n v="3"/>
    <n v="57.4938"/>
    <x v="6"/>
    <x v="2"/>
    <x v="2"/>
  </r>
  <r>
    <s v="CA-2016-119865"/>
    <d v="2016-06-21T00:00:00"/>
    <d v="2016-06-26T00:00:00"/>
    <x v="1"/>
    <s v="AS-10090"/>
    <s v="Adam Shillingsburg"/>
    <x v="0"/>
    <x v="13"/>
    <x v="7"/>
    <x v="2"/>
    <s v="FUR-BO-10003272"/>
    <s v="Furniture"/>
    <x v="0"/>
    <s v="O'Sullivan Living Dimensions 5-Shelf Bookcases"/>
    <n v="353.56799999999998"/>
    <n v="2"/>
    <n v="-44.195999999999998"/>
    <x v="2"/>
    <x v="0"/>
    <x v="2"/>
  </r>
  <r>
    <s v="CA-2017-124436"/>
    <d v="2017-03-19T00:00:00"/>
    <d v="2017-03-22T00:00:00"/>
    <x v="0"/>
    <s v="SA-20830"/>
    <s v="Sue Ann Reed"/>
    <x v="0"/>
    <x v="99"/>
    <x v="2"/>
    <x v="1"/>
    <s v="FUR-TA-10001095"/>
    <s v="Furniture"/>
    <x v="2"/>
    <s v="Chromcraft Round Conference Tables"/>
    <n v="697.16"/>
    <n v="5"/>
    <n v="8.7144999999999992"/>
    <x v="0"/>
    <x v="3"/>
    <x v="9"/>
  </r>
  <r>
    <s v="CA-2017-124436"/>
    <d v="2017-03-19T00:00:00"/>
    <d v="2017-03-22T00:00:00"/>
    <x v="0"/>
    <s v="SA-20830"/>
    <s v="Sue Ann Reed"/>
    <x v="0"/>
    <x v="99"/>
    <x v="2"/>
    <x v="1"/>
    <s v="FUR-FU-10001185"/>
    <s v="Furniture"/>
    <x v="3"/>
    <s v="Advantus Employee of the Month Certificate Frame, 11 x 13-1/2"/>
    <n v="30.93"/>
    <n v="1"/>
    <n v="12.6813"/>
    <x v="0"/>
    <x v="3"/>
    <x v="9"/>
  </r>
  <r>
    <s v="CA-2014-115084"/>
    <d v="2014-10-18T00:00:00"/>
    <d v="2014-10-22T00:00:00"/>
    <x v="1"/>
    <s v="LS-17200"/>
    <s v="Luke Schmidt"/>
    <x v="1"/>
    <x v="267"/>
    <x v="31"/>
    <x v="0"/>
    <s v="FUR-CH-10004626"/>
    <s v="Furniture"/>
    <x v="1"/>
    <s v="Office Star Flex Back Scooter Chair with Aluminum Finish Frame"/>
    <n v="605.34"/>
    <n v="6"/>
    <n v="145.2816"/>
    <x v="4"/>
    <x v="2"/>
    <x v="1"/>
  </r>
  <r>
    <s v="CA-2017-131037"/>
    <d v="2017-08-22T00:00:00"/>
    <d v="2017-08-23T00:00:00"/>
    <x v="2"/>
    <s v="TM-21490"/>
    <s v="Tony Molinari"/>
    <x v="0"/>
    <x v="28"/>
    <x v="2"/>
    <x v="1"/>
    <s v="FUR-TA-10001768"/>
    <s v="Furniture"/>
    <x v="2"/>
    <s v="Hon Racetrack Conference Tables"/>
    <n v="210.00800000000001"/>
    <n v="1"/>
    <n v="2.6251000000000002"/>
    <x v="5"/>
    <x v="3"/>
    <x v="10"/>
  </r>
  <r>
    <s v="CA-2014-166744"/>
    <d v="2014-09-20T00:00:00"/>
    <d v="2014-09-24T00:00:00"/>
    <x v="1"/>
    <s v="DN-13690"/>
    <s v="Duane Noonan"/>
    <x v="0"/>
    <x v="11"/>
    <x v="32"/>
    <x v="2"/>
    <s v="FUR-FU-10004952"/>
    <s v="Furniture"/>
    <x v="3"/>
    <s v="C-Line Cubicle Keepers Polyproplyene Holder w/Velcro Back, 8-1/2x11, 25/Bx"/>
    <n v="164.22"/>
    <n v="3"/>
    <n v="50.908200000000001"/>
    <x v="4"/>
    <x v="2"/>
    <x v="4"/>
  </r>
  <r>
    <s v="CA-2014-166744"/>
    <d v="2014-09-20T00:00:00"/>
    <d v="2014-09-24T00:00:00"/>
    <x v="1"/>
    <s v="DN-13690"/>
    <s v="Duane Noonan"/>
    <x v="0"/>
    <x v="11"/>
    <x v="32"/>
    <x v="2"/>
    <s v="FUR-BO-10001337"/>
    <s v="Furniture"/>
    <x v="0"/>
    <s v="O'Sullivan Living Dimensions 2-Shelf Bookcases"/>
    <n v="362.94"/>
    <n v="3"/>
    <n v="36.293999999999997"/>
    <x v="4"/>
    <x v="2"/>
    <x v="4"/>
  </r>
  <r>
    <s v="CA-2016-156265"/>
    <d v="2016-08-02T00:00:00"/>
    <d v="2016-08-04T00:00:00"/>
    <x v="0"/>
    <s v="BF-11020"/>
    <s v="Barry Franzšsisch"/>
    <x v="1"/>
    <x v="2"/>
    <x v="2"/>
    <x v="1"/>
    <s v="FUR-TA-10001691"/>
    <s v="Furniture"/>
    <x v="2"/>
    <s v="Barricks Non-Folding Utility Table with Steel Legs, Laminate Tops"/>
    <n v="136.464"/>
    <n v="2"/>
    <n v="15.3522"/>
    <x v="3"/>
    <x v="0"/>
    <x v="10"/>
  </r>
  <r>
    <s v="CA-2015-125185"/>
    <d v="2015-03-05T00:00:00"/>
    <d v="2015-03-07T00:00:00"/>
    <x v="0"/>
    <s v="AH-10195"/>
    <s v="Alan Haines"/>
    <x v="1"/>
    <x v="268"/>
    <x v="3"/>
    <x v="2"/>
    <s v="FUR-CH-10002647"/>
    <s v="Furniture"/>
    <x v="1"/>
    <s v="Situations Contoured Folding Chairs, 4/Set"/>
    <n v="99.372"/>
    <n v="2"/>
    <n v="-7.0979999999999999"/>
    <x v="3"/>
    <x v="1"/>
    <x v="9"/>
  </r>
  <r>
    <s v="CA-2015-125185"/>
    <d v="2015-03-05T00:00:00"/>
    <d v="2015-03-07T00:00:00"/>
    <x v="0"/>
    <s v="AH-10195"/>
    <s v="Alan Haines"/>
    <x v="1"/>
    <x v="268"/>
    <x v="3"/>
    <x v="2"/>
    <s v="FUR-FU-10003247"/>
    <s v="Furniture"/>
    <x v="3"/>
    <s v="36X48 HARDFLOOR CHAIRMAT"/>
    <n v="33.567999999999998"/>
    <n v="2"/>
    <n v="-5.4547999999999996"/>
    <x v="3"/>
    <x v="1"/>
    <x v="9"/>
  </r>
  <r>
    <s v="CA-2014-105165"/>
    <d v="2014-09-07T00:00:00"/>
    <d v="2014-09-10T00:00:00"/>
    <x v="2"/>
    <s v="SZ-20035"/>
    <s v="Sam Zeldin"/>
    <x v="2"/>
    <x v="6"/>
    <x v="5"/>
    <x v="3"/>
    <s v="FUR-TA-10004154"/>
    <s v="Furniture"/>
    <x v="2"/>
    <s v="Riverside Furniture Oval Coffee Table, Oval End Table, End Table with Drawer"/>
    <n v="200.79499999999999"/>
    <n v="1"/>
    <n v="-22.948"/>
    <x v="0"/>
    <x v="2"/>
    <x v="4"/>
  </r>
  <r>
    <s v="CA-2017-144484"/>
    <d v="2017-09-11T00:00:00"/>
    <d v="2017-09-11T00:00:00"/>
    <x v="3"/>
    <s v="CB-12025"/>
    <s v="Cassandra Brandow"/>
    <x v="0"/>
    <x v="28"/>
    <x v="2"/>
    <x v="1"/>
    <s v="FUR-FU-10000260"/>
    <s v="Furniture"/>
    <x v="3"/>
    <s v="6&quot; Cubicle Wall Clock, Black"/>
    <n v="32.36"/>
    <n v="4"/>
    <n v="11.6496"/>
    <x v="7"/>
    <x v="3"/>
    <x v="4"/>
  </r>
  <r>
    <s v="CA-2017-125913"/>
    <d v="2017-01-16T00:00:00"/>
    <d v="2017-01-16T00:00:00"/>
    <x v="3"/>
    <s v="JO-15145"/>
    <s v="Jack O'Briant"/>
    <x v="1"/>
    <x v="2"/>
    <x v="2"/>
    <x v="1"/>
    <s v="FUR-FU-10001487"/>
    <s v="Furniture"/>
    <x v="3"/>
    <s v="Eldon Expressions Wood and Plastic Desk Accessories, Cherry Wood"/>
    <n v="27.92"/>
    <n v="4"/>
    <n v="8.0968"/>
    <x v="7"/>
    <x v="3"/>
    <x v="8"/>
  </r>
  <r>
    <s v="CA-2017-125913"/>
    <d v="2017-01-16T00:00:00"/>
    <d v="2017-01-16T00:00:00"/>
    <x v="3"/>
    <s v="JO-15145"/>
    <s v="Jack O'Briant"/>
    <x v="1"/>
    <x v="2"/>
    <x v="2"/>
    <x v="1"/>
    <s v="FUR-TA-10001520"/>
    <s v="Furniture"/>
    <x v="2"/>
    <s v="Lesro Sheffield Collection Coffee Table, End Table, Center Table, Corner Table"/>
    <n v="399.67200000000003"/>
    <n v="7"/>
    <n v="-14.9877"/>
    <x v="7"/>
    <x v="3"/>
    <x v="8"/>
  </r>
  <r>
    <s v="CA-2015-162887"/>
    <d v="2015-11-07T00:00:00"/>
    <d v="2015-11-09T00:00:00"/>
    <x v="0"/>
    <s v="SV-20785"/>
    <s v="Stewart Visinsky"/>
    <x v="0"/>
    <x v="259"/>
    <x v="43"/>
    <x v="2"/>
    <s v="FUR-CH-10000595"/>
    <s v="Furniture"/>
    <x v="1"/>
    <s v="Safco Contoured Stacking Chairs"/>
    <n v="715.2"/>
    <n v="3"/>
    <n v="178.8"/>
    <x v="3"/>
    <x v="1"/>
    <x v="0"/>
  </r>
  <r>
    <s v="CA-2014-113859"/>
    <d v="2014-09-13T00:00:00"/>
    <d v="2014-09-17T00:00:00"/>
    <x v="1"/>
    <s v="BC-11125"/>
    <s v="Becky Castell"/>
    <x v="2"/>
    <x v="221"/>
    <x v="5"/>
    <x v="3"/>
    <s v="FUR-CH-10004698"/>
    <s v="Furniture"/>
    <x v="1"/>
    <s v="Padded Folding Chairs, Black, 4/Carton"/>
    <n v="340.11599999999999"/>
    <n v="6"/>
    <n v="-9.7175999999999991"/>
    <x v="4"/>
    <x v="2"/>
    <x v="4"/>
  </r>
  <r>
    <s v="CA-2015-105158"/>
    <d v="2015-09-05T00:00:00"/>
    <d v="2015-09-10T00:00:00"/>
    <x v="1"/>
    <s v="SP-20860"/>
    <s v="Sung Pak"/>
    <x v="1"/>
    <x v="77"/>
    <x v="11"/>
    <x v="3"/>
    <s v="FUR-FU-10001706"/>
    <s v="Furniture"/>
    <x v="3"/>
    <s v="Longer-Life Soft White Bulbs"/>
    <n v="6.16"/>
    <n v="2"/>
    <n v="2.9567999999999999"/>
    <x v="2"/>
    <x v="1"/>
    <x v="4"/>
  </r>
  <r>
    <s v="CA-2017-105991"/>
    <d v="2017-05-05T00:00:00"/>
    <d v="2017-05-06T00:00:00"/>
    <x v="2"/>
    <s v="LH-17020"/>
    <s v="Lisa Hazard"/>
    <x v="0"/>
    <x v="74"/>
    <x v="12"/>
    <x v="1"/>
    <s v="FUR-BO-10004467"/>
    <s v="Furniture"/>
    <x v="0"/>
    <s v="Bestar Classic Bookcase"/>
    <n v="89.991"/>
    <n v="3"/>
    <n v="-152.9847"/>
    <x v="5"/>
    <x v="3"/>
    <x v="7"/>
  </r>
  <r>
    <s v="CA-2014-146283"/>
    <d v="2014-09-08T00:00:00"/>
    <d v="2014-09-15T00:00:00"/>
    <x v="1"/>
    <s v="KT-16465"/>
    <s v="Kean Takahito"/>
    <x v="0"/>
    <x v="6"/>
    <x v="5"/>
    <x v="3"/>
    <s v="FUR-CH-10004287"/>
    <s v="Furniture"/>
    <x v="1"/>
    <s v="SAFCO Arco Folding Chair"/>
    <n v="966.7"/>
    <n v="5"/>
    <n v="-13.81"/>
    <x v="1"/>
    <x v="2"/>
    <x v="4"/>
  </r>
  <r>
    <s v="CA-2015-111073"/>
    <d v="2015-12-26T00:00:00"/>
    <d v="2015-12-30T00:00:00"/>
    <x v="1"/>
    <s v="MC-18100"/>
    <s v="Mick Crebagga"/>
    <x v="0"/>
    <x v="23"/>
    <x v="15"/>
    <x v="2"/>
    <s v="FUR-TA-10004086"/>
    <s v="Furniture"/>
    <x v="2"/>
    <s v="KI Adjustable-Height Table"/>
    <n v="51.588000000000001"/>
    <n v="1"/>
    <n v="-15.4764"/>
    <x v="4"/>
    <x v="1"/>
    <x v="5"/>
  </r>
  <r>
    <s v="CA-2017-108791"/>
    <d v="2017-07-27T00:00:00"/>
    <d v="2017-07-31T00:00:00"/>
    <x v="1"/>
    <s v="TM-21490"/>
    <s v="Tony Molinari"/>
    <x v="0"/>
    <x v="90"/>
    <x v="7"/>
    <x v="2"/>
    <s v="FUR-FU-10004018"/>
    <s v="Furniture"/>
    <x v="3"/>
    <s v="Tensor Computer Mounted Lamp"/>
    <n v="14.89"/>
    <n v="1"/>
    <n v="4.0202999999999998"/>
    <x v="4"/>
    <x v="3"/>
    <x v="3"/>
  </r>
  <r>
    <s v="CA-2016-113831"/>
    <d v="2016-05-30T00:00:00"/>
    <d v="2016-06-03T00:00:00"/>
    <x v="1"/>
    <s v="AH-10690"/>
    <s v="Anna HŠberlin"/>
    <x v="1"/>
    <x v="76"/>
    <x v="25"/>
    <x v="0"/>
    <s v="FUR-TA-10002645"/>
    <s v="Furniture"/>
    <x v="2"/>
    <s v="Hon Rectangular Conference Tables"/>
    <n v="2275.5"/>
    <n v="10"/>
    <n v="386.83499999999998"/>
    <x v="4"/>
    <x v="0"/>
    <x v="7"/>
  </r>
  <r>
    <s v="US-2014-139500"/>
    <d v="2014-11-16T00:00:00"/>
    <d v="2014-11-20T00:00:00"/>
    <x v="1"/>
    <s v="AB-10165"/>
    <s v="Alan Barnes"/>
    <x v="0"/>
    <x v="42"/>
    <x v="8"/>
    <x v="3"/>
    <s v="FUR-CH-10002017"/>
    <s v="Furniture"/>
    <x v="1"/>
    <s v="SAFCO Optional Arm Kit for Workspace Cribbage Stacking Chair"/>
    <n v="37.295999999999999"/>
    <n v="2"/>
    <n v="-1.0656000000000001"/>
    <x v="4"/>
    <x v="2"/>
    <x v="0"/>
  </r>
  <r>
    <s v="US-2014-166310"/>
    <d v="2014-09-21T00:00:00"/>
    <d v="2014-09-23T00:00:00"/>
    <x v="2"/>
    <s v="JS-15940"/>
    <s v="Joni Sundaresam"/>
    <x v="2"/>
    <x v="269"/>
    <x v="5"/>
    <x v="3"/>
    <s v="FUR-FU-10001546"/>
    <s v="Furniture"/>
    <x v="3"/>
    <s v="Dana Swing-Arm Lamps"/>
    <n v="8.5440000000000005"/>
    <n v="2"/>
    <n v="-7.476"/>
    <x v="3"/>
    <x v="2"/>
    <x v="4"/>
  </r>
  <r>
    <s v="US-2016-168410"/>
    <d v="2016-02-21T00:00:00"/>
    <d v="2016-02-26T00:00:00"/>
    <x v="1"/>
    <s v="BV-11245"/>
    <s v="Benjamin Venier"/>
    <x v="1"/>
    <x v="64"/>
    <x v="7"/>
    <x v="2"/>
    <s v="FUR-FU-10000629"/>
    <s v="Furniture"/>
    <x v="3"/>
    <s v="9-3/4 Diameter Round Wall Clock"/>
    <n v="68.95"/>
    <n v="5"/>
    <n v="28.959"/>
    <x v="2"/>
    <x v="0"/>
    <x v="11"/>
  </r>
  <r>
    <s v="CA-2017-131254"/>
    <d v="2017-11-19T00:00:00"/>
    <d v="2017-11-21T00:00:00"/>
    <x v="2"/>
    <s v="NC-18415"/>
    <s v="Nathan Cano"/>
    <x v="0"/>
    <x v="6"/>
    <x v="5"/>
    <x v="3"/>
    <s v="FUR-CH-10003774"/>
    <s v="Furniture"/>
    <x v="1"/>
    <s v="Global Wood Trimmed Manager's Task Chair, Khaki"/>
    <n v="191.05799999999999"/>
    <n v="3"/>
    <n v="-46.399799999999999"/>
    <x v="3"/>
    <x v="3"/>
    <x v="0"/>
  </r>
  <r>
    <s v="CA-2017-137876"/>
    <d v="2017-04-30T00:00:00"/>
    <d v="2017-05-05T00:00:00"/>
    <x v="1"/>
    <s v="DJ-13510"/>
    <s v="Don Jones"/>
    <x v="1"/>
    <x v="28"/>
    <x v="2"/>
    <x v="1"/>
    <s v="FUR-FU-10000222"/>
    <s v="Furniture"/>
    <x v="3"/>
    <s v="Seth Thomas 16&quot; Steel Case Clock"/>
    <n v="64.959999999999994"/>
    <n v="2"/>
    <n v="21.436800000000002"/>
    <x v="2"/>
    <x v="3"/>
    <x v="6"/>
  </r>
  <r>
    <s v="CA-2016-154060"/>
    <d v="2016-05-02T00:00:00"/>
    <d v="2016-05-08T00:00:00"/>
    <x v="1"/>
    <s v="DL-12865"/>
    <s v="Dan Lawera"/>
    <x v="0"/>
    <x v="224"/>
    <x v="30"/>
    <x v="0"/>
    <s v="FUR-CH-10002304"/>
    <s v="Furniture"/>
    <x v="1"/>
    <s v="Global Stack Chair without Arms, Black"/>
    <n v="187.05600000000001"/>
    <n v="9"/>
    <n v="11.691000000000001"/>
    <x v="6"/>
    <x v="0"/>
    <x v="7"/>
  </r>
  <r>
    <s v="US-2017-162558"/>
    <d v="2017-10-02T00:00:00"/>
    <d v="2017-10-05T00:00:00"/>
    <x v="2"/>
    <s v="Dp-13240"/>
    <s v="Dean percer"/>
    <x v="2"/>
    <x v="270"/>
    <x v="9"/>
    <x v="0"/>
    <s v="FUR-FU-10002364"/>
    <s v="Furniture"/>
    <x v="3"/>
    <s v="Eldon Expressions Wood Desk Accessories, Oak"/>
    <n v="11.808"/>
    <n v="2"/>
    <n v="1.3284"/>
    <x v="0"/>
    <x v="3"/>
    <x v="1"/>
  </r>
  <r>
    <s v="US-2017-162558"/>
    <d v="2017-10-02T00:00:00"/>
    <d v="2017-10-05T00:00:00"/>
    <x v="2"/>
    <s v="Dp-13240"/>
    <s v="Dean percer"/>
    <x v="2"/>
    <x v="270"/>
    <x v="9"/>
    <x v="0"/>
    <s v="FUR-FU-10004864"/>
    <s v="Furniture"/>
    <x v="3"/>
    <s v="Eldon 500 Class Desk Accessories"/>
    <n v="9.6560000000000006"/>
    <n v="1"/>
    <n v="1.5690999999999999"/>
    <x v="0"/>
    <x v="3"/>
    <x v="1"/>
  </r>
  <r>
    <s v="US-2017-162558"/>
    <d v="2017-10-02T00:00:00"/>
    <d v="2017-10-05T00:00:00"/>
    <x v="2"/>
    <s v="Dp-13240"/>
    <s v="Dean percer"/>
    <x v="2"/>
    <x v="270"/>
    <x v="9"/>
    <x v="0"/>
    <s v="FUR-TA-10000198"/>
    <s v="Furniture"/>
    <x v="2"/>
    <s v="Chromcraft Bull-Nose Wood Oval Conference Tables &amp; Bases"/>
    <n v="2314.116"/>
    <n v="7"/>
    <n v="-1002.7836"/>
    <x v="0"/>
    <x v="3"/>
    <x v="1"/>
  </r>
  <r>
    <s v="US-2017-162558"/>
    <d v="2017-10-02T00:00:00"/>
    <d v="2017-10-05T00:00:00"/>
    <x v="2"/>
    <s v="Dp-13240"/>
    <s v="Dean percer"/>
    <x v="2"/>
    <x v="270"/>
    <x v="9"/>
    <x v="0"/>
    <s v="FUR-FU-10003691"/>
    <s v="Furniture"/>
    <x v="3"/>
    <s v="Eldon Image Series Desk Accessories, Ebony"/>
    <n v="19.760000000000002"/>
    <n v="2"/>
    <n v="5.9279999999999999"/>
    <x v="0"/>
    <x v="3"/>
    <x v="1"/>
  </r>
  <r>
    <s v="CA-2015-119508"/>
    <d v="2015-12-04T00:00:00"/>
    <d v="2015-12-09T00:00:00"/>
    <x v="1"/>
    <s v="TZ-21580"/>
    <s v="Tracy Zic"/>
    <x v="0"/>
    <x v="174"/>
    <x v="2"/>
    <x v="1"/>
    <s v="FUR-FU-10004270"/>
    <s v="Furniture"/>
    <x v="3"/>
    <s v="Eldon Image Series Desk Accessories, Burgundy"/>
    <n v="25.08"/>
    <n v="6"/>
    <n v="9.0288000000000004"/>
    <x v="2"/>
    <x v="1"/>
    <x v="5"/>
  </r>
  <r>
    <s v="CA-2016-123120"/>
    <d v="2016-09-04T00:00:00"/>
    <d v="2016-09-08T00:00:00"/>
    <x v="1"/>
    <s v="CV-12295"/>
    <s v="Christina VanderZanden"/>
    <x v="0"/>
    <x v="13"/>
    <x v="7"/>
    <x v="2"/>
    <s v="FUR-FU-10004748"/>
    <s v="Furniture"/>
    <x v="3"/>
    <s v="Howard Miller 16&quot; Diameter Gallery Wall Clock"/>
    <n v="63.94"/>
    <n v="1"/>
    <n v="24.936599999999999"/>
    <x v="4"/>
    <x v="0"/>
    <x v="4"/>
  </r>
  <r>
    <s v="CA-2014-103331"/>
    <d v="2014-08-26T00:00:00"/>
    <d v="2014-09-01T00:00:00"/>
    <x v="1"/>
    <s v="KB-16315"/>
    <s v="Karl Braun"/>
    <x v="0"/>
    <x v="19"/>
    <x v="14"/>
    <x v="2"/>
    <s v="FUR-FU-10001731"/>
    <s v="Furniture"/>
    <x v="3"/>
    <s v="Acrylic Self-Standing Desk Frames"/>
    <n v="10.68"/>
    <n v="4"/>
    <n v="4.0583999999999998"/>
    <x v="6"/>
    <x v="2"/>
    <x v="10"/>
  </r>
  <r>
    <s v="CA-2014-113768"/>
    <d v="2014-05-13T00:00:00"/>
    <d v="2014-05-19T00:00:00"/>
    <x v="1"/>
    <s v="AH-10030"/>
    <s v="Aaron Hawkins"/>
    <x v="1"/>
    <x v="2"/>
    <x v="2"/>
    <x v="1"/>
    <s v="FUR-CH-10002439"/>
    <s v="Furniture"/>
    <x v="1"/>
    <s v="Iceberg Nesting Folding Chair, 19w x 6d x 43h"/>
    <n v="279.45600000000002"/>
    <n v="6"/>
    <n v="20.959199999999999"/>
    <x v="6"/>
    <x v="2"/>
    <x v="7"/>
  </r>
  <r>
    <s v="US-2017-126060"/>
    <d v="2017-04-14T00:00:00"/>
    <d v="2017-04-18T00:00:00"/>
    <x v="1"/>
    <s v="DW-13585"/>
    <s v="Dorothy Wardle"/>
    <x v="1"/>
    <x v="160"/>
    <x v="30"/>
    <x v="0"/>
    <s v="FUR-BO-10003433"/>
    <s v="Furniture"/>
    <x v="0"/>
    <s v="Sauder Cornerstone Collection Library"/>
    <n v="198.27199999999999"/>
    <n v="8"/>
    <n v="-32.219200000000001"/>
    <x v="4"/>
    <x v="3"/>
    <x v="6"/>
  </r>
  <r>
    <s v="CA-2016-122017"/>
    <d v="2016-12-29T00:00:00"/>
    <d v="2017-01-02T00:00:00"/>
    <x v="1"/>
    <s v="CD-11920"/>
    <s v="Carlos Daly"/>
    <x v="0"/>
    <x v="271"/>
    <x v="44"/>
    <x v="3"/>
    <s v="FUR-FU-10000672"/>
    <s v="Furniture"/>
    <x v="3"/>
    <s v="Executive Impressions 10&quot; Spectator Wall Clock"/>
    <n v="70.56"/>
    <n v="6"/>
    <n v="23.990400000000001"/>
    <x v="4"/>
    <x v="0"/>
    <x v="5"/>
  </r>
  <r>
    <s v="US-2017-136721"/>
    <d v="2017-04-08T00:00:00"/>
    <d v="2017-04-12T00:00:00"/>
    <x v="1"/>
    <s v="NH-18610"/>
    <s v="Nicole Hansen"/>
    <x v="1"/>
    <x v="272"/>
    <x v="17"/>
    <x v="3"/>
    <s v="FUR-FU-10004665"/>
    <s v="Furniture"/>
    <x v="3"/>
    <s v="3M Polarizing Task Lamp with Clamp Arm, Light Gray"/>
    <n v="273.95999999999998"/>
    <n v="2"/>
    <n v="71.229600000000005"/>
    <x v="4"/>
    <x v="3"/>
    <x v="6"/>
  </r>
  <r>
    <s v="US-2017-136721"/>
    <d v="2017-04-08T00:00:00"/>
    <d v="2017-04-12T00:00:00"/>
    <x v="1"/>
    <s v="NH-18610"/>
    <s v="Nicole Hansen"/>
    <x v="1"/>
    <x v="272"/>
    <x v="17"/>
    <x v="3"/>
    <s v="FUR-FU-10004188"/>
    <s v="Furniture"/>
    <x v="3"/>
    <s v="Luxo Professional Combination Clamp-On Lamps"/>
    <n v="306.89999999999998"/>
    <n v="3"/>
    <n v="79.793999999999997"/>
    <x v="4"/>
    <x v="3"/>
    <x v="6"/>
  </r>
  <r>
    <s v="CA-2015-118738"/>
    <d v="2015-10-24T00:00:00"/>
    <d v="2015-10-30T00:00:00"/>
    <x v="1"/>
    <s v="AG-10495"/>
    <s v="Andrew Gjertsen"/>
    <x v="1"/>
    <x v="6"/>
    <x v="5"/>
    <x v="3"/>
    <s v="FUR-TA-10002607"/>
    <s v="Furniture"/>
    <x v="2"/>
    <s v="KI Conference Tables"/>
    <n v="347.36099999999999"/>
    <n v="7"/>
    <n v="-69.472200000000001"/>
    <x v="6"/>
    <x v="1"/>
    <x v="1"/>
  </r>
  <r>
    <s v="US-2014-123183"/>
    <d v="2014-11-19T00:00:00"/>
    <d v="2014-11-25T00:00:00"/>
    <x v="1"/>
    <s v="GR-14560"/>
    <s v="Georgia Rosenberg"/>
    <x v="1"/>
    <x v="16"/>
    <x v="14"/>
    <x v="2"/>
    <s v="FUR-BO-10000362"/>
    <s v="Furniture"/>
    <x v="0"/>
    <s v="Sauder Inglewood Library Bookcases"/>
    <n v="1025.8800000000001"/>
    <n v="6"/>
    <n v="235.95240000000001"/>
    <x v="6"/>
    <x v="2"/>
    <x v="0"/>
  </r>
  <r>
    <s v="US-2016-147340"/>
    <d v="2016-09-24T00:00:00"/>
    <d v="2016-09-24T00:00:00"/>
    <x v="3"/>
    <s v="EB-13750"/>
    <s v="Edward Becker"/>
    <x v="1"/>
    <x v="28"/>
    <x v="2"/>
    <x v="1"/>
    <s v="FUR-FU-10002501"/>
    <s v="Furniture"/>
    <x v="3"/>
    <s v="Nu-Dell Executive Frame"/>
    <n v="63.2"/>
    <n v="5"/>
    <n v="23.384"/>
    <x v="7"/>
    <x v="0"/>
    <x v="4"/>
  </r>
  <r>
    <s v="CA-2016-117681"/>
    <d v="2016-04-09T00:00:00"/>
    <d v="2016-04-14T00:00:00"/>
    <x v="1"/>
    <s v="HF-14995"/>
    <s v="Herbert Flentye"/>
    <x v="0"/>
    <x v="2"/>
    <x v="2"/>
    <x v="1"/>
    <s v="FUR-BO-10001798"/>
    <s v="Furniture"/>
    <x v="0"/>
    <s v="Bush Somerset Collection Bookcase"/>
    <n v="556.66499999999996"/>
    <n v="5"/>
    <n v="6.5490000000000004"/>
    <x v="2"/>
    <x v="0"/>
    <x v="6"/>
  </r>
  <r>
    <s v="CA-2016-153598"/>
    <d v="2016-12-03T00:00:00"/>
    <d v="2016-12-06T00:00:00"/>
    <x v="2"/>
    <s v="NM-18520"/>
    <s v="Neoma Murray"/>
    <x v="0"/>
    <x v="2"/>
    <x v="2"/>
    <x v="1"/>
    <s v="FUR-FU-10001085"/>
    <s v="Furniture"/>
    <x v="3"/>
    <s v="3M Polarizing Light Filter Sleeves"/>
    <n v="111.9"/>
    <n v="6"/>
    <n v="51.473999999999997"/>
    <x v="0"/>
    <x v="0"/>
    <x v="5"/>
  </r>
  <r>
    <s v="US-2016-108497"/>
    <d v="2016-06-14T00:00:00"/>
    <d v="2016-06-14T00:00:00"/>
    <x v="3"/>
    <s v="MH-17290"/>
    <s v="Marc Harrigan"/>
    <x v="2"/>
    <x v="2"/>
    <x v="2"/>
    <x v="1"/>
    <s v="FUR-BO-10004218"/>
    <s v="Furniture"/>
    <x v="0"/>
    <s v="Bush Heritage Pine Collection 5-Shelf Bookcase, Albany Pine Finish, *Special Order"/>
    <n v="599.16499999999996"/>
    <n v="5"/>
    <n v="35.244999999999997"/>
    <x v="7"/>
    <x v="0"/>
    <x v="2"/>
  </r>
  <r>
    <s v="CA-2014-136861"/>
    <d v="2014-09-05T00:00:00"/>
    <d v="2014-09-07T00:00:00"/>
    <x v="2"/>
    <s v="PR-18880"/>
    <s v="Patrick Ryan"/>
    <x v="0"/>
    <x v="66"/>
    <x v="1"/>
    <x v="0"/>
    <s v="FUR-FU-10001967"/>
    <s v="Furniture"/>
    <x v="3"/>
    <s v="Telescoping Adjustable Floor Lamp"/>
    <n v="31.984000000000002"/>
    <n v="2"/>
    <n v="1.9990000000000001"/>
    <x v="3"/>
    <x v="2"/>
    <x v="4"/>
  </r>
  <r>
    <s v="CA-2014-103317"/>
    <d v="2014-07-05T00:00:00"/>
    <d v="2014-07-08T00:00:00"/>
    <x v="2"/>
    <s v="DM-13525"/>
    <s v="Don Miller"/>
    <x v="1"/>
    <x v="273"/>
    <x v="1"/>
    <x v="0"/>
    <s v="FUR-FU-10001591"/>
    <s v="Furniture"/>
    <x v="3"/>
    <s v="Advantus Panel Wall Certificate Holder - 8.5x11"/>
    <n v="19.52"/>
    <n v="2"/>
    <n v="5.3680000000000003"/>
    <x v="0"/>
    <x v="2"/>
    <x v="3"/>
  </r>
  <r>
    <s v="CA-2014-103317"/>
    <d v="2014-07-05T00:00:00"/>
    <d v="2014-07-08T00:00:00"/>
    <x v="2"/>
    <s v="DM-13525"/>
    <s v="Don Miller"/>
    <x v="1"/>
    <x v="273"/>
    <x v="1"/>
    <x v="0"/>
    <s v="FUR-FU-10003192"/>
    <s v="Furniture"/>
    <x v="3"/>
    <s v="Luxo Adjustable Task Clamp Lamp"/>
    <n v="213.21600000000001"/>
    <n v="3"/>
    <n v="15.991199999999999"/>
    <x v="0"/>
    <x v="2"/>
    <x v="3"/>
  </r>
  <r>
    <s v="US-2014-119081"/>
    <d v="2014-09-12T00:00:00"/>
    <d v="2014-09-19T00:00:00"/>
    <x v="1"/>
    <s v="TA-21385"/>
    <s v="Tom Ashbrook"/>
    <x v="2"/>
    <x v="274"/>
    <x v="44"/>
    <x v="3"/>
    <s v="FUR-FU-10003464"/>
    <s v="Furniture"/>
    <x v="3"/>
    <s v="Seth Thomas 8 1/2&quot; Cubicle Clock"/>
    <n v="40.56"/>
    <n v="2"/>
    <n v="12.979200000000001"/>
    <x v="1"/>
    <x v="2"/>
    <x v="4"/>
  </r>
  <r>
    <s v="CA-2017-130631"/>
    <d v="2017-12-29T00:00:00"/>
    <d v="2018-01-02T00:00:00"/>
    <x v="1"/>
    <s v="BS-11755"/>
    <s v="Bruce Stewart"/>
    <x v="0"/>
    <x v="71"/>
    <x v="13"/>
    <x v="1"/>
    <s v="FUR-FU-10004093"/>
    <s v="Furniture"/>
    <x v="3"/>
    <s v="Hand-Finished Solid Wood Document Frame"/>
    <n v="68.459999999999994"/>
    <n v="2"/>
    <n v="20.538"/>
    <x v="4"/>
    <x v="3"/>
    <x v="5"/>
  </r>
  <r>
    <s v="CA-2017-116680"/>
    <d v="2017-09-04T00:00:00"/>
    <d v="2017-09-06T00:00:00"/>
    <x v="0"/>
    <s v="PK-19075"/>
    <s v="Pete Kriz"/>
    <x v="0"/>
    <x v="28"/>
    <x v="2"/>
    <x v="1"/>
    <s v="FUR-TA-10001771"/>
    <s v="Furniture"/>
    <x v="2"/>
    <s v="Bush Cubix Conference Tables, Fully Assembled"/>
    <n v="1478.2719999999999"/>
    <n v="8"/>
    <n v="92.391999999999996"/>
    <x v="3"/>
    <x v="3"/>
    <x v="4"/>
  </r>
  <r>
    <s v="CA-2017-101574"/>
    <d v="2017-09-28T00:00:00"/>
    <d v="2017-10-04T00:00:00"/>
    <x v="1"/>
    <s v="BD-11725"/>
    <s v="Bruce Degenhardt"/>
    <x v="0"/>
    <x v="2"/>
    <x v="2"/>
    <x v="1"/>
    <s v="FUR-FU-10001706"/>
    <s v="Furniture"/>
    <x v="3"/>
    <s v="Longer-Life Soft White Bulbs"/>
    <n v="9.24"/>
    <n v="3"/>
    <n v="4.4352"/>
    <x v="6"/>
    <x v="3"/>
    <x v="4"/>
  </r>
  <r>
    <s v="CA-2014-146591"/>
    <d v="2014-01-19T00:00:00"/>
    <d v="2014-01-20T00:00:00"/>
    <x v="2"/>
    <s v="TS-21340"/>
    <s v="Toby Swindell"/>
    <x v="0"/>
    <x v="163"/>
    <x v="22"/>
    <x v="1"/>
    <s v="FUR-BO-10001972"/>
    <s v="Furniture"/>
    <x v="0"/>
    <s v="O'Sullivan 4-Shelf Bookcase in Odessa Pine"/>
    <n v="181.47"/>
    <n v="5"/>
    <n v="-320.59699999999998"/>
    <x v="5"/>
    <x v="2"/>
    <x v="8"/>
  </r>
  <r>
    <s v="CA-2016-122448"/>
    <d v="2016-06-09T00:00:00"/>
    <d v="2016-06-14T00:00:00"/>
    <x v="1"/>
    <s v="DB-13210"/>
    <s v="Dean Braden"/>
    <x v="0"/>
    <x v="28"/>
    <x v="2"/>
    <x v="1"/>
    <s v="FUR-CH-10002774"/>
    <s v="Furniture"/>
    <x v="1"/>
    <s v="Global Deluxe Stacking Chair, Gray"/>
    <n v="122.352"/>
    <n v="3"/>
    <n v="13.7646"/>
    <x v="2"/>
    <x v="0"/>
    <x v="2"/>
  </r>
  <r>
    <s v="CA-2014-132451"/>
    <d v="2014-09-26T00:00:00"/>
    <d v="2014-09-27T00:00:00"/>
    <x v="2"/>
    <s v="KF-16285"/>
    <s v="Karen Ferguson"/>
    <x v="2"/>
    <x v="53"/>
    <x v="2"/>
    <x v="1"/>
    <s v="FUR-CH-10000454"/>
    <s v="Furniture"/>
    <x v="1"/>
    <s v="Hon Deluxe Fabric Upholstered Stacking Chairs, Rounded Back"/>
    <n v="585.55200000000002"/>
    <n v="3"/>
    <n v="73.194000000000003"/>
    <x v="5"/>
    <x v="2"/>
    <x v="4"/>
  </r>
  <r>
    <s v="CA-2017-116946"/>
    <d v="2017-12-19T00:00:00"/>
    <d v="2017-12-23T00:00:00"/>
    <x v="1"/>
    <s v="TS-21505"/>
    <s v="Tony Sayre"/>
    <x v="0"/>
    <x v="47"/>
    <x v="12"/>
    <x v="1"/>
    <s v="FUR-FU-10000320"/>
    <s v="Furniture"/>
    <x v="3"/>
    <s v="OIC Stacking Trays"/>
    <n v="13.36"/>
    <n v="5"/>
    <n v="4.008"/>
    <x v="4"/>
    <x v="3"/>
    <x v="5"/>
  </r>
  <r>
    <s v="CA-2017-116946"/>
    <d v="2017-12-19T00:00:00"/>
    <d v="2017-12-23T00:00:00"/>
    <x v="1"/>
    <s v="TS-21505"/>
    <s v="Tony Sayre"/>
    <x v="0"/>
    <x v="47"/>
    <x v="12"/>
    <x v="1"/>
    <s v="FUR-BO-10000468"/>
    <s v="Furniture"/>
    <x v="0"/>
    <s v="O'Sullivan 2-Shelf Heavy-Duty Bookcases"/>
    <n v="102.018"/>
    <n v="7"/>
    <n v="-183.63239999999999"/>
    <x v="4"/>
    <x v="3"/>
    <x v="5"/>
  </r>
  <r>
    <s v="CA-2017-148999"/>
    <d v="2017-01-30T00:00:00"/>
    <d v="2017-02-04T00:00:00"/>
    <x v="1"/>
    <s v="EB-13870"/>
    <s v="Emily Burns"/>
    <x v="0"/>
    <x v="89"/>
    <x v="1"/>
    <x v="0"/>
    <s v="FUR-CH-10002044"/>
    <s v="Furniture"/>
    <x v="1"/>
    <s v="Office Star - Contemporary Task Swivel chair with 2-way adjustable arms, Plum"/>
    <n v="419.13600000000002"/>
    <n v="4"/>
    <n v="-68.1096"/>
    <x v="2"/>
    <x v="3"/>
    <x v="8"/>
  </r>
  <r>
    <s v="CA-2017-134495"/>
    <d v="2017-04-01T00:00:00"/>
    <d v="2017-04-04T00:00:00"/>
    <x v="0"/>
    <s v="BF-11020"/>
    <s v="Barry Franzšsisch"/>
    <x v="1"/>
    <x v="51"/>
    <x v="1"/>
    <x v="0"/>
    <s v="FUR-CH-10003774"/>
    <s v="Furniture"/>
    <x v="1"/>
    <s v="Global Wood Trimmed Manager's Task Chair, Khaki"/>
    <n v="218.352"/>
    <n v="3"/>
    <n v="-19.105799999999999"/>
    <x v="0"/>
    <x v="3"/>
    <x v="6"/>
  </r>
  <r>
    <s v="CA-2014-105249"/>
    <d v="2014-11-28T00:00:00"/>
    <d v="2014-11-28T00:00:00"/>
    <x v="3"/>
    <s v="DH-13675"/>
    <s v="Duane Huffman"/>
    <x v="2"/>
    <x v="28"/>
    <x v="2"/>
    <x v="1"/>
    <s v="FUR-BO-10000330"/>
    <s v="Furniture"/>
    <x v="0"/>
    <s v="Sauder Camden County Barrister Bookcase, Planked Cherry Finish"/>
    <n v="411.33199999999999"/>
    <n v="4"/>
    <n v="-4.8391999999999999"/>
    <x v="7"/>
    <x v="2"/>
    <x v="0"/>
  </r>
  <r>
    <s v="CA-2017-164378"/>
    <d v="2017-07-15T00:00:00"/>
    <d v="2017-07-18T00:00:00"/>
    <x v="0"/>
    <s v="MM-18055"/>
    <s v="Michelle Moray"/>
    <x v="0"/>
    <x v="13"/>
    <x v="7"/>
    <x v="2"/>
    <s v="FUR-CH-10002084"/>
    <s v="Furniture"/>
    <x v="1"/>
    <s v="Hon Mobius Operator's Chair"/>
    <n v="664.14599999999996"/>
    <n v="6"/>
    <n v="88.552800000000005"/>
    <x v="0"/>
    <x v="3"/>
    <x v="3"/>
  </r>
  <r>
    <s v="CA-2017-127782"/>
    <d v="2017-11-02T00:00:00"/>
    <d v="2017-11-06T00:00:00"/>
    <x v="1"/>
    <s v="TH-21115"/>
    <s v="Thea Hudgings"/>
    <x v="1"/>
    <x v="3"/>
    <x v="3"/>
    <x v="2"/>
    <s v="FUR-FU-10001847"/>
    <s v="Furniture"/>
    <x v="3"/>
    <s v="Eldon Image Series Black Desk Accessories"/>
    <n v="3.3119999999999998"/>
    <n v="1"/>
    <n v="0.66239999999999999"/>
    <x v="4"/>
    <x v="3"/>
    <x v="0"/>
  </r>
  <r>
    <s v="CA-2015-168529"/>
    <d v="2015-10-08T00:00:00"/>
    <d v="2015-10-12T00:00:00"/>
    <x v="1"/>
    <s v="MB-17305"/>
    <s v="Maria Bertelson"/>
    <x v="0"/>
    <x v="28"/>
    <x v="2"/>
    <x v="1"/>
    <s v="FUR-FU-10001588"/>
    <s v="Furniture"/>
    <x v="3"/>
    <s v="Deflect-o SuperTray Unbreakable Stackable Tray, Letter, Black"/>
    <n v="145.9"/>
    <n v="5"/>
    <n v="62.737000000000002"/>
    <x v="4"/>
    <x v="1"/>
    <x v="1"/>
  </r>
  <r>
    <s v="CA-2017-117667"/>
    <d v="2017-12-04T00:00:00"/>
    <d v="2017-12-09T00:00:00"/>
    <x v="1"/>
    <s v="MS-17980"/>
    <s v="Michael Stewart"/>
    <x v="1"/>
    <x v="3"/>
    <x v="3"/>
    <x v="2"/>
    <s v="FUR-CH-10004540"/>
    <s v="Furniture"/>
    <x v="1"/>
    <s v="Global Chrome Stack Chair"/>
    <n v="239.96"/>
    <n v="10"/>
    <n v="-10.284000000000001"/>
    <x v="2"/>
    <x v="3"/>
    <x v="5"/>
  </r>
  <r>
    <s v="CA-2017-117667"/>
    <d v="2017-12-04T00:00:00"/>
    <d v="2017-12-09T00:00:00"/>
    <x v="1"/>
    <s v="MS-17980"/>
    <s v="Michael Stewart"/>
    <x v="1"/>
    <x v="3"/>
    <x v="3"/>
    <x v="2"/>
    <s v="FUR-FU-10004093"/>
    <s v="Furniture"/>
    <x v="3"/>
    <s v="Hand-Finished Solid Wood Document Frame"/>
    <n v="54.768000000000001"/>
    <n v="2"/>
    <n v="6.8460000000000001"/>
    <x v="2"/>
    <x v="3"/>
    <x v="5"/>
  </r>
  <r>
    <s v="US-2017-150595"/>
    <d v="2017-05-22T00:00:00"/>
    <d v="2017-05-26T00:00:00"/>
    <x v="1"/>
    <s v="LE-16810"/>
    <s v="Laurel Elliston"/>
    <x v="0"/>
    <x v="9"/>
    <x v="8"/>
    <x v="3"/>
    <s v="FUR-CH-10000513"/>
    <s v="Furniture"/>
    <x v="1"/>
    <s v="High-Back Leather Manager's Chair"/>
    <n v="181.98599999999999"/>
    <n v="2"/>
    <n v="-54.595799999999997"/>
    <x v="4"/>
    <x v="3"/>
    <x v="7"/>
  </r>
  <r>
    <s v="CA-2016-134936"/>
    <d v="2016-12-19T00:00:00"/>
    <d v="2016-12-25T00:00:00"/>
    <x v="1"/>
    <s v="ES-14080"/>
    <s v="Erin Smith"/>
    <x v="1"/>
    <x v="104"/>
    <x v="22"/>
    <x v="1"/>
    <s v="FUR-TA-10001086"/>
    <s v="Furniture"/>
    <x v="2"/>
    <s v="SAFCO PlanMaster Boards, 60w x 37-1/2d, White Melamine"/>
    <n v="455.97"/>
    <n v="6"/>
    <n v="-218.8656"/>
    <x v="6"/>
    <x v="0"/>
    <x v="5"/>
  </r>
  <r>
    <s v="CA-2017-151008"/>
    <d v="2017-09-07T00:00:00"/>
    <d v="2017-09-08T00:00:00"/>
    <x v="2"/>
    <s v="JM-16195"/>
    <s v="Justin MacKendrick"/>
    <x v="0"/>
    <x v="275"/>
    <x v="4"/>
    <x v="1"/>
    <s v="FUR-FU-10002396"/>
    <s v="Furniture"/>
    <x v="3"/>
    <s v="DAX Copper Panel Document Frame, 5 x 7 Size"/>
    <n v="25.16"/>
    <n v="2"/>
    <n v="10.5672"/>
    <x v="5"/>
    <x v="3"/>
    <x v="4"/>
  </r>
  <r>
    <s v="US-2014-159618"/>
    <d v="2014-11-12T00:00:00"/>
    <d v="2014-11-16T00:00:00"/>
    <x v="1"/>
    <s v="DB-12970"/>
    <s v="Darren Budd"/>
    <x v="1"/>
    <x v="6"/>
    <x v="5"/>
    <x v="3"/>
    <s v="FUR-BO-10004467"/>
    <s v="Furniture"/>
    <x v="0"/>
    <s v="Bestar Classic Bookcase"/>
    <n v="67.993200000000002"/>
    <n v="1"/>
    <n v="-12.998699999999999"/>
    <x v="4"/>
    <x v="2"/>
    <x v="0"/>
  </r>
  <r>
    <s v="CA-2017-116113"/>
    <d v="2017-10-02T00:00:00"/>
    <d v="2017-10-06T00:00:00"/>
    <x v="0"/>
    <s v="JW-15220"/>
    <s v="Jane Waco"/>
    <x v="1"/>
    <x v="132"/>
    <x v="33"/>
    <x v="0"/>
    <s v="FUR-FU-10002963"/>
    <s v="Furniture"/>
    <x v="3"/>
    <s v="Master Caster Door Stop, Gray"/>
    <n v="10.16"/>
    <n v="2"/>
    <n v="3.4544000000000001"/>
    <x v="4"/>
    <x v="3"/>
    <x v="1"/>
  </r>
  <r>
    <s v="CA-2015-125066"/>
    <d v="2015-12-14T00:00:00"/>
    <d v="2015-12-18T00:00:00"/>
    <x v="1"/>
    <s v="KD-16495"/>
    <s v="Keith Dawkins"/>
    <x v="1"/>
    <x v="38"/>
    <x v="21"/>
    <x v="0"/>
    <s v="FUR-FU-10003829"/>
    <s v="Furniture"/>
    <x v="3"/>
    <s v="Stackable Trays"/>
    <n v="6.16"/>
    <n v="2"/>
    <n v="1.9712000000000001"/>
    <x v="4"/>
    <x v="1"/>
    <x v="5"/>
  </r>
  <r>
    <s v="CA-2017-157966"/>
    <d v="2017-03-13T00:00:00"/>
    <d v="2017-03-13T00:00:00"/>
    <x v="3"/>
    <s v="SU-20665"/>
    <s v="Stephanie Ulpright"/>
    <x v="2"/>
    <x v="9"/>
    <x v="8"/>
    <x v="3"/>
    <s v="FUR-CH-10003606"/>
    <s v="Furniture"/>
    <x v="1"/>
    <s v="SAFCO Folding Chair Trolley"/>
    <n v="89.768000000000001"/>
    <n v="1"/>
    <n v="-2.5648"/>
    <x v="7"/>
    <x v="3"/>
    <x v="9"/>
  </r>
  <r>
    <s v="CA-2016-136686"/>
    <d v="2016-12-12T00:00:00"/>
    <d v="2016-12-16T00:00:00"/>
    <x v="1"/>
    <s v="RF-19840"/>
    <s v="Roy Franzšsisch"/>
    <x v="0"/>
    <x v="102"/>
    <x v="2"/>
    <x v="1"/>
    <s v="FUR-FU-10004864"/>
    <s v="Furniture"/>
    <x v="3"/>
    <s v="Howard Miller 14-1/2&quot; Diameter Chrome Round Wall Clock"/>
    <n v="383.64"/>
    <n v="6"/>
    <n v="122.76479999999999"/>
    <x v="4"/>
    <x v="0"/>
    <x v="5"/>
  </r>
  <r>
    <s v="CA-2017-137498"/>
    <d v="2017-09-09T00:00:00"/>
    <d v="2017-09-14T00:00:00"/>
    <x v="0"/>
    <s v="LC-17050"/>
    <s v="Liz Carlisle"/>
    <x v="0"/>
    <x v="2"/>
    <x v="2"/>
    <x v="1"/>
    <s v="FUR-CH-10003833"/>
    <s v="Furniture"/>
    <x v="1"/>
    <s v="Novimex Fabric Task Chair"/>
    <n v="243.92"/>
    <n v="5"/>
    <n v="-15.244999999999999"/>
    <x v="2"/>
    <x v="3"/>
    <x v="4"/>
  </r>
  <r>
    <s v="CA-2017-163818"/>
    <d v="2017-10-04T00:00:00"/>
    <d v="2017-10-08T00:00:00"/>
    <x v="1"/>
    <s v="PS-18970"/>
    <s v="Paul Stevenson"/>
    <x v="2"/>
    <x v="218"/>
    <x v="32"/>
    <x v="2"/>
    <s v="FUR-FU-10000076"/>
    <s v="Furniture"/>
    <x v="3"/>
    <s v="24-Hour Round Wall Clock"/>
    <n v="19.98"/>
    <n v="1"/>
    <n v="8.5914000000000001"/>
    <x v="4"/>
    <x v="3"/>
    <x v="1"/>
  </r>
  <r>
    <s v="CA-2014-116673"/>
    <d v="2014-12-15T00:00:00"/>
    <d v="2014-12-19T00:00:00"/>
    <x v="0"/>
    <s v="JO-15280"/>
    <s v="Jas O'Carroll"/>
    <x v="0"/>
    <x v="53"/>
    <x v="2"/>
    <x v="1"/>
    <s v="FUR-FU-10003829"/>
    <s v="Furniture"/>
    <x v="3"/>
    <s v="Stackable Trays"/>
    <n v="6.16"/>
    <n v="2"/>
    <n v="1.9712000000000001"/>
    <x v="4"/>
    <x v="2"/>
    <x v="5"/>
  </r>
  <r>
    <s v="CA-2014-164742"/>
    <d v="2014-10-13T00:00:00"/>
    <d v="2014-10-18T00:00:00"/>
    <x v="0"/>
    <s v="ML-17395"/>
    <s v="Marina Lichtenstein"/>
    <x v="1"/>
    <x v="174"/>
    <x v="18"/>
    <x v="2"/>
    <s v="FUR-CH-10002880"/>
    <s v="Furniture"/>
    <x v="1"/>
    <s v="Global High-Back Leather Tilter, Burgundy"/>
    <n v="245.98"/>
    <n v="2"/>
    <n v="27.0578"/>
    <x v="2"/>
    <x v="2"/>
    <x v="1"/>
  </r>
  <r>
    <s v="CA-2016-134516"/>
    <d v="2016-09-20T00:00:00"/>
    <d v="2016-09-25T00:00:00"/>
    <x v="1"/>
    <s v="FM-14215"/>
    <s v="Filia McAdams"/>
    <x v="1"/>
    <x v="224"/>
    <x v="30"/>
    <x v="0"/>
    <s v="FUR-FU-10001546"/>
    <s v="Furniture"/>
    <x v="3"/>
    <s v="Dana Swing-Arm Lamps"/>
    <n v="17.088000000000001"/>
    <n v="2"/>
    <n v="1.0680000000000001"/>
    <x v="2"/>
    <x v="0"/>
    <x v="4"/>
  </r>
  <r>
    <s v="CA-2016-134516"/>
    <d v="2016-09-20T00:00:00"/>
    <d v="2016-09-25T00:00:00"/>
    <x v="1"/>
    <s v="FM-14215"/>
    <s v="Filia McAdams"/>
    <x v="1"/>
    <x v="224"/>
    <x v="30"/>
    <x v="0"/>
    <s v="FUR-CH-10002880"/>
    <s v="Furniture"/>
    <x v="1"/>
    <s v="Global High-Back Leather Tilter, Burgundy"/>
    <n v="98.391999999999996"/>
    <n v="1"/>
    <n v="-11.069100000000001"/>
    <x v="2"/>
    <x v="0"/>
    <x v="4"/>
  </r>
  <r>
    <s v="CA-2017-125745"/>
    <d v="2017-06-30T00:00:00"/>
    <d v="2017-07-04T00:00:00"/>
    <x v="1"/>
    <s v="DV-13045"/>
    <s v="Darrin Van Huff"/>
    <x v="1"/>
    <x v="10"/>
    <x v="9"/>
    <x v="0"/>
    <s v="FUR-FU-10001591"/>
    <s v="Furniture"/>
    <x v="3"/>
    <s v="Advantus Panel Wall Certificate Holder - 8.5x11"/>
    <n v="19.52"/>
    <n v="2"/>
    <n v="5.3680000000000003"/>
    <x v="4"/>
    <x v="3"/>
    <x v="2"/>
  </r>
  <r>
    <s v="US-2016-124163"/>
    <d v="2016-09-25T00:00:00"/>
    <d v="2016-09-30T00:00:00"/>
    <x v="1"/>
    <s v="SC-20695"/>
    <s v="Steve Chapman"/>
    <x v="1"/>
    <x v="276"/>
    <x v="16"/>
    <x v="3"/>
    <s v="FUR-CH-10004218"/>
    <s v="Furniture"/>
    <x v="1"/>
    <s v="Global Fabric Manager's Chair, Dark Gray"/>
    <n v="201.96"/>
    <n v="2"/>
    <n v="50.49"/>
    <x v="2"/>
    <x v="0"/>
    <x v="4"/>
  </r>
  <r>
    <s v="US-2016-124163"/>
    <d v="2016-09-25T00:00:00"/>
    <d v="2016-09-30T00:00:00"/>
    <x v="1"/>
    <s v="SC-20695"/>
    <s v="Steve Chapman"/>
    <x v="1"/>
    <x v="276"/>
    <x v="16"/>
    <x v="3"/>
    <s v="FUR-FU-10000755"/>
    <s v="Furniture"/>
    <x v="3"/>
    <s v="Eldon Expressions Mahogany Wood Desk Collection"/>
    <n v="68.64"/>
    <n v="11"/>
    <n v="17.16"/>
    <x v="2"/>
    <x v="0"/>
    <x v="4"/>
  </r>
  <r>
    <s v="CA-2014-126683"/>
    <d v="2014-09-29T00:00:00"/>
    <d v="2014-10-01T00:00:00"/>
    <x v="0"/>
    <s v="PP-18955"/>
    <s v="Paul Prost"/>
    <x v="2"/>
    <x v="15"/>
    <x v="13"/>
    <x v="1"/>
    <s v="FUR-FU-10001706"/>
    <s v="Furniture"/>
    <x v="3"/>
    <s v="Longer-Life Soft White Bulbs"/>
    <n v="6.16"/>
    <n v="2"/>
    <n v="2.9567999999999999"/>
    <x v="3"/>
    <x v="2"/>
    <x v="4"/>
  </r>
  <r>
    <s v="CA-2014-126683"/>
    <d v="2014-09-29T00:00:00"/>
    <d v="2014-10-01T00:00:00"/>
    <x v="0"/>
    <s v="PP-18955"/>
    <s v="Paul Prost"/>
    <x v="2"/>
    <x v="15"/>
    <x v="13"/>
    <x v="1"/>
    <s v="FUR-TA-10002958"/>
    <s v="Furniture"/>
    <x v="2"/>
    <s v="Bevis Oval Conference Table, Walnut"/>
    <n v="2348.8200000000002"/>
    <n v="9"/>
    <n v="399.29939999999999"/>
    <x v="3"/>
    <x v="2"/>
    <x v="4"/>
  </r>
  <r>
    <s v="CA-2017-148810"/>
    <d v="2017-06-26T00:00:00"/>
    <d v="2017-07-01T00:00:00"/>
    <x v="1"/>
    <s v="DR-12880"/>
    <s v="Dan Reichenbach"/>
    <x v="1"/>
    <x v="89"/>
    <x v="1"/>
    <x v="0"/>
    <s v="FUR-CH-10001545"/>
    <s v="Furniture"/>
    <x v="1"/>
    <s v="Hon Comfortask Task/Swivel Chairs"/>
    <n v="273.55200000000002"/>
    <n v="3"/>
    <n v="-13.6776"/>
    <x v="2"/>
    <x v="3"/>
    <x v="2"/>
  </r>
  <r>
    <s v="US-2016-146066"/>
    <d v="2016-08-21T00:00:00"/>
    <d v="2016-08-23T00:00:00"/>
    <x v="0"/>
    <s v="RB-19465"/>
    <s v="Rick Bensley"/>
    <x v="2"/>
    <x v="3"/>
    <x v="3"/>
    <x v="2"/>
    <s v="FUR-TA-10002530"/>
    <s v="Furniture"/>
    <x v="2"/>
    <s v="Iceberg OfficeWorks 42&quot; Round Tables"/>
    <n v="815.29200000000003"/>
    <n v="9"/>
    <n v="-339.70499999999998"/>
    <x v="3"/>
    <x v="0"/>
    <x v="10"/>
  </r>
  <r>
    <s v="CA-2014-127614"/>
    <d v="2014-02-11T00:00:00"/>
    <d v="2014-02-15T00:00:00"/>
    <x v="1"/>
    <s v="NF-18385"/>
    <s v="Natalie Fritzler"/>
    <x v="0"/>
    <x v="180"/>
    <x v="25"/>
    <x v="0"/>
    <s v="FUR-TA-10003715"/>
    <s v="Furniture"/>
    <x v="2"/>
    <s v="Hon 2111 Invitation Series Corner Table"/>
    <n v="1256.22"/>
    <n v="6"/>
    <n v="75.373199999999997"/>
    <x v="4"/>
    <x v="2"/>
    <x v="11"/>
  </r>
  <r>
    <s v="CA-2017-113208"/>
    <d v="2017-03-26T00:00:00"/>
    <d v="2017-04-02T00:00:00"/>
    <x v="1"/>
    <s v="ML-18040"/>
    <s v="Michelle Lonsdale"/>
    <x v="1"/>
    <x v="54"/>
    <x v="17"/>
    <x v="3"/>
    <s v="FUR-FU-10004245"/>
    <s v="Furniture"/>
    <x v="3"/>
    <s v="Career Cubicle Clock, 8 1/4&quot;, Black"/>
    <n v="60.84"/>
    <n v="3"/>
    <n v="23.119199999999999"/>
    <x v="1"/>
    <x v="3"/>
    <x v="9"/>
  </r>
  <r>
    <s v="CA-2014-154893"/>
    <d v="2014-12-21T00:00:00"/>
    <d v="2014-12-27T00:00:00"/>
    <x v="1"/>
    <s v="GM-14440"/>
    <s v="Gary McGarr"/>
    <x v="0"/>
    <x v="53"/>
    <x v="2"/>
    <x v="1"/>
    <s v="FUR-CH-10004287"/>
    <s v="Furniture"/>
    <x v="1"/>
    <s v="SAFCO Arco Folding Chair"/>
    <n v="1325.76"/>
    <n v="6"/>
    <n v="149.148"/>
    <x v="6"/>
    <x v="2"/>
    <x v="5"/>
  </r>
  <r>
    <s v="CA-2014-154893"/>
    <d v="2014-12-21T00:00:00"/>
    <d v="2014-12-27T00:00:00"/>
    <x v="1"/>
    <s v="GM-14440"/>
    <s v="Gary McGarr"/>
    <x v="0"/>
    <x v="53"/>
    <x v="2"/>
    <x v="1"/>
    <s v="FUR-CH-10000595"/>
    <s v="Furniture"/>
    <x v="1"/>
    <s v="Safco Contoured Stacking Chairs"/>
    <n v="572.16"/>
    <n v="3"/>
    <n v="35.76"/>
    <x v="6"/>
    <x v="2"/>
    <x v="5"/>
  </r>
  <r>
    <s v="CA-2016-127985"/>
    <d v="2016-04-01T00:00:00"/>
    <d v="2016-04-05T00:00:00"/>
    <x v="0"/>
    <s v="DB-12910"/>
    <s v="Daniel Byrd"/>
    <x v="2"/>
    <x v="29"/>
    <x v="24"/>
    <x v="0"/>
    <s v="FUR-FU-10003274"/>
    <s v="Furniture"/>
    <x v="3"/>
    <s v="Regeneration Desk Collection"/>
    <n v="7.04"/>
    <n v="4"/>
    <n v="3.0975999999999999"/>
    <x v="4"/>
    <x v="0"/>
    <x v="6"/>
  </r>
  <r>
    <s v="CA-2017-127117"/>
    <d v="2017-04-14T00:00:00"/>
    <d v="2017-04-19T00:00:00"/>
    <x v="1"/>
    <s v="HM-14860"/>
    <s v="Harry Marie"/>
    <x v="1"/>
    <x v="277"/>
    <x v="18"/>
    <x v="2"/>
    <s v="FUR-FU-10004018"/>
    <s v="Furniture"/>
    <x v="3"/>
    <s v="Tensor Computer Mounted Lamp"/>
    <n v="74.45"/>
    <n v="5"/>
    <n v="20.101500000000001"/>
    <x v="2"/>
    <x v="3"/>
    <x v="6"/>
  </r>
  <r>
    <s v="CA-2015-104241"/>
    <d v="2015-01-04T00:00:00"/>
    <d v="2015-01-09T00:00:00"/>
    <x v="1"/>
    <s v="AG-10495"/>
    <s v="Andrew Gjertsen"/>
    <x v="1"/>
    <x v="166"/>
    <x v="25"/>
    <x v="0"/>
    <s v="FUR-FU-10001473"/>
    <s v="Furniture"/>
    <x v="3"/>
    <s v="DAX Wood Document Frame"/>
    <n v="192.22"/>
    <n v="14"/>
    <n v="69.199200000000005"/>
    <x v="2"/>
    <x v="1"/>
    <x v="8"/>
  </r>
  <r>
    <s v="CA-2017-142342"/>
    <d v="2017-07-17T00:00:00"/>
    <d v="2017-07-19T00:00:00"/>
    <x v="0"/>
    <s v="AJ-10795"/>
    <s v="Anthony Johnson"/>
    <x v="1"/>
    <x v="278"/>
    <x v="2"/>
    <x v="1"/>
    <s v="FUR-BO-10002613"/>
    <s v="Furniture"/>
    <x v="0"/>
    <s v="Atlantic Metals Mobile 4-Shelf Bookcases, Custom Colors"/>
    <n v="1194.165"/>
    <n v="5"/>
    <n v="210.73500000000001"/>
    <x v="3"/>
    <x v="3"/>
    <x v="3"/>
  </r>
  <r>
    <s v="CA-2016-145261"/>
    <d v="2016-12-18T00:00:00"/>
    <d v="2016-12-21T00:00:00"/>
    <x v="2"/>
    <s v="AH-10120"/>
    <s v="Adrian Hane"/>
    <x v="2"/>
    <x v="279"/>
    <x v="36"/>
    <x v="1"/>
    <s v="FUR-TA-10002530"/>
    <s v="Furniture"/>
    <x v="2"/>
    <s v="Iceberg OfficeWorks 42&quot; Round Tables"/>
    <n v="377.45"/>
    <n v="5"/>
    <n v="-264.21499999999997"/>
    <x v="0"/>
    <x v="0"/>
    <x v="5"/>
  </r>
  <r>
    <s v="CA-2016-108875"/>
    <d v="2016-09-24T00:00:00"/>
    <d v="2016-10-01T00:00:00"/>
    <x v="1"/>
    <s v="CL-12700"/>
    <s v="Craig Leslie"/>
    <x v="2"/>
    <x v="14"/>
    <x v="12"/>
    <x v="1"/>
    <s v="FUR-FU-10002671"/>
    <s v="Furniture"/>
    <x v="3"/>
    <s v="Electrix 20W Halogen Replacement Bulb for Zoom-In Desk Lamp"/>
    <n v="21.44"/>
    <n v="2"/>
    <n v="7.5039999999999996"/>
    <x v="1"/>
    <x v="0"/>
    <x v="4"/>
  </r>
  <r>
    <s v="CA-2015-141012"/>
    <d v="2015-06-09T00:00:00"/>
    <d v="2015-06-11T00:00:00"/>
    <x v="0"/>
    <s v="TG-21640"/>
    <s v="Trudy Glocke"/>
    <x v="0"/>
    <x v="280"/>
    <x v="42"/>
    <x v="1"/>
    <s v="FUR-FU-10003192"/>
    <s v="Furniture"/>
    <x v="3"/>
    <s v="Luxo Adjustable Task Clamp Lamp"/>
    <n v="355.36"/>
    <n v="4"/>
    <n v="92.393600000000006"/>
    <x v="3"/>
    <x v="1"/>
    <x v="2"/>
  </r>
  <r>
    <s v="CA-2014-126802"/>
    <d v="2014-12-29T00:00:00"/>
    <d v="2015-01-05T00:00:00"/>
    <x v="1"/>
    <s v="ZC-21910"/>
    <s v="Zuschuss Carroll"/>
    <x v="0"/>
    <x v="9"/>
    <x v="8"/>
    <x v="3"/>
    <s v="FUR-FU-10000193"/>
    <s v="Furniture"/>
    <x v="3"/>
    <s v="Tenex Chairmats For Use with Hard Floors"/>
    <n v="38.975999999999999"/>
    <n v="3"/>
    <n v="-50.668799999999997"/>
    <x v="1"/>
    <x v="2"/>
    <x v="5"/>
  </r>
  <r>
    <s v="CA-2014-131541"/>
    <d v="2014-07-28T00:00:00"/>
    <d v="2014-07-28T00:00:00"/>
    <x v="3"/>
    <s v="CK-12205"/>
    <s v="Chloris Kastensmidt"/>
    <x v="0"/>
    <x v="281"/>
    <x v="1"/>
    <x v="0"/>
    <s v="FUR-FU-10003623"/>
    <s v="Furniture"/>
    <x v="3"/>
    <s v="DataProducts Ampli Magnifier Task Lamp, Black,"/>
    <n v="129.88800000000001"/>
    <n v="6"/>
    <n v="12.988799999999999"/>
    <x v="7"/>
    <x v="2"/>
    <x v="3"/>
  </r>
  <r>
    <s v="CA-2015-119550"/>
    <d v="2015-12-26T00:00:00"/>
    <d v="2015-12-31T00:00:00"/>
    <x v="1"/>
    <s v="RB-19705"/>
    <s v="Roger Barcio"/>
    <x v="2"/>
    <x v="6"/>
    <x v="5"/>
    <x v="3"/>
    <s v="FUR-CH-10002044"/>
    <s v="Furniture"/>
    <x v="1"/>
    <s v="Office Star - Contemporary Task Swivel chair with 2-way adjustable arms, Plum"/>
    <n v="275.05799999999999"/>
    <n v="3"/>
    <n v="-90.376199999999997"/>
    <x v="2"/>
    <x v="1"/>
    <x v="5"/>
  </r>
  <r>
    <s v="US-2015-138093"/>
    <d v="2015-12-10T00:00:00"/>
    <d v="2015-12-16T00:00:00"/>
    <x v="1"/>
    <s v="KM-16225"/>
    <s v="Kalyca Meade"/>
    <x v="1"/>
    <x v="237"/>
    <x v="32"/>
    <x v="2"/>
    <s v="FUR-CH-10000785"/>
    <s v="Furniture"/>
    <x v="1"/>
    <s v="Global Ergonomic Managers Chair"/>
    <n v="542.94000000000005"/>
    <n v="3"/>
    <n v="141.1644"/>
    <x v="6"/>
    <x v="1"/>
    <x v="5"/>
  </r>
  <r>
    <s v="CA-2016-126165"/>
    <d v="2016-05-05T00:00:00"/>
    <d v="2016-05-07T00:00:00"/>
    <x v="0"/>
    <s v="AH-10465"/>
    <s v="Amy Hunt"/>
    <x v="0"/>
    <x v="28"/>
    <x v="2"/>
    <x v="1"/>
    <s v="FUR-TA-10001676"/>
    <s v="Furniture"/>
    <x v="2"/>
    <s v="Hon 61000 Series Interactive Training Tables"/>
    <n v="71.087999999999994"/>
    <n v="2"/>
    <n v="-1.7771999999999999"/>
    <x v="3"/>
    <x v="0"/>
    <x v="7"/>
  </r>
  <r>
    <s v="US-2014-123519"/>
    <d v="2014-12-14T00:00:00"/>
    <d v="2014-12-21T00:00:00"/>
    <x v="1"/>
    <s v="SS-20875"/>
    <s v="Sung Shariari"/>
    <x v="0"/>
    <x v="149"/>
    <x v="15"/>
    <x v="2"/>
    <s v="FUR-TA-10002645"/>
    <s v="Furniture"/>
    <x v="2"/>
    <s v="Hon Rectangular Conference Tables"/>
    <n v="136.53"/>
    <n v="1"/>
    <n v="-52.336500000000001"/>
    <x v="1"/>
    <x v="2"/>
    <x v="5"/>
  </r>
  <r>
    <s v="US-2015-160857"/>
    <d v="2015-05-08T00:00:00"/>
    <d v="2015-05-15T00:00:00"/>
    <x v="1"/>
    <s v="NW-18400"/>
    <s v="Natalie Webber"/>
    <x v="0"/>
    <x v="13"/>
    <x v="7"/>
    <x v="2"/>
    <s v="FUR-FU-10001095"/>
    <s v="Furniture"/>
    <x v="3"/>
    <s v="DAX Black Cherry Wood-Tone Poster Frame"/>
    <n v="79.44"/>
    <n v="3"/>
    <n v="30.187200000000001"/>
    <x v="1"/>
    <x v="1"/>
    <x v="7"/>
  </r>
  <r>
    <s v="US-2015-160857"/>
    <d v="2015-05-08T00:00:00"/>
    <d v="2015-05-15T00:00:00"/>
    <x v="1"/>
    <s v="NW-18400"/>
    <s v="Natalie Webber"/>
    <x v="0"/>
    <x v="13"/>
    <x v="7"/>
    <x v="2"/>
    <s v="FUR-CH-10002647"/>
    <s v="Furniture"/>
    <x v="1"/>
    <s v="Situations Contoured Folding Chairs, 4/Set"/>
    <n v="127.764"/>
    <n v="2"/>
    <n v="21.294"/>
    <x v="1"/>
    <x v="1"/>
    <x v="7"/>
  </r>
  <r>
    <s v="CA-2017-117324"/>
    <d v="2017-12-08T00:00:00"/>
    <d v="2017-12-13T00:00:00"/>
    <x v="1"/>
    <s v="JP-15520"/>
    <s v="Jeremy Pistek"/>
    <x v="0"/>
    <x v="123"/>
    <x v="16"/>
    <x v="3"/>
    <s v="FUR-BO-10003159"/>
    <s v="Furniture"/>
    <x v="0"/>
    <s v="Sauder Camden County Collection Libraries, Planked Cherry Finish"/>
    <n v="459.92"/>
    <n v="4"/>
    <n v="41.392800000000001"/>
    <x v="2"/>
    <x v="3"/>
    <x v="5"/>
  </r>
  <r>
    <s v="CA-2017-143574"/>
    <d v="2017-06-29T00:00:00"/>
    <d v="2017-07-02T00:00:00"/>
    <x v="2"/>
    <s v="DR-12880"/>
    <s v="Dan Reichenbach"/>
    <x v="1"/>
    <x v="282"/>
    <x v="19"/>
    <x v="2"/>
    <s v="FUR-BO-10002598"/>
    <s v="Furniture"/>
    <x v="0"/>
    <s v="Hon Metal Bookcases, Putty"/>
    <n v="638.82000000000005"/>
    <n v="9"/>
    <n v="185.2578"/>
    <x v="0"/>
    <x v="3"/>
    <x v="2"/>
  </r>
  <r>
    <s v="CA-2017-143574"/>
    <d v="2017-06-29T00:00:00"/>
    <d v="2017-07-02T00:00:00"/>
    <x v="2"/>
    <s v="DR-12880"/>
    <s v="Dan Reichenbach"/>
    <x v="1"/>
    <x v="282"/>
    <x v="19"/>
    <x v="2"/>
    <s v="FUR-FU-10003976"/>
    <s v="Furniture"/>
    <x v="3"/>
    <s v="DAX Executive Solid Wood Document Frame, Desktop or Hang, Mahogany, 5 x 7"/>
    <n v="25.16"/>
    <n v="2"/>
    <n v="8.5543999999999993"/>
    <x v="0"/>
    <x v="3"/>
    <x v="2"/>
  </r>
  <r>
    <s v="CA-2014-148614"/>
    <d v="2014-01-20T00:00:00"/>
    <d v="2014-01-25T00:00:00"/>
    <x v="1"/>
    <s v="MV-17485"/>
    <s v="Mark Van Huff"/>
    <x v="0"/>
    <x v="2"/>
    <x v="2"/>
    <x v="1"/>
    <s v="FUR-FU-10003194"/>
    <s v="Furniture"/>
    <x v="3"/>
    <s v="Eldon Expressions Desk Accessory, Wood Pencil Holder, Oak"/>
    <n v="19.3"/>
    <n v="2"/>
    <n v="5.79"/>
    <x v="2"/>
    <x v="2"/>
    <x v="8"/>
  </r>
  <r>
    <s v="US-2017-147886"/>
    <d v="2017-03-28T00:00:00"/>
    <d v="2017-03-31T00:00:00"/>
    <x v="2"/>
    <s v="DH-13075"/>
    <s v="Dave Hallsten"/>
    <x v="1"/>
    <x v="130"/>
    <x v="2"/>
    <x v="1"/>
    <s v="FUR-FU-10001095"/>
    <s v="Furniture"/>
    <x v="3"/>
    <s v="DAX Black Cherry Wood-Tone Poster Frame"/>
    <n v="26.48"/>
    <n v="1"/>
    <n v="10.0624"/>
    <x v="0"/>
    <x v="3"/>
    <x v="9"/>
  </r>
  <r>
    <s v="US-2017-147886"/>
    <d v="2017-03-28T00:00:00"/>
    <d v="2017-03-31T00:00:00"/>
    <x v="2"/>
    <s v="DH-13075"/>
    <s v="Dave Hallsten"/>
    <x v="1"/>
    <x v="130"/>
    <x v="2"/>
    <x v="1"/>
    <s v="FUR-FU-10003829"/>
    <s v="Furniture"/>
    <x v="3"/>
    <s v="Stackable Trays"/>
    <n v="21.56"/>
    <n v="7"/>
    <n v="6.8992000000000004"/>
    <x v="0"/>
    <x v="3"/>
    <x v="9"/>
  </r>
  <r>
    <s v="CA-2014-145800"/>
    <d v="2014-05-30T00:00:00"/>
    <d v="2014-06-05T00:00:00"/>
    <x v="1"/>
    <s v="SS-20410"/>
    <s v="Shahid Shariari"/>
    <x v="0"/>
    <x v="283"/>
    <x v="8"/>
    <x v="3"/>
    <s v="FUR-TA-10001539"/>
    <s v="Furniture"/>
    <x v="2"/>
    <s v="Chromcraft Rectangular Conference Tables"/>
    <n v="355.45499999999998"/>
    <n v="3"/>
    <n v="-184.8366"/>
    <x v="6"/>
    <x v="2"/>
    <x v="7"/>
  </r>
  <r>
    <s v="CA-2016-118514"/>
    <d v="2016-02-03T00:00:00"/>
    <d v="2016-02-10T00:00:00"/>
    <x v="1"/>
    <s v="LC-17050"/>
    <s v="Liz Carlisle"/>
    <x v="0"/>
    <x v="52"/>
    <x v="0"/>
    <x v="0"/>
    <s v="FUR-CH-10000015"/>
    <s v="Furniture"/>
    <x v="1"/>
    <s v="Hon Multipurpose Stacking Arm Chairs"/>
    <n v="866.4"/>
    <n v="4"/>
    <n v="225.26400000000001"/>
    <x v="1"/>
    <x v="0"/>
    <x v="11"/>
  </r>
  <r>
    <s v="CA-2015-119634"/>
    <d v="2015-08-11T00:00:00"/>
    <d v="2015-08-16T00:00:00"/>
    <x v="1"/>
    <s v="BW-11065"/>
    <s v="Barry Weirich"/>
    <x v="0"/>
    <x v="168"/>
    <x v="30"/>
    <x v="0"/>
    <s v="FUR-FU-10004270"/>
    <s v="Furniture"/>
    <x v="3"/>
    <s v="Executive Impressions 13&quot; Clairmont Wall Clock"/>
    <n v="46.152000000000001"/>
    <n v="3"/>
    <n v="12.1149"/>
    <x v="2"/>
    <x v="1"/>
    <x v="10"/>
  </r>
  <r>
    <s v="CA-2017-158169"/>
    <d v="2017-08-12T00:00:00"/>
    <d v="2017-08-15T00:00:00"/>
    <x v="2"/>
    <s v="JM-16195"/>
    <s v="Justin MacKendrick"/>
    <x v="0"/>
    <x v="284"/>
    <x v="2"/>
    <x v="1"/>
    <s v="FUR-FU-10001473"/>
    <s v="Furniture"/>
    <x v="3"/>
    <s v="DAX Wood Document Frame"/>
    <n v="54.92"/>
    <n v="4"/>
    <n v="19.7712"/>
    <x v="0"/>
    <x v="3"/>
    <x v="10"/>
  </r>
  <r>
    <s v="CA-2015-162047"/>
    <d v="2015-11-03T00:00:00"/>
    <d v="2015-11-05T00:00:00"/>
    <x v="2"/>
    <s v="FH-14365"/>
    <s v="Fred Hopkins"/>
    <x v="1"/>
    <x v="62"/>
    <x v="7"/>
    <x v="2"/>
    <s v="FUR-CH-10004983"/>
    <s v="Furniture"/>
    <x v="1"/>
    <s v="Office Star - Mid Back Dual function Ergonomic High Back Chair with 2-Way Adjustable Arms"/>
    <n v="1448.82"/>
    <n v="10"/>
    <n v="209.274"/>
    <x v="3"/>
    <x v="1"/>
    <x v="0"/>
  </r>
  <r>
    <s v="CA-2015-103835"/>
    <d v="2015-09-24T00:00:00"/>
    <d v="2015-09-28T00:00:00"/>
    <x v="1"/>
    <s v="SC-20440"/>
    <s v="Shaun Chance"/>
    <x v="1"/>
    <x v="2"/>
    <x v="2"/>
    <x v="1"/>
    <s v="FUR-FU-10000010"/>
    <s v="Furniture"/>
    <x v="3"/>
    <s v="DAX Value U-Channel Document Frames, Easel Back"/>
    <n v="14.91"/>
    <n v="3"/>
    <n v="4.6220999999999997"/>
    <x v="4"/>
    <x v="1"/>
    <x v="4"/>
  </r>
  <r>
    <s v="CA-2016-142398"/>
    <d v="2016-04-12T00:00:00"/>
    <d v="2016-04-16T00:00:00"/>
    <x v="1"/>
    <s v="BP-11290"/>
    <s v="Beth Paige"/>
    <x v="0"/>
    <x v="2"/>
    <x v="2"/>
    <x v="1"/>
    <s v="FUR-CH-10001545"/>
    <s v="Furniture"/>
    <x v="1"/>
    <s v="Hon Comfortask Task/Swivel Chairs"/>
    <n v="638.28800000000001"/>
    <n v="7"/>
    <n v="-31.914400000000001"/>
    <x v="4"/>
    <x v="0"/>
    <x v="6"/>
  </r>
  <r>
    <s v="CA-2014-105270"/>
    <d v="2014-11-11T00:00:00"/>
    <d v="2014-11-18T00:00:00"/>
    <x v="1"/>
    <s v="AP-10915"/>
    <s v="Arthur Prichep"/>
    <x v="0"/>
    <x v="2"/>
    <x v="2"/>
    <x v="1"/>
    <s v="FUR-CH-10000988"/>
    <s v="Furniture"/>
    <x v="1"/>
    <s v="Hon Olson Stacker Stools"/>
    <n v="112.648"/>
    <n v="1"/>
    <n v="11.264799999999999"/>
    <x v="1"/>
    <x v="2"/>
    <x v="0"/>
  </r>
  <r>
    <s v="CA-2017-141117"/>
    <d v="2017-10-02T00:00:00"/>
    <d v="2017-10-08T00:00:00"/>
    <x v="1"/>
    <s v="JK-16090"/>
    <s v="Juliana Krohn"/>
    <x v="0"/>
    <x v="76"/>
    <x v="36"/>
    <x v="1"/>
    <s v="FUR-BO-10001972"/>
    <s v="Furniture"/>
    <x v="0"/>
    <s v="O'Sullivan 4-Shelf Bookcase in Odessa Pine"/>
    <n v="217.76400000000001"/>
    <n v="6"/>
    <n v="-384.71640000000002"/>
    <x v="6"/>
    <x v="3"/>
    <x v="1"/>
  </r>
  <r>
    <s v="CA-2017-115070"/>
    <d v="2017-04-10T00:00:00"/>
    <d v="2017-04-14T00:00:00"/>
    <x v="0"/>
    <s v="MG-18205"/>
    <s v="Mitch Gastineau"/>
    <x v="1"/>
    <x v="51"/>
    <x v="1"/>
    <x v="0"/>
    <s v="FUR-FU-10003829"/>
    <s v="Furniture"/>
    <x v="3"/>
    <s v="Stackable Trays"/>
    <n v="12.32"/>
    <n v="5"/>
    <n v="1.8480000000000001"/>
    <x v="4"/>
    <x v="3"/>
    <x v="6"/>
  </r>
  <r>
    <s v="CA-2017-140186"/>
    <d v="2017-09-29T00:00:00"/>
    <d v="2017-10-02T00:00:00"/>
    <x v="2"/>
    <s v="PG-18820"/>
    <s v="Patrick Gardner"/>
    <x v="0"/>
    <x v="175"/>
    <x v="2"/>
    <x v="1"/>
    <s v="FUR-CH-10002961"/>
    <s v="Furniture"/>
    <x v="1"/>
    <s v="Leather Task Chair, Black"/>
    <n v="72.784000000000006"/>
    <n v="1"/>
    <n v="0"/>
    <x v="0"/>
    <x v="3"/>
    <x v="4"/>
  </r>
  <r>
    <s v="CA-2017-140186"/>
    <d v="2017-09-29T00:00:00"/>
    <d v="2017-10-02T00:00:00"/>
    <x v="2"/>
    <s v="PG-18820"/>
    <s v="Patrick Gardner"/>
    <x v="0"/>
    <x v="175"/>
    <x v="2"/>
    <x v="1"/>
    <s v="FUR-FU-10004848"/>
    <s v="Furniture"/>
    <x v="3"/>
    <s v="Howard Miller 13-3/4&quot; Diameter Brushed Chrome Round Wall Clock"/>
    <n v="51.75"/>
    <n v="1"/>
    <n v="15.525"/>
    <x v="0"/>
    <x v="3"/>
    <x v="4"/>
  </r>
  <r>
    <s v="CA-2014-124856"/>
    <d v="2014-09-29T00:00:00"/>
    <d v="2014-10-03T00:00:00"/>
    <x v="0"/>
    <s v="LD-17005"/>
    <s v="Lisa DeCherney"/>
    <x v="0"/>
    <x v="13"/>
    <x v="7"/>
    <x v="2"/>
    <s v="FUR-FU-10000521"/>
    <s v="Furniture"/>
    <x v="3"/>
    <s v="Seth Thomas 14&quot; Putty-Colored Wall Clock"/>
    <n v="117.36"/>
    <n v="4"/>
    <n v="36.381599999999999"/>
    <x v="4"/>
    <x v="2"/>
    <x v="4"/>
  </r>
  <r>
    <s v="CA-2014-166716"/>
    <d v="2014-08-20T00:00:00"/>
    <d v="2014-08-25T00:00:00"/>
    <x v="0"/>
    <s v="CR-12730"/>
    <s v="Craig Reiter"/>
    <x v="0"/>
    <x v="9"/>
    <x v="8"/>
    <x v="3"/>
    <s v="FUR-CH-10004495"/>
    <s v="Furniture"/>
    <x v="1"/>
    <s v="Global Leather and Oak Executive Chair, Black"/>
    <n v="421.37200000000001"/>
    <n v="2"/>
    <n v="-6.0195999999999996"/>
    <x v="2"/>
    <x v="2"/>
    <x v="10"/>
  </r>
  <r>
    <s v="CA-2017-113873"/>
    <d v="2017-11-13T00:00:00"/>
    <d v="2017-11-19T00:00:00"/>
    <x v="1"/>
    <s v="KE-16420"/>
    <s v="Katrina Edelman"/>
    <x v="1"/>
    <x v="144"/>
    <x v="5"/>
    <x v="3"/>
    <s v="FUR-BO-10003441"/>
    <s v="Furniture"/>
    <x v="0"/>
    <s v="Bush Westfield Collection Bookcases, Fully Assembled"/>
    <n v="205.9992"/>
    <n v="3"/>
    <n v="-27.264600000000002"/>
    <x v="6"/>
    <x v="3"/>
    <x v="0"/>
  </r>
  <r>
    <s v="CA-2016-125017"/>
    <d v="2016-02-06T00:00:00"/>
    <d v="2016-02-11T00:00:00"/>
    <x v="1"/>
    <s v="KB-16240"/>
    <s v="Karen Bern"/>
    <x v="1"/>
    <x v="196"/>
    <x v="9"/>
    <x v="0"/>
    <s v="FUR-FU-10000723"/>
    <s v="Furniture"/>
    <x v="3"/>
    <s v="Deflect-o EconoMat Studded, No Bevel Mat for Low Pile Carpeting"/>
    <n v="132.22399999999999"/>
    <n v="4"/>
    <n v="-18.180800000000001"/>
    <x v="2"/>
    <x v="0"/>
    <x v="11"/>
  </r>
  <r>
    <s v="US-2015-163279"/>
    <d v="2015-03-22T00:00:00"/>
    <d v="2015-03-26T00:00:00"/>
    <x v="1"/>
    <s v="JD-16150"/>
    <s v="Justin Deggeller"/>
    <x v="1"/>
    <x v="53"/>
    <x v="2"/>
    <x v="1"/>
    <s v="FUR-FU-10000747"/>
    <s v="Furniture"/>
    <x v="3"/>
    <s v="Tenex B1-RE Series Chair Mats for Low Pile Carpets"/>
    <n v="91.96"/>
    <n v="2"/>
    <n v="15.6332"/>
    <x v="4"/>
    <x v="1"/>
    <x v="9"/>
  </r>
  <r>
    <s v="CA-2017-117632"/>
    <d v="2017-05-12T00:00:00"/>
    <d v="2017-05-18T00:00:00"/>
    <x v="1"/>
    <s v="CS-12175"/>
    <s v="Charles Sheldon"/>
    <x v="1"/>
    <x v="28"/>
    <x v="2"/>
    <x v="1"/>
    <s v="FUR-TA-10001520"/>
    <s v="Furniture"/>
    <x v="2"/>
    <s v="Lesro Sheffield Collection Coffee Table, End Table, Center Table, Corner Table"/>
    <n v="285.48"/>
    <n v="5"/>
    <n v="-10.705500000000001"/>
    <x v="6"/>
    <x v="3"/>
    <x v="7"/>
  </r>
  <r>
    <s v="CA-2017-161067"/>
    <d v="2017-09-03T00:00:00"/>
    <d v="2017-09-06T00:00:00"/>
    <x v="0"/>
    <s v="KB-16405"/>
    <s v="Katrina Bavinger"/>
    <x v="2"/>
    <x v="13"/>
    <x v="7"/>
    <x v="2"/>
    <s v="FUR-CH-10004626"/>
    <s v="Furniture"/>
    <x v="1"/>
    <s v="Office Star Flex Back Scooter Chair with Aluminum Finish Frame"/>
    <n v="90.801000000000002"/>
    <n v="1"/>
    <n v="14.124599999999999"/>
    <x v="0"/>
    <x v="3"/>
    <x v="4"/>
  </r>
  <r>
    <s v="CA-2017-161067"/>
    <d v="2017-09-03T00:00:00"/>
    <d v="2017-09-06T00:00:00"/>
    <x v="0"/>
    <s v="KB-16405"/>
    <s v="Katrina Bavinger"/>
    <x v="2"/>
    <x v="13"/>
    <x v="7"/>
    <x v="2"/>
    <s v="FUR-CH-10004860"/>
    <s v="Furniture"/>
    <x v="1"/>
    <s v="Global Low Back Tilter Chair"/>
    <n v="181.76400000000001"/>
    <n v="2"/>
    <n v="-8.0784000000000002"/>
    <x v="0"/>
    <x v="3"/>
    <x v="4"/>
  </r>
  <r>
    <s v="CA-2016-122063"/>
    <d v="2016-12-03T00:00:00"/>
    <d v="2016-12-07T00:00:00"/>
    <x v="1"/>
    <s v="MM-17920"/>
    <s v="Michael Moore"/>
    <x v="0"/>
    <x v="52"/>
    <x v="6"/>
    <x v="3"/>
    <s v="FUR-TA-10004575"/>
    <s v="Furniture"/>
    <x v="2"/>
    <s v="Hon 5100 Series Wood Tables"/>
    <n v="581.96"/>
    <n v="2"/>
    <n v="104.75279999999999"/>
    <x v="4"/>
    <x v="0"/>
    <x v="5"/>
  </r>
  <r>
    <s v="CA-2016-122063"/>
    <d v="2016-12-03T00:00:00"/>
    <d v="2016-12-07T00:00:00"/>
    <x v="1"/>
    <s v="MM-17920"/>
    <s v="Michael Moore"/>
    <x v="0"/>
    <x v="52"/>
    <x v="6"/>
    <x v="3"/>
    <s v="FUR-CH-10004754"/>
    <s v="Furniture"/>
    <x v="1"/>
    <s v="Global Stack Chair with Arms, Black"/>
    <n v="29.98"/>
    <n v="1"/>
    <n v="8.0945999999999998"/>
    <x v="4"/>
    <x v="0"/>
    <x v="5"/>
  </r>
  <r>
    <s v="CA-2016-142895"/>
    <d v="2016-07-21T00:00:00"/>
    <d v="2016-07-26T00:00:00"/>
    <x v="1"/>
    <s v="BP-11290"/>
    <s v="Beth Paige"/>
    <x v="0"/>
    <x v="41"/>
    <x v="30"/>
    <x v="0"/>
    <s v="FUR-CH-10002961"/>
    <s v="Furniture"/>
    <x v="1"/>
    <s v="Leather Task Chair, Black"/>
    <n v="363.92"/>
    <n v="5"/>
    <n v="0"/>
    <x v="2"/>
    <x v="0"/>
    <x v="3"/>
  </r>
  <r>
    <s v="CA-2015-134992"/>
    <d v="2015-09-22T00:00:00"/>
    <d v="2015-09-26T00:00:00"/>
    <x v="0"/>
    <s v="MG-17875"/>
    <s v="Michael Grace"/>
    <x v="2"/>
    <x v="58"/>
    <x v="25"/>
    <x v="0"/>
    <s v="FUR-FU-10002554"/>
    <s v="Furniture"/>
    <x v="3"/>
    <s v="Westinghouse Floor Lamp with Metal Mesh Shade, Black"/>
    <n v="47.98"/>
    <n v="2"/>
    <n v="11.035399999999999"/>
    <x v="4"/>
    <x v="1"/>
    <x v="4"/>
  </r>
  <r>
    <s v="CA-2015-126725"/>
    <d v="2015-11-17T00:00:00"/>
    <d v="2015-11-21T00:00:00"/>
    <x v="1"/>
    <s v="BS-11665"/>
    <s v="Brian Stugart"/>
    <x v="0"/>
    <x v="53"/>
    <x v="2"/>
    <x v="1"/>
    <s v="FUR-FU-10002813"/>
    <s v="Furniture"/>
    <x v="3"/>
    <s v="DAX Contemporary Wood Frame with Silver Metal Mat, Desktop, 11 x 14 Size"/>
    <n v="80.959999999999994"/>
    <n v="4"/>
    <n v="29.145600000000002"/>
    <x v="4"/>
    <x v="1"/>
    <x v="0"/>
  </r>
  <r>
    <s v="CA-2015-126725"/>
    <d v="2015-11-17T00:00:00"/>
    <d v="2015-11-21T00:00:00"/>
    <x v="1"/>
    <s v="BS-11665"/>
    <s v="Brian Stugart"/>
    <x v="0"/>
    <x v="53"/>
    <x v="2"/>
    <x v="1"/>
    <s v="FUR-CH-10001708"/>
    <s v="Furniture"/>
    <x v="1"/>
    <s v="Office Star - Contemporary Swivel Chair with Padded Adjustable Arms and Flex Back"/>
    <n v="225.56800000000001"/>
    <n v="2"/>
    <n v="2.8195999999999999"/>
    <x v="4"/>
    <x v="1"/>
    <x v="0"/>
  </r>
  <r>
    <s v="CA-2015-126725"/>
    <d v="2015-11-17T00:00:00"/>
    <d v="2015-11-21T00:00:00"/>
    <x v="1"/>
    <s v="BS-11665"/>
    <s v="Brian Stugart"/>
    <x v="0"/>
    <x v="53"/>
    <x v="2"/>
    <x v="1"/>
    <s v="FUR-FU-10001591"/>
    <s v="Furniture"/>
    <x v="3"/>
    <s v="Advantus Panel Wall Certificate Holder - 8.5x11"/>
    <n v="36.6"/>
    <n v="3"/>
    <n v="15.372"/>
    <x v="4"/>
    <x v="1"/>
    <x v="0"/>
  </r>
  <r>
    <s v="CA-2015-121783"/>
    <d v="2015-11-10T00:00:00"/>
    <d v="2015-11-14T00:00:00"/>
    <x v="1"/>
    <s v="PO-19180"/>
    <s v="Philisse Overcash"/>
    <x v="2"/>
    <x v="18"/>
    <x v="11"/>
    <x v="3"/>
    <s v="FUR-FU-10004351"/>
    <s v="Furniture"/>
    <x v="3"/>
    <s v="Staple-based wall hangings"/>
    <n v="29.22"/>
    <n v="3"/>
    <n v="12.8568"/>
    <x v="4"/>
    <x v="1"/>
    <x v="0"/>
  </r>
  <r>
    <s v="CA-2015-112214"/>
    <d v="2015-08-05T00:00:00"/>
    <d v="2015-08-11T00:00:00"/>
    <x v="1"/>
    <s v="AH-10690"/>
    <s v="Anna HŠberlin"/>
    <x v="1"/>
    <x v="144"/>
    <x v="5"/>
    <x v="3"/>
    <s v="FUR-FU-10002364"/>
    <s v="Furniture"/>
    <x v="3"/>
    <s v="Eldon Expressions Wood Desk Accessories, Oak"/>
    <n v="14.76"/>
    <n v="5"/>
    <n v="-11.439"/>
    <x v="6"/>
    <x v="1"/>
    <x v="10"/>
  </r>
  <r>
    <s v="US-2017-153255"/>
    <d v="2017-09-03T00:00:00"/>
    <d v="2017-09-07T00:00:00"/>
    <x v="0"/>
    <s v="JK-15730"/>
    <s v="Joe Kamberova"/>
    <x v="0"/>
    <x v="41"/>
    <x v="2"/>
    <x v="1"/>
    <s v="FUR-BO-10004218"/>
    <s v="Furniture"/>
    <x v="0"/>
    <s v="Bush Heritage Pine Collection 5-Shelf Bookcase, Albany Pine Finish, *Special Order"/>
    <n v="239.666"/>
    <n v="2"/>
    <n v="14.098000000000001"/>
    <x v="4"/>
    <x v="3"/>
    <x v="4"/>
  </r>
  <r>
    <s v="CA-2015-108119"/>
    <d v="2015-11-01T00:00:00"/>
    <d v="2015-11-08T00:00:00"/>
    <x v="1"/>
    <s v="MS-17530"/>
    <s v="MaryBeth Skach"/>
    <x v="0"/>
    <x v="285"/>
    <x v="31"/>
    <x v="0"/>
    <s v="FUR-TA-10002530"/>
    <s v="Furniture"/>
    <x v="2"/>
    <s v="Iceberg OfficeWorks 42&quot; Round Tables"/>
    <n v="301.95999999999998"/>
    <n v="2"/>
    <n v="45.293999999999997"/>
    <x v="1"/>
    <x v="1"/>
    <x v="0"/>
  </r>
  <r>
    <s v="US-2014-117968"/>
    <d v="2014-08-05T00:00:00"/>
    <d v="2014-08-07T00:00:00"/>
    <x v="0"/>
    <s v="RS-19420"/>
    <s v="Ricardo Sperren"/>
    <x v="1"/>
    <x v="286"/>
    <x v="19"/>
    <x v="2"/>
    <s v="FUR-CH-10002335"/>
    <s v="Furniture"/>
    <x v="1"/>
    <s v="Hon GuestStacker Chair"/>
    <n v="1133.3499999999999"/>
    <n v="5"/>
    <n v="294.67099999999999"/>
    <x v="3"/>
    <x v="2"/>
    <x v="10"/>
  </r>
  <r>
    <s v="CA-2016-152247"/>
    <d v="2016-11-07T00:00:00"/>
    <d v="2016-11-12T00:00:00"/>
    <x v="1"/>
    <s v="MA-17995"/>
    <s v="Michelle Arnett"/>
    <x v="2"/>
    <x v="287"/>
    <x v="45"/>
    <x v="1"/>
    <s v="FUR-CH-10001215"/>
    <s v="Furniture"/>
    <x v="1"/>
    <s v="Global Troy Executive Leather Low-Back Tilter"/>
    <n v="1603.136"/>
    <n v="4"/>
    <n v="100.196"/>
    <x v="2"/>
    <x v="0"/>
    <x v="0"/>
  </r>
  <r>
    <s v="CA-2016-128223"/>
    <d v="2016-06-14T00:00:00"/>
    <d v="2016-06-14T00:00:00"/>
    <x v="3"/>
    <s v="EB-13705"/>
    <s v="Ed Braxton"/>
    <x v="1"/>
    <x v="261"/>
    <x v="2"/>
    <x v="1"/>
    <s v="FUR-TA-10001771"/>
    <s v="Furniture"/>
    <x v="2"/>
    <s v="Bush Cubix Conference Tables, Fully Assembled"/>
    <n v="1293.4880000000001"/>
    <n v="7"/>
    <n v="80.843000000000004"/>
    <x v="7"/>
    <x v="0"/>
    <x v="2"/>
  </r>
  <r>
    <s v="CA-2016-154235"/>
    <d v="2016-09-24T00:00:00"/>
    <d v="2016-09-28T00:00:00"/>
    <x v="1"/>
    <s v="RD-19900"/>
    <s v="Ruben Dartt"/>
    <x v="0"/>
    <x v="17"/>
    <x v="6"/>
    <x v="3"/>
    <s v="FUR-FU-10004006"/>
    <s v="Furniture"/>
    <x v="3"/>
    <s v="Deflect-o DuraMat Lighweight, Studded, Beveled Mat for Low Pile Carpeting"/>
    <n v="127.95"/>
    <n v="3"/>
    <n v="21.7515"/>
    <x v="4"/>
    <x v="0"/>
    <x v="4"/>
  </r>
  <r>
    <s v="CA-2016-133935"/>
    <d v="2016-09-18T00:00:00"/>
    <d v="2016-09-22T00:00:00"/>
    <x v="1"/>
    <s v="JW-15220"/>
    <s v="Jane Waco"/>
    <x v="1"/>
    <x v="53"/>
    <x v="2"/>
    <x v="1"/>
    <s v="FUR-CH-10001215"/>
    <s v="Furniture"/>
    <x v="1"/>
    <s v="Global Troy Executive Leather Low-Back Tilter"/>
    <n v="801.56799999999998"/>
    <n v="2"/>
    <n v="50.097999999999999"/>
    <x v="4"/>
    <x v="0"/>
    <x v="4"/>
  </r>
  <r>
    <s v="CA-2016-133935"/>
    <d v="2016-09-18T00:00:00"/>
    <d v="2016-09-22T00:00:00"/>
    <x v="1"/>
    <s v="JW-15220"/>
    <s v="Jane Waco"/>
    <x v="1"/>
    <x v="53"/>
    <x v="2"/>
    <x v="1"/>
    <s v="FUR-CH-10002880"/>
    <s v="Furniture"/>
    <x v="1"/>
    <s v="Global High-Back Leather Tilter, Burgundy"/>
    <n v="885.52800000000002"/>
    <n v="9"/>
    <n v="-99.621899999999997"/>
    <x v="4"/>
    <x v="0"/>
    <x v="4"/>
  </r>
  <r>
    <s v="CA-2016-136301"/>
    <d v="2016-03-13T00:00:00"/>
    <d v="2016-03-15T00:00:00"/>
    <x v="0"/>
    <s v="EH-13765"/>
    <s v="Edward Hooks"/>
    <x v="1"/>
    <x v="28"/>
    <x v="2"/>
    <x v="1"/>
    <s v="FUR-FU-10004712"/>
    <s v="Furniture"/>
    <x v="3"/>
    <s v="Westinghouse Mesh Shade Clip-On Gooseneck Lamp, Black"/>
    <n v="28.28"/>
    <n v="2"/>
    <n v="7.3528000000000002"/>
    <x v="3"/>
    <x v="0"/>
    <x v="9"/>
  </r>
  <r>
    <s v="CA-2016-167682"/>
    <d v="2016-04-03T00:00:00"/>
    <d v="2016-04-09T00:00:00"/>
    <x v="1"/>
    <s v="ZD-21925"/>
    <s v="Zuschuss Donatelli"/>
    <x v="0"/>
    <x v="52"/>
    <x v="6"/>
    <x v="3"/>
    <s v="FUR-FU-10003799"/>
    <s v="Furniture"/>
    <x v="3"/>
    <s v="Seth Thomas 13 1/2&quot; Wall Clock"/>
    <n v="71.12"/>
    <n v="4"/>
    <n v="22.0472"/>
    <x v="6"/>
    <x v="0"/>
    <x v="6"/>
  </r>
  <r>
    <s v="CA-2016-159639"/>
    <d v="2016-11-27T00:00:00"/>
    <d v="2016-12-02T00:00:00"/>
    <x v="1"/>
    <s v="PC-18745"/>
    <s v="Pamela Coakley"/>
    <x v="1"/>
    <x v="162"/>
    <x v="18"/>
    <x v="2"/>
    <s v="FUR-FU-10001889"/>
    <s v="Furniture"/>
    <x v="3"/>
    <s v="Ultra Door Pull Handle"/>
    <n v="31.56"/>
    <n v="3"/>
    <n v="10.4148"/>
    <x v="2"/>
    <x v="0"/>
    <x v="0"/>
  </r>
  <r>
    <s v="US-2016-113985"/>
    <d v="2016-12-02T00:00:00"/>
    <d v="2016-12-07T00:00:00"/>
    <x v="1"/>
    <s v="KD-16495"/>
    <s v="Keith Dawkins"/>
    <x v="1"/>
    <x v="124"/>
    <x v="2"/>
    <x v="1"/>
    <s v="FUR-FU-10003026"/>
    <s v="Furniture"/>
    <x v="3"/>
    <s v="Eldon Regeneration Recycled Desk Accessories, Black"/>
    <n v="14.52"/>
    <n v="3"/>
    <n v="5.6627999999999998"/>
    <x v="2"/>
    <x v="0"/>
    <x v="5"/>
  </r>
  <r>
    <s v="US-2015-126977"/>
    <d v="2015-09-17T00:00:00"/>
    <d v="2015-09-23T00:00:00"/>
    <x v="1"/>
    <s v="PF-19120"/>
    <s v="Peter Fuller"/>
    <x v="0"/>
    <x v="13"/>
    <x v="7"/>
    <x v="2"/>
    <s v="FUR-CH-10001973"/>
    <s v="Furniture"/>
    <x v="1"/>
    <s v="Office Star Flex Back Scooter Chair with White Frame"/>
    <n v="199.76400000000001"/>
    <n v="2"/>
    <n v="8.8783999999999992"/>
    <x v="6"/>
    <x v="1"/>
    <x v="4"/>
  </r>
  <r>
    <s v="US-2015-126977"/>
    <d v="2015-09-17T00:00:00"/>
    <d v="2015-09-23T00:00:00"/>
    <x v="1"/>
    <s v="PF-19120"/>
    <s v="Peter Fuller"/>
    <x v="0"/>
    <x v="13"/>
    <x v="7"/>
    <x v="2"/>
    <s v="FUR-BO-10004834"/>
    <s v="Furniture"/>
    <x v="0"/>
    <s v="Riverside Palais Royal Lawyers Bookcase, Royale Cherry Finish"/>
    <n v="4228.7039999999997"/>
    <n v="6"/>
    <n v="158.57640000000001"/>
    <x v="6"/>
    <x v="1"/>
    <x v="4"/>
  </r>
  <r>
    <s v="US-2015-126977"/>
    <d v="2015-09-17T00:00:00"/>
    <d v="2015-09-23T00:00:00"/>
    <x v="1"/>
    <s v="PF-19120"/>
    <s v="Peter Fuller"/>
    <x v="0"/>
    <x v="13"/>
    <x v="7"/>
    <x v="2"/>
    <s v="FUR-BO-10002213"/>
    <s v="Furniture"/>
    <x v="0"/>
    <s v="DMI Eclipse Executive Suite Bookcases"/>
    <n v="2003.92"/>
    <n v="5"/>
    <n v="-25.048999999999999"/>
    <x v="6"/>
    <x v="1"/>
    <x v="4"/>
  </r>
  <r>
    <s v="CA-2016-130288"/>
    <d v="2016-11-26T00:00:00"/>
    <d v="2016-11-30T00:00:00"/>
    <x v="0"/>
    <s v="DK-13225"/>
    <s v="Dean Katz"/>
    <x v="1"/>
    <x v="13"/>
    <x v="7"/>
    <x v="2"/>
    <s v="FUR-TA-10002958"/>
    <s v="Furniture"/>
    <x v="2"/>
    <s v="Bevis Oval Conference Table, Walnut"/>
    <n v="313.17599999999999"/>
    <n v="2"/>
    <n v="-120.0508"/>
    <x v="4"/>
    <x v="0"/>
    <x v="0"/>
  </r>
  <r>
    <s v="US-2014-118997"/>
    <d v="2014-04-08T00:00:00"/>
    <d v="2014-04-12T00:00:00"/>
    <x v="1"/>
    <s v="RA-19885"/>
    <s v="Ruben Ausman"/>
    <x v="1"/>
    <x v="42"/>
    <x v="33"/>
    <x v="0"/>
    <s v="FUR-TA-10001086"/>
    <s v="Furniture"/>
    <x v="2"/>
    <s v="SAFCO PlanMaster Boards, 60w x 37-1/2d, White Melamine"/>
    <n v="1215.92"/>
    <n v="8"/>
    <n v="316.13920000000002"/>
    <x v="4"/>
    <x v="2"/>
    <x v="6"/>
  </r>
  <r>
    <s v="CA-2014-114314"/>
    <d v="2014-10-11T00:00:00"/>
    <d v="2014-10-15T00:00:00"/>
    <x v="1"/>
    <s v="DB-13555"/>
    <s v="Dorothy Badders"/>
    <x v="1"/>
    <x v="160"/>
    <x v="31"/>
    <x v="0"/>
    <s v="FUR-FU-10002107"/>
    <s v="Furniture"/>
    <x v="3"/>
    <s v="Eldon Pizzaz Desk Accessories"/>
    <n v="8.92"/>
    <n v="4"/>
    <n v="3.9247999999999998"/>
    <x v="4"/>
    <x v="2"/>
    <x v="1"/>
  </r>
  <r>
    <s v="US-2017-169551"/>
    <d v="2017-07-07T00:00:00"/>
    <d v="2017-07-09T00:00:00"/>
    <x v="2"/>
    <s v="RL-19615"/>
    <s v="Rob Lucas"/>
    <x v="0"/>
    <x v="3"/>
    <x v="3"/>
    <x v="2"/>
    <s v="FUR-BO-10001519"/>
    <s v="Furniture"/>
    <x v="0"/>
    <s v="O'Sullivan 3-Shelf Heavy-Duty Bookcases"/>
    <n v="87.21"/>
    <n v="3"/>
    <n v="-45.349200000000003"/>
    <x v="3"/>
    <x v="3"/>
    <x v="3"/>
  </r>
  <r>
    <s v="CA-2016-103107"/>
    <d v="2016-07-04T00:00:00"/>
    <d v="2016-07-04T00:00:00"/>
    <x v="3"/>
    <s v="RB-19465"/>
    <s v="Rick Bensley"/>
    <x v="2"/>
    <x v="15"/>
    <x v="13"/>
    <x v="1"/>
    <s v="FUR-FU-10000221"/>
    <s v="Furniture"/>
    <x v="3"/>
    <s v="Master Caster Door Stop, Brown"/>
    <n v="25.4"/>
    <n v="5"/>
    <n v="8.6359999999999992"/>
    <x v="7"/>
    <x v="0"/>
    <x v="3"/>
  </r>
  <r>
    <s v="CA-2014-104178"/>
    <d v="2014-08-25T00:00:00"/>
    <d v="2014-08-29T00:00:00"/>
    <x v="1"/>
    <s v="JM-15265"/>
    <s v="Janet Molinari"/>
    <x v="1"/>
    <x v="2"/>
    <x v="2"/>
    <x v="1"/>
    <s v="FUR-FU-10000771"/>
    <s v="Furniture"/>
    <x v="3"/>
    <s v="Eldon 200 Class Desk Accessories, Smoke"/>
    <n v="6.28"/>
    <n v="1"/>
    <n v="2.6375999999999999"/>
    <x v="4"/>
    <x v="2"/>
    <x v="10"/>
  </r>
  <r>
    <s v="CA-2014-155796"/>
    <d v="2014-11-11T00:00:00"/>
    <d v="2014-11-15T00:00:00"/>
    <x v="0"/>
    <s v="TS-21430"/>
    <s v="Tom Stivers"/>
    <x v="1"/>
    <x v="288"/>
    <x v="3"/>
    <x v="2"/>
    <s v="FUR-FU-10000409"/>
    <s v="Furniture"/>
    <x v="3"/>
    <s v="GE 4 Foot Flourescent Tube, 40 Watt"/>
    <n v="23.968"/>
    <n v="2"/>
    <n v="7.7896000000000001"/>
    <x v="4"/>
    <x v="2"/>
    <x v="0"/>
  </r>
  <r>
    <s v="CA-2014-155796"/>
    <d v="2014-11-11T00:00:00"/>
    <d v="2014-11-15T00:00:00"/>
    <x v="0"/>
    <s v="TS-21430"/>
    <s v="Tom Stivers"/>
    <x v="1"/>
    <x v="288"/>
    <x v="3"/>
    <x v="2"/>
    <s v="FUR-BO-10002545"/>
    <s v="Furniture"/>
    <x v="0"/>
    <s v="Atlantic Metals Mobile 3-Shelf Bookcases, Custom Colors"/>
    <n v="521.96"/>
    <n v="4"/>
    <n v="-250.54079999999999"/>
    <x v="4"/>
    <x v="2"/>
    <x v="0"/>
  </r>
  <r>
    <s v="CA-2016-127138"/>
    <d v="2016-03-12T00:00:00"/>
    <d v="2016-03-15T00:00:00"/>
    <x v="0"/>
    <s v="DK-13225"/>
    <s v="Dean Katz"/>
    <x v="1"/>
    <x v="28"/>
    <x v="2"/>
    <x v="1"/>
    <s v="FUR-CH-10003746"/>
    <s v="Furniture"/>
    <x v="1"/>
    <s v="Hon 4070 Series Pagoda Round Back Stacking Chairs"/>
    <n v="770.35199999999998"/>
    <n v="3"/>
    <n v="77.035200000000003"/>
    <x v="0"/>
    <x v="0"/>
    <x v="9"/>
  </r>
  <r>
    <s v="CA-2017-150602"/>
    <d v="2017-02-09T00:00:00"/>
    <d v="2017-02-14T00:00:00"/>
    <x v="0"/>
    <s v="ML-17395"/>
    <s v="Marina Lichtenstein"/>
    <x v="1"/>
    <x v="2"/>
    <x v="2"/>
    <x v="1"/>
    <s v="FUR-FU-10003142"/>
    <s v="Furniture"/>
    <x v="3"/>
    <s v="Master Big Foot Doorstop, Beige"/>
    <n v="21.12"/>
    <n v="4"/>
    <n v="6.5472000000000001"/>
    <x v="2"/>
    <x v="3"/>
    <x v="11"/>
  </r>
  <r>
    <s v="CA-2014-141726"/>
    <d v="2014-07-20T00:00:00"/>
    <d v="2014-07-22T00:00:00"/>
    <x v="2"/>
    <s v="CC-12145"/>
    <s v="Charles Crestani"/>
    <x v="0"/>
    <x v="53"/>
    <x v="2"/>
    <x v="1"/>
    <s v="FUR-FU-10003577"/>
    <s v="Furniture"/>
    <x v="3"/>
    <s v="Nu-Dell Leatherette Frames"/>
    <n v="43.02"/>
    <n v="3"/>
    <n v="15.4872"/>
    <x v="3"/>
    <x v="2"/>
    <x v="3"/>
  </r>
  <r>
    <s v="CA-2017-115105"/>
    <d v="2017-02-06T00:00:00"/>
    <d v="2017-02-11T00:00:00"/>
    <x v="1"/>
    <s v="BD-11770"/>
    <s v="Bryan Davis"/>
    <x v="0"/>
    <x v="13"/>
    <x v="7"/>
    <x v="2"/>
    <s v="FUR-BO-10001811"/>
    <s v="Furniture"/>
    <x v="0"/>
    <s v="Atlantic Metals Mobile 5-Shelf Bookcases, Custom Colors"/>
    <n v="240.78399999999999"/>
    <n v="1"/>
    <n v="30.097999999999999"/>
    <x v="2"/>
    <x v="3"/>
    <x v="11"/>
  </r>
  <r>
    <s v="CA-2014-117765"/>
    <d v="2014-09-07T00:00:00"/>
    <d v="2014-09-13T00:00:00"/>
    <x v="1"/>
    <s v="RB-19465"/>
    <s v="Rick Bensley"/>
    <x v="2"/>
    <x v="169"/>
    <x v="37"/>
    <x v="3"/>
    <s v="FUR-TA-10001039"/>
    <s v="Furniture"/>
    <x v="2"/>
    <s v="KI Adjustable-Height Table"/>
    <n v="429.9"/>
    <n v="5"/>
    <n v="111.774"/>
    <x v="6"/>
    <x v="2"/>
    <x v="4"/>
  </r>
  <r>
    <s v="CA-2014-117765"/>
    <d v="2014-09-07T00:00:00"/>
    <d v="2014-09-13T00:00:00"/>
    <x v="1"/>
    <s v="RB-19465"/>
    <s v="Rick Bensley"/>
    <x v="2"/>
    <x v="169"/>
    <x v="37"/>
    <x v="3"/>
    <s v="FUR-CH-10004698"/>
    <s v="Furniture"/>
    <x v="1"/>
    <s v="Padded Folding Chairs, Black, 4/Carton"/>
    <n v="161.96"/>
    <n v="2"/>
    <n v="45.348799999999997"/>
    <x v="6"/>
    <x v="2"/>
    <x v="4"/>
  </r>
  <r>
    <s v="CA-2016-163776"/>
    <d v="2016-07-19T00:00:00"/>
    <d v="2016-07-25T00:00:00"/>
    <x v="1"/>
    <s v="JS-16030"/>
    <s v="Joy Smith"/>
    <x v="0"/>
    <x v="289"/>
    <x v="21"/>
    <x v="0"/>
    <s v="FUR-FU-10001185"/>
    <s v="Furniture"/>
    <x v="3"/>
    <s v="Advantus Employee of the Month Certificate Frame, 11 x 13-1/2"/>
    <n v="185.58"/>
    <n v="6"/>
    <n v="76.087800000000001"/>
    <x v="6"/>
    <x v="0"/>
    <x v="3"/>
  </r>
  <r>
    <s v="CA-2016-163776"/>
    <d v="2016-07-19T00:00:00"/>
    <d v="2016-07-25T00:00:00"/>
    <x v="1"/>
    <s v="JS-16030"/>
    <s v="Joy Smith"/>
    <x v="0"/>
    <x v="289"/>
    <x v="21"/>
    <x v="0"/>
    <s v="FUR-BO-10003546"/>
    <s v="Furniture"/>
    <x v="0"/>
    <s v="Hon 4-Shelf Metal Bookcases"/>
    <n v="504.9"/>
    <n v="5"/>
    <n v="126.22499999999999"/>
    <x v="6"/>
    <x v="0"/>
    <x v="3"/>
  </r>
  <r>
    <s v="US-2017-163300"/>
    <d v="2017-09-15T00:00:00"/>
    <d v="2017-09-21T00:00:00"/>
    <x v="1"/>
    <s v="ES-14020"/>
    <s v="Erica Smith"/>
    <x v="0"/>
    <x v="2"/>
    <x v="2"/>
    <x v="1"/>
    <s v="FUR-CH-10003396"/>
    <s v="Furniture"/>
    <x v="1"/>
    <s v="Global Deluxe Steno Chair"/>
    <n v="184.75200000000001"/>
    <n v="3"/>
    <n v="-20.784600000000001"/>
    <x v="6"/>
    <x v="3"/>
    <x v="4"/>
  </r>
  <r>
    <s v="CA-2016-162187"/>
    <d v="2016-12-11T00:00:00"/>
    <d v="2016-12-11T00:00:00"/>
    <x v="3"/>
    <s v="NS-18640"/>
    <s v="Noel Staavos"/>
    <x v="1"/>
    <x v="29"/>
    <x v="15"/>
    <x v="2"/>
    <s v="FUR-CH-10003298"/>
    <s v="Furniture"/>
    <x v="1"/>
    <s v="Office Star - Contemporary Task Swivel chair with Loop Arms, Charcoal"/>
    <n v="458.43"/>
    <n v="5"/>
    <n v="-137.529"/>
    <x v="7"/>
    <x v="0"/>
    <x v="5"/>
  </r>
  <r>
    <s v="CA-2016-162187"/>
    <d v="2016-12-11T00:00:00"/>
    <d v="2016-12-11T00:00:00"/>
    <x v="3"/>
    <s v="NS-18640"/>
    <s v="Noel Staavos"/>
    <x v="1"/>
    <x v="29"/>
    <x v="15"/>
    <x v="2"/>
    <s v="FUR-TA-10003008"/>
    <s v="Furniture"/>
    <x v="2"/>
    <s v="Lesro Round Back Collection Coffee Table, End Table"/>
    <n v="328.59"/>
    <n v="3"/>
    <n v="-147.8655"/>
    <x v="7"/>
    <x v="0"/>
    <x v="5"/>
  </r>
  <r>
    <s v="US-2014-112991"/>
    <d v="2014-12-10T00:00:00"/>
    <d v="2014-12-14T00:00:00"/>
    <x v="1"/>
    <s v="SH-19975"/>
    <s v="Sally Hughsby"/>
    <x v="1"/>
    <x v="290"/>
    <x v="42"/>
    <x v="1"/>
    <s v="FUR-CH-10001708"/>
    <s v="Furniture"/>
    <x v="1"/>
    <s v="Office Star - Contemporary Swivel Chair with Padded Adjustable Arms and Flex Back"/>
    <n v="338.35199999999998"/>
    <n v="3"/>
    <n v="4.2294"/>
    <x v="4"/>
    <x v="2"/>
    <x v="5"/>
  </r>
  <r>
    <s v="CA-2014-124079"/>
    <d v="2014-12-13T00:00:00"/>
    <d v="2014-12-17T00:00:00"/>
    <x v="1"/>
    <s v="RF-19345"/>
    <s v="Randy Ferguson"/>
    <x v="1"/>
    <x v="43"/>
    <x v="22"/>
    <x v="1"/>
    <s v="FUR-FU-10002553"/>
    <s v="Furniture"/>
    <x v="3"/>
    <s v="Electrix Incandescent Magnifying Lamp, Black"/>
    <n v="87.96"/>
    <n v="3"/>
    <n v="7.6965000000000003"/>
    <x v="4"/>
    <x v="2"/>
    <x v="5"/>
  </r>
  <r>
    <s v="CA-2017-107244"/>
    <d v="2017-09-07T00:00:00"/>
    <d v="2017-09-11T00:00:00"/>
    <x v="1"/>
    <s v="AG-10390"/>
    <s v="Allen Goldenen"/>
    <x v="0"/>
    <x v="2"/>
    <x v="2"/>
    <x v="1"/>
    <s v="FUR-FU-10002597"/>
    <s v="Furniture"/>
    <x v="3"/>
    <s v="C-Line Magnetic Cubicle Keepers, Clear Polypropylene"/>
    <n v="19.760000000000002"/>
    <n v="4"/>
    <n v="8.2992000000000008"/>
    <x v="4"/>
    <x v="3"/>
    <x v="4"/>
  </r>
  <r>
    <s v="CA-2015-100657"/>
    <d v="2015-11-02T00:00:00"/>
    <d v="2015-11-07T00:00:00"/>
    <x v="1"/>
    <s v="SW-20245"/>
    <s v="Scot Wooten"/>
    <x v="0"/>
    <x v="8"/>
    <x v="7"/>
    <x v="2"/>
    <s v="FUR-CH-10003535"/>
    <s v="Furniture"/>
    <x v="1"/>
    <s v="Global Armless Task Chair, Royal Blue"/>
    <n v="109.764"/>
    <n v="2"/>
    <n v="8.5372000000000003"/>
    <x v="2"/>
    <x v="1"/>
    <x v="0"/>
  </r>
  <r>
    <s v="CA-2017-129028"/>
    <d v="2017-04-01T00:00:00"/>
    <d v="2017-04-03T00:00:00"/>
    <x v="2"/>
    <s v="GB-14530"/>
    <s v="George Bell"/>
    <x v="1"/>
    <x v="73"/>
    <x v="10"/>
    <x v="0"/>
    <s v="FUR-FU-10004006"/>
    <s v="Furniture"/>
    <x v="3"/>
    <s v="Deflect-o DuraMat Lighweight, Studded, Beveled Mat for Low Pile Carpeting"/>
    <n v="127.95"/>
    <n v="3"/>
    <n v="21.7515"/>
    <x v="3"/>
    <x v="3"/>
    <x v="6"/>
  </r>
  <r>
    <s v="CA-2014-102652"/>
    <d v="2014-04-06T00:00:00"/>
    <d v="2014-04-12T00:00:00"/>
    <x v="1"/>
    <s v="AY-10555"/>
    <s v="Andy Yotov"/>
    <x v="1"/>
    <x v="2"/>
    <x v="2"/>
    <x v="1"/>
    <s v="FUR-FU-10000747"/>
    <s v="Furniture"/>
    <x v="3"/>
    <s v="Tenex B1-RE Series Chair Mats for Low Pile Carpets"/>
    <n v="91.96"/>
    <n v="2"/>
    <n v="15.6332"/>
    <x v="6"/>
    <x v="2"/>
    <x v="6"/>
  </r>
  <r>
    <s v="CA-2014-102652"/>
    <d v="2014-04-06T00:00:00"/>
    <d v="2014-04-12T00:00:00"/>
    <x v="1"/>
    <s v="AY-10555"/>
    <s v="Andy Yotov"/>
    <x v="1"/>
    <x v="2"/>
    <x v="2"/>
    <x v="1"/>
    <s v="FUR-FU-10001918"/>
    <s v="Furniture"/>
    <x v="3"/>
    <s v="C-Line Cubicle Keepers Polyproplyene Holder With Velcro Backings"/>
    <n v="33.11"/>
    <n v="7"/>
    <n v="12.9129"/>
    <x v="6"/>
    <x v="2"/>
    <x v="6"/>
  </r>
  <r>
    <s v="US-2017-152492"/>
    <d v="2017-07-06T00:00:00"/>
    <d v="2017-07-06T00:00:00"/>
    <x v="3"/>
    <s v="AH-10585"/>
    <s v="Angele Hood"/>
    <x v="0"/>
    <x v="89"/>
    <x v="1"/>
    <x v="0"/>
    <s v="FUR-CH-10000155"/>
    <s v="Furniture"/>
    <x v="1"/>
    <s v="Global Comet Stacking Armless Chair"/>
    <n v="239.24"/>
    <n v="1"/>
    <n v="23.923999999999999"/>
    <x v="7"/>
    <x v="3"/>
    <x v="3"/>
  </r>
  <r>
    <s v="CA-2016-101168"/>
    <d v="2016-12-25T00:00:00"/>
    <d v="2017-01-01T00:00:00"/>
    <x v="1"/>
    <s v="SS-20140"/>
    <s v="Saphhira Shifley"/>
    <x v="1"/>
    <x v="291"/>
    <x v="28"/>
    <x v="2"/>
    <s v="FUR-FU-10003142"/>
    <s v="Furniture"/>
    <x v="3"/>
    <s v="Master Big Foot Doorstop, Beige"/>
    <n v="21.12"/>
    <n v="4"/>
    <n v="6.5472000000000001"/>
    <x v="1"/>
    <x v="0"/>
    <x v="5"/>
  </r>
  <r>
    <s v="CA-2015-130253"/>
    <d v="2015-12-14T00:00:00"/>
    <d v="2015-12-18T00:00:00"/>
    <x v="1"/>
    <s v="PP-18955"/>
    <s v="Paul Prost"/>
    <x v="2"/>
    <x v="2"/>
    <x v="2"/>
    <x v="1"/>
    <s v="FUR-FU-10002963"/>
    <s v="Furniture"/>
    <x v="3"/>
    <s v="Master Caster Door Stop, Gray"/>
    <n v="15.24"/>
    <n v="3"/>
    <n v="5.1816000000000004"/>
    <x v="4"/>
    <x v="1"/>
    <x v="5"/>
  </r>
  <r>
    <s v="CA-2016-131205"/>
    <d v="2016-09-04T00:00:00"/>
    <d v="2016-09-08T00:00:00"/>
    <x v="1"/>
    <s v="AA-10645"/>
    <s v="Anna Andreadi"/>
    <x v="0"/>
    <x v="292"/>
    <x v="0"/>
    <x v="0"/>
    <s v="FUR-FU-10003347"/>
    <s v="Furniture"/>
    <x v="3"/>
    <s v="Coloredge Poster Frame"/>
    <n v="42.6"/>
    <n v="3"/>
    <n v="16.614000000000001"/>
    <x v="4"/>
    <x v="0"/>
    <x v="4"/>
  </r>
  <r>
    <s v="CA-2016-117912"/>
    <d v="2016-02-04T00:00:00"/>
    <d v="2016-02-08T00:00:00"/>
    <x v="1"/>
    <s v="TB-21520"/>
    <s v="Tracy Blumstein"/>
    <x v="0"/>
    <x v="293"/>
    <x v="22"/>
    <x v="1"/>
    <s v="FUR-FU-10002088"/>
    <s v="Furniture"/>
    <x v="3"/>
    <s v="Nu-Dell Float Frame 11 x 14 1/2"/>
    <n v="14.368"/>
    <n v="2"/>
    <n v="3.9512"/>
    <x v="4"/>
    <x v="0"/>
    <x v="11"/>
  </r>
  <r>
    <s v="CA-2017-145702"/>
    <d v="2017-05-19T00:00:00"/>
    <d v="2017-05-24T00:00:00"/>
    <x v="0"/>
    <s v="AH-10075"/>
    <s v="Adam Hart"/>
    <x v="1"/>
    <x v="270"/>
    <x v="9"/>
    <x v="0"/>
    <s v="FUR-CH-10001482"/>
    <s v="Furniture"/>
    <x v="1"/>
    <s v="Office Star - Mesh Screen back chair with Vinyl seat"/>
    <n v="314.35199999999998"/>
    <n v="3"/>
    <n v="-35.364600000000003"/>
    <x v="2"/>
    <x v="3"/>
    <x v="7"/>
  </r>
  <r>
    <s v="CA-2015-113215"/>
    <d v="2015-09-03T00:00:00"/>
    <d v="2015-09-08T00:00:00"/>
    <x v="1"/>
    <s v="CP-12085"/>
    <s v="Cathy Prescott"/>
    <x v="1"/>
    <x v="104"/>
    <x v="22"/>
    <x v="1"/>
    <s v="FUR-FU-10002937"/>
    <s v="Furniture"/>
    <x v="3"/>
    <s v="GE 48&quot; Fluorescent Tube, Cool White Energy Saver, 34 Watts, 30/Box"/>
    <n v="238.15199999999999"/>
    <n v="3"/>
    <n v="89.307000000000002"/>
    <x v="2"/>
    <x v="1"/>
    <x v="4"/>
  </r>
  <r>
    <s v="CA-2016-154662"/>
    <d v="2016-06-09T00:00:00"/>
    <d v="2016-06-16T00:00:00"/>
    <x v="1"/>
    <s v="BF-11215"/>
    <s v="Benjamin Farhat"/>
    <x v="2"/>
    <x v="12"/>
    <x v="11"/>
    <x v="3"/>
    <s v="FUR-TA-10001771"/>
    <s v="Furniture"/>
    <x v="2"/>
    <s v="Bush Cubix Conference Tables, Fully Assembled"/>
    <n v="692.94"/>
    <n v="3"/>
    <n v="173.23500000000001"/>
    <x v="1"/>
    <x v="0"/>
    <x v="2"/>
  </r>
  <r>
    <s v="CA-2016-124016"/>
    <d v="2016-09-23T00:00:00"/>
    <d v="2016-09-26T00:00:00"/>
    <x v="0"/>
    <s v="JS-15940"/>
    <s v="Joni Sundaresam"/>
    <x v="2"/>
    <x v="68"/>
    <x v="15"/>
    <x v="2"/>
    <s v="FUR-FU-10004963"/>
    <s v="Furniture"/>
    <x v="3"/>
    <s v="Eldon 400 Class Desk Accessories, Black Carbon"/>
    <n v="28"/>
    <n v="4"/>
    <n v="7.7"/>
    <x v="0"/>
    <x v="0"/>
    <x v="4"/>
  </r>
  <r>
    <s v="CA-2017-166695"/>
    <d v="2017-05-20T00:00:00"/>
    <d v="2017-05-24T00:00:00"/>
    <x v="1"/>
    <s v="CC-12430"/>
    <s v="Chuck Clark"/>
    <x v="2"/>
    <x v="174"/>
    <x v="2"/>
    <x v="1"/>
    <s v="FUR-CH-10000225"/>
    <s v="Furniture"/>
    <x v="1"/>
    <s v="Global Geo Office Task Chair, Gray"/>
    <n v="518.27200000000005"/>
    <n v="8"/>
    <n v="-97.176000000000002"/>
    <x v="4"/>
    <x v="3"/>
    <x v="7"/>
  </r>
  <r>
    <s v="CA-2017-166695"/>
    <d v="2017-05-20T00:00:00"/>
    <d v="2017-05-24T00:00:00"/>
    <x v="1"/>
    <s v="CC-12430"/>
    <s v="Chuck Clark"/>
    <x v="2"/>
    <x v="174"/>
    <x v="2"/>
    <x v="1"/>
    <s v="FUR-FU-10002191"/>
    <s v="Furniture"/>
    <x v="3"/>
    <s v="G.E. Halogen Desk Lamp Bulbs"/>
    <n v="6.98"/>
    <n v="1"/>
    <n v="3.3504"/>
    <x v="4"/>
    <x v="3"/>
    <x v="7"/>
  </r>
  <r>
    <s v="CA-2016-151561"/>
    <d v="2016-09-01T00:00:00"/>
    <d v="2016-09-07T00:00:00"/>
    <x v="1"/>
    <s v="PG-18820"/>
    <s v="Patrick Gardner"/>
    <x v="0"/>
    <x v="13"/>
    <x v="7"/>
    <x v="2"/>
    <s v="FUR-FU-10004864"/>
    <s v="Furniture"/>
    <x v="3"/>
    <s v="Howard Miller 14-1/2&quot; Diameter Chrome Round Wall Clock"/>
    <n v="191.82"/>
    <n v="3"/>
    <n v="61.382399999999997"/>
    <x v="6"/>
    <x v="0"/>
    <x v="4"/>
  </r>
  <r>
    <s v="US-2014-165589"/>
    <d v="2014-02-18T00:00:00"/>
    <d v="2014-02-18T00:00:00"/>
    <x v="3"/>
    <s v="TB-21595"/>
    <s v="Troy Blackwell"/>
    <x v="0"/>
    <x v="294"/>
    <x v="5"/>
    <x v="3"/>
    <s v="FUR-FU-10002396"/>
    <s v="Furniture"/>
    <x v="3"/>
    <s v="DAX Copper Panel Document Frame, 5 x 7 Size"/>
    <n v="25.16"/>
    <n v="5"/>
    <n v="-11.321999999999999"/>
    <x v="7"/>
    <x v="2"/>
    <x v="11"/>
  </r>
  <r>
    <s v="CA-2015-114048"/>
    <d v="2015-12-14T00:00:00"/>
    <d v="2015-12-18T00:00:00"/>
    <x v="1"/>
    <s v="EH-13945"/>
    <s v="Eric Hoffmann"/>
    <x v="0"/>
    <x v="46"/>
    <x v="2"/>
    <x v="1"/>
    <s v="FUR-FU-10004351"/>
    <s v="Furniture"/>
    <x v="3"/>
    <s v="Staple-based wall hangings"/>
    <n v="29.22"/>
    <n v="3"/>
    <n v="12.8568"/>
    <x v="4"/>
    <x v="1"/>
    <x v="5"/>
  </r>
  <r>
    <s v="CA-2017-100111"/>
    <d v="2017-09-20T00:00:00"/>
    <d v="2017-09-26T00:00:00"/>
    <x v="1"/>
    <s v="SV-20365"/>
    <s v="Seth Vernon"/>
    <x v="0"/>
    <x v="13"/>
    <x v="7"/>
    <x v="2"/>
    <s v="FUR-CH-10003846"/>
    <s v="Furniture"/>
    <x v="1"/>
    <s v="Hon Valutask Swivel Chairs"/>
    <n v="272.64600000000002"/>
    <n v="3"/>
    <n v="18.176400000000001"/>
    <x v="6"/>
    <x v="3"/>
    <x v="4"/>
  </r>
  <r>
    <s v="CA-2017-100111"/>
    <d v="2017-09-20T00:00:00"/>
    <d v="2017-09-26T00:00:00"/>
    <x v="1"/>
    <s v="SV-20365"/>
    <s v="Seth Vernon"/>
    <x v="0"/>
    <x v="13"/>
    <x v="7"/>
    <x v="2"/>
    <s v="FUR-CH-10003061"/>
    <s v="Furniture"/>
    <x v="1"/>
    <s v="Global Leather Task Chair, Black"/>
    <n v="80.991"/>
    <n v="1"/>
    <n v="8.0991"/>
    <x v="6"/>
    <x v="3"/>
    <x v="4"/>
  </r>
  <r>
    <s v="CA-2017-100111"/>
    <d v="2017-09-20T00:00:00"/>
    <d v="2017-09-26T00:00:00"/>
    <x v="1"/>
    <s v="SV-20365"/>
    <s v="Seth Vernon"/>
    <x v="0"/>
    <x v="13"/>
    <x v="7"/>
    <x v="2"/>
    <s v="FUR-CH-10004086"/>
    <s v="Furniture"/>
    <x v="1"/>
    <s v="Hon 4070 Series Pagoda Armless Upholstered Stacking Chairs"/>
    <n v="2888.127"/>
    <n v="11"/>
    <n v="609.71569999999997"/>
    <x v="6"/>
    <x v="3"/>
    <x v="4"/>
  </r>
  <r>
    <s v="CA-2017-100111"/>
    <d v="2017-09-20T00:00:00"/>
    <d v="2017-09-26T00:00:00"/>
    <x v="1"/>
    <s v="SV-20365"/>
    <s v="Seth Vernon"/>
    <x v="0"/>
    <x v="13"/>
    <x v="7"/>
    <x v="2"/>
    <s v="FUR-CH-10001215"/>
    <s v="Furniture"/>
    <x v="1"/>
    <s v="Global Troy Executive Leather Low-Back Tilter"/>
    <n v="2254.41"/>
    <n v="5"/>
    <n v="375.73500000000001"/>
    <x v="6"/>
    <x v="3"/>
    <x v="4"/>
  </r>
  <r>
    <s v="US-2017-132381"/>
    <d v="2017-08-22T00:00:00"/>
    <d v="2017-08-24T00:00:00"/>
    <x v="2"/>
    <s v="Dp-13240"/>
    <s v="Dean percer"/>
    <x v="2"/>
    <x v="3"/>
    <x v="3"/>
    <x v="2"/>
    <s v="FUR-TA-10002356"/>
    <s v="Furniture"/>
    <x v="2"/>
    <s v="Bevis Boat-Shaped Conference Table"/>
    <n v="314.53199999999998"/>
    <n v="2"/>
    <n v="-83.875200000000007"/>
    <x v="3"/>
    <x v="3"/>
    <x v="10"/>
  </r>
  <r>
    <s v="CA-2016-124590"/>
    <d v="2016-11-12T00:00:00"/>
    <d v="2016-11-16T00:00:00"/>
    <x v="1"/>
    <s v="SP-20920"/>
    <s v="Susan Pistek"/>
    <x v="0"/>
    <x v="255"/>
    <x v="15"/>
    <x v="2"/>
    <s v="FUR-CH-10004495"/>
    <s v="Furniture"/>
    <x v="1"/>
    <s v="Global Leather and Oak Executive Chair, Black"/>
    <n v="1474.8019999999999"/>
    <n v="7"/>
    <n v="-21.0686"/>
    <x v="4"/>
    <x v="0"/>
    <x v="0"/>
  </r>
  <r>
    <s v="CA-2016-124590"/>
    <d v="2016-11-12T00:00:00"/>
    <d v="2016-11-16T00:00:00"/>
    <x v="1"/>
    <s v="SP-20920"/>
    <s v="Susan Pistek"/>
    <x v="0"/>
    <x v="255"/>
    <x v="15"/>
    <x v="2"/>
    <s v="FUR-CH-10000454"/>
    <s v="Furniture"/>
    <x v="1"/>
    <s v="Hon Deluxe Fabric Upholstered Stacking Chairs, Rounded Back"/>
    <n v="1537.0740000000001"/>
    <n v="9"/>
    <n v="0"/>
    <x v="4"/>
    <x v="0"/>
    <x v="0"/>
  </r>
  <r>
    <s v="CA-2016-124590"/>
    <d v="2016-11-12T00:00:00"/>
    <d v="2016-11-16T00:00:00"/>
    <x v="1"/>
    <s v="SP-20920"/>
    <s v="Susan Pistek"/>
    <x v="0"/>
    <x v="255"/>
    <x v="15"/>
    <x v="2"/>
    <s v="FUR-CH-10003746"/>
    <s v="Furniture"/>
    <x v="1"/>
    <s v="Hon 4070 Series Pagoda Round Back Stacking Chairs"/>
    <n v="449.37200000000001"/>
    <n v="2"/>
    <n v="-12.8392"/>
    <x v="4"/>
    <x v="0"/>
    <x v="0"/>
  </r>
  <r>
    <s v="CA-2017-143378"/>
    <d v="2017-09-19T00:00:00"/>
    <d v="2017-09-25T00:00:00"/>
    <x v="1"/>
    <s v="JR-16210"/>
    <s v="Justin Ritter"/>
    <x v="1"/>
    <x v="76"/>
    <x v="36"/>
    <x v="1"/>
    <s v="FUR-FU-10004864"/>
    <s v="Furniture"/>
    <x v="3"/>
    <s v="Howard Miller 14-1/2&quot; Diameter Chrome Round Wall Clock"/>
    <n v="409.21600000000001"/>
    <n v="8"/>
    <n v="61.382399999999997"/>
    <x v="6"/>
    <x v="3"/>
    <x v="4"/>
  </r>
  <r>
    <s v="CA-2017-143378"/>
    <d v="2017-09-19T00:00:00"/>
    <d v="2017-09-25T00:00:00"/>
    <x v="1"/>
    <s v="JR-16210"/>
    <s v="Justin Ritter"/>
    <x v="1"/>
    <x v="76"/>
    <x v="36"/>
    <x v="1"/>
    <s v="FUR-BO-10001972"/>
    <s v="Furniture"/>
    <x v="0"/>
    <s v="O'Sullivan 4-Shelf Bookcase in Odessa Pine"/>
    <n v="72.587999999999994"/>
    <n v="2"/>
    <n v="-128.2388"/>
    <x v="6"/>
    <x v="3"/>
    <x v="4"/>
  </r>
  <r>
    <s v="CA-2016-124100"/>
    <d v="2016-03-31T00:00:00"/>
    <d v="2016-04-06T00:00:00"/>
    <x v="1"/>
    <s v="EH-13990"/>
    <s v="Erica Hackney"/>
    <x v="0"/>
    <x v="13"/>
    <x v="7"/>
    <x v="2"/>
    <s v="FUR-CH-10003817"/>
    <s v="Furniture"/>
    <x v="1"/>
    <s v="Global Value Steno Chair, Gray"/>
    <n v="327.99599999999998"/>
    <n v="6"/>
    <n v="54.665999999999997"/>
    <x v="6"/>
    <x v="0"/>
    <x v="9"/>
  </r>
  <r>
    <s v="CA-2014-163447"/>
    <d v="2014-12-27T00:00:00"/>
    <d v="2014-12-31T00:00:00"/>
    <x v="1"/>
    <s v="TB-21190"/>
    <s v="Thomas Brumley"/>
    <x v="2"/>
    <x v="13"/>
    <x v="7"/>
    <x v="2"/>
    <s v="FUR-CH-10004477"/>
    <s v="Furniture"/>
    <x v="1"/>
    <s v="Global Push Button Manager's Chair, Indigo"/>
    <n v="767.21400000000006"/>
    <n v="14"/>
    <n v="161.9674"/>
    <x v="4"/>
    <x v="2"/>
    <x v="5"/>
  </r>
  <r>
    <s v="CA-2016-148096"/>
    <d v="2016-08-16T00:00:00"/>
    <d v="2016-08-19T00:00:00"/>
    <x v="2"/>
    <s v="AO-10810"/>
    <s v="Anthony O'Donnell"/>
    <x v="1"/>
    <x v="2"/>
    <x v="2"/>
    <x v="1"/>
    <s v="FUR-TA-10004152"/>
    <s v="Furniture"/>
    <x v="2"/>
    <s v="Barricks 18&quot; x 48&quot; Non-Folding Utility Table with Bottom Storage Shelf"/>
    <n v="161.28"/>
    <n v="2"/>
    <n v="12.096"/>
    <x v="0"/>
    <x v="0"/>
    <x v="10"/>
  </r>
  <r>
    <s v="CA-2014-131247"/>
    <d v="2014-03-30T00:00:00"/>
    <d v="2014-04-04T00:00:00"/>
    <x v="1"/>
    <s v="GA-14725"/>
    <s v="Guy Armstrong"/>
    <x v="0"/>
    <x v="28"/>
    <x v="2"/>
    <x v="1"/>
    <s v="FUR-BO-10001337"/>
    <s v="Furniture"/>
    <x v="0"/>
    <s v="O'Sullivan Living Dimensions 2-Shelf Bookcases"/>
    <n v="205.666"/>
    <n v="2"/>
    <n v="-12.098000000000001"/>
    <x v="2"/>
    <x v="2"/>
    <x v="9"/>
  </r>
  <r>
    <s v="CA-2017-101322"/>
    <d v="2017-12-28T00:00:00"/>
    <d v="2017-12-31T00:00:00"/>
    <x v="2"/>
    <s v="JG-15310"/>
    <s v="Jason Gross"/>
    <x v="1"/>
    <x v="62"/>
    <x v="2"/>
    <x v="1"/>
    <s v="FUR-CH-10003968"/>
    <s v="Furniture"/>
    <x v="1"/>
    <s v="Novimex Turbo Task Chair"/>
    <n v="340.70400000000001"/>
    <n v="6"/>
    <n v="-34.070399999999999"/>
    <x v="0"/>
    <x v="3"/>
    <x v="5"/>
  </r>
  <r>
    <s v="US-2016-106600"/>
    <d v="2016-04-08T00:00:00"/>
    <d v="2016-04-11T00:00:00"/>
    <x v="2"/>
    <s v="RM-19375"/>
    <s v="Raymond Messe"/>
    <x v="0"/>
    <x v="29"/>
    <x v="24"/>
    <x v="0"/>
    <s v="FUR-BO-10001608"/>
    <s v="Furniture"/>
    <x v="0"/>
    <s v="Hon Metal Bookcases, Black"/>
    <n v="354.9"/>
    <n v="5"/>
    <n v="88.724999999999994"/>
    <x v="0"/>
    <x v="0"/>
    <x v="6"/>
  </r>
  <r>
    <s v="CA-2014-111871"/>
    <d v="2014-03-18T00:00:00"/>
    <d v="2014-03-21T00:00:00"/>
    <x v="0"/>
    <s v="EK-13795"/>
    <s v="Eileen Kiefer"/>
    <x v="2"/>
    <x v="28"/>
    <x v="2"/>
    <x v="1"/>
    <s v="FUR-BO-10004218"/>
    <s v="Furniture"/>
    <x v="0"/>
    <s v="Bush Heritage Pine Collection 5-Shelf Bookcase, Albany Pine Finish, *Special Order"/>
    <n v="1198.33"/>
    <n v="10"/>
    <n v="70.489999999999995"/>
    <x v="0"/>
    <x v="2"/>
    <x v="9"/>
  </r>
  <r>
    <s v="CA-2017-151484"/>
    <d v="2017-04-20T00:00:00"/>
    <d v="2017-04-23T00:00:00"/>
    <x v="2"/>
    <s v="CV-12805"/>
    <s v="Cynthia Voltz"/>
    <x v="1"/>
    <x v="3"/>
    <x v="3"/>
    <x v="2"/>
    <s v="FUR-FU-10001876"/>
    <s v="Furniture"/>
    <x v="3"/>
    <s v="Computer Room Manger, 14&quot;"/>
    <n v="51.968000000000004"/>
    <n v="2"/>
    <n v="10.393599999999999"/>
    <x v="0"/>
    <x v="3"/>
    <x v="6"/>
  </r>
  <r>
    <s v="CA-2017-151484"/>
    <d v="2017-04-20T00:00:00"/>
    <d v="2017-04-23T00:00:00"/>
    <x v="2"/>
    <s v="CV-12805"/>
    <s v="Cynthia Voltz"/>
    <x v="1"/>
    <x v="3"/>
    <x v="3"/>
    <x v="2"/>
    <s v="FUR-FU-10004671"/>
    <s v="Furniture"/>
    <x v="3"/>
    <s v="Executive Impressions 12&quot; Wall Clock"/>
    <n v="42.408000000000001"/>
    <n v="3"/>
    <n v="9.5418000000000003"/>
    <x v="0"/>
    <x v="3"/>
    <x v="6"/>
  </r>
  <r>
    <s v="CA-2014-103989"/>
    <d v="2014-03-19T00:00:00"/>
    <d v="2014-03-21T00:00:00"/>
    <x v="2"/>
    <s v="MC-17605"/>
    <s v="Matt Connell"/>
    <x v="1"/>
    <x v="49"/>
    <x v="1"/>
    <x v="0"/>
    <s v="FUR-FU-10003981"/>
    <s v="Furniture"/>
    <x v="3"/>
    <s v="Eldon Wave Desk Accessories"/>
    <n v="4.992"/>
    <n v="3"/>
    <n v="1.3728"/>
    <x v="3"/>
    <x v="2"/>
    <x v="9"/>
  </r>
  <r>
    <s v="CA-2014-103989"/>
    <d v="2014-03-19T00:00:00"/>
    <d v="2014-03-21T00:00:00"/>
    <x v="2"/>
    <s v="MC-17605"/>
    <s v="Matt Connell"/>
    <x v="1"/>
    <x v="49"/>
    <x v="1"/>
    <x v="0"/>
    <s v="FUR-FU-10002508"/>
    <s v="Furniture"/>
    <x v="3"/>
    <s v="Document Clip Frames"/>
    <n v="20.015999999999998"/>
    <n v="3"/>
    <n v="5.5044000000000004"/>
    <x v="3"/>
    <x v="2"/>
    <x v="9"/>
  </r>
  <r>
    <s v="CA-2015-158421"/>
    <d v="2015-09-21T00:00:00"/>
    <d v="2015-09-26T00:00:00"/>
    <x v="1"/>
    <s v="GB-14575"/>
    <s v="Giulietta Baptist"/>
    <x v="0"/>
    <x v="11"/>
    <x v="10"/>
    <x v="0"/>
    <s v="FUR-CH-10000309"/>
    <s v="Furniture"/>
    <x v="1"/>
    <s v="Global Comet Stacking Arm Chair"/>
    <n v="1690.04"/>
    <n v="4"/>
    <n v="422.51"/>
    <x v="2"/>
    <x v="1"/>
    <x v="4"/>
  </r>
  <r>
    <s v="CA-2016-143609"/>
    <d v="2016-12-11T00:00:00"/>
    <d v="2016-12-13T00:00:00"/>
    <x v="2"/>
    <s v="DB-13270"/>
    <s v="Deborah Brumfield"/>
    <x v="2"/>
    <x v="295"/>
    <x v="36"/>
    <x v="1"/>
    <s v="FUR-CH-10004218"/>
    <s v="Furniture"/>
    <x v="1"/>
    <s v="Global Fabric Manager's Chair, Dark Gray"/>
    <n v="403.92"/>
    <n v="5"/>
    <n v="25.245000000000001"/>
    <x v="3"/>
    <x v="0"/>
    <x v="5"/>
  </r>
  <r>
    <s v="CA-2016-157259"/>
    <d v="2016-12-24T00:00:00"/>
    <d v="2016-12-28T00:00:00"/>
    <x v="1"/>
    <s v="JM-15535"/>
    <s v="Jessica Myrick"/>
    <x v="0"/>
    <x v="13"/>
    <x v="7"/>
    <x v="2"/>
    <s v="FUR-FU-10003192"/>
    <s v="Furniture"/>
    <x v="3"/>
    <s v="Luxo Adjustable Task Clamp Lamp"/>
    <n v="799.56"/>
    <n v="9"/>
    <n v="207.88560000000001"/>
    <x v="4"/>
    <x v="0"/>
    <x v="5"/>
  </r>
  <r>
    <s v="CA-2016-118332"/>
    <d v="2016-12-16T00:00:00"/>
    <d v="2016-12-23T00:00:00"/>
    <x v="1"/>
    <s v="PK-19075"/>
    <s v="Pete Kriz"/>
    <x v="0"/>
    <x v="278"/>
    <x v="2"/>
    <x v="1"/>
    <s v="FUR-CH-10001708"/>
    <s v="Furniture"/>
    <x v="1"/>
    <s v="Office Star - Contemporary Swivel Chair with Padded Adjustable Arms and Flex Back"/>
    <n v="563.91999999999996"/>
    <n v="5"/>
    <n v="7.0490000000000004"/>
    <x v="1"/>
    <x v="0"/>
    <x v="5"/>
  </r>
  <r>
    <s v="CA-2017-145660"/>
    <d v="2017-12-01T00:00:00"/>
    <d v="2017-12-03T00:00:00"/>
    <x v="2"/>
    <s v="MG-17650"/>
    <s v="Matthew Grinstein"/>
    <x v="2"/>
    <x v="149"/>
    <x v="15"/>
    <x v="2"/>
    <s v="FUR-FU-10002885"/>
    <s v="Furniture"/>
    <x v="3"/>
    <s v="Magna Visual Magnetic Picture Hangers"/>
    <n v="7.7119999999999997"/>
    <n v="2"/>
    <n v="1.7352000000000001"/>
    <x v="3"/>
    <x v="3"/>
    <x v="5"/>
  </r>
  <r>
    <s v="CA-2016-133697"/>
    <d v="2016-10-20T00:00:00"/>
    <d v="2016-10-24T00:00:00"/>
    <x v="0"/>
    <s v="CM-12445"/>
    <s v="Chuck Magee"/>
    <x v="0"/>
    <x v="6"/>
    <x v="5"/>
    <x v="3"/>
    <s v="FUR-CH-10002372"/>
    <s v="Furniture"/>
    <x v="1"/>
    <s v="Office Star - Ergonomically Designed Knee Chair"/>
    <n v="56.686"/>
    <n v="1"/>
    <n v="-14.5764"/>
    <x v="4"/>
    <x v="0"/>
    <x v="1"/>
  </r>
  <r>
    <s v="CA-2017-119809"/>
    <d v="2017-08-18T00:00:00"/>
    <d v="2017-08-25T00:00:00"/>
    <x v="1"/>
    <s v="YS-21880"/>
    <s v="Yana Sorensen"/>
    <x v="1"/>
    <x v="15"/>
    <x v="13"/>
    <x v="1"/>
    <s v="FUR-FU-10001475"/>
    <s v="Furniture"/>
    <x v="3"/>
    <s v="Contract Clock, 14&quot;, Brown"/>
    <n v="65.94"/>
    <n v="3"/>
    <n v="22.419599999999999"/>
    <x v="1"/>
    <x v="3"/>
    <x v="10"/>
  </r>
  <r>
    <s v="CA-2015-161711"/>
    <d v="2015-11-28T00:00:00"/>
    <d v="2015-12-03T00:00:00"/>
    <x v="1"/>
    <s v="MC-17425"/>
    <s v="Mark Cousins"/>
    <x v="1"/>
    <x v="13"/>
    <x v="7"/>
    <x v="2"/>
    <s v="FUR-FU-10000087"/>
    <s v="Furniture"/>
    <x v="3"/>
    <s v="Executive Impressions 14&quot; Two-Color Numerals Wall Clock"/>
    <n v="68.16"/>
    <n v="3"/>
    <n v="27.945599999999999"/>
    <x v="2"/>
    <x v="1"/>
    <x v="0"/>
  </r>
  <r>
    <s v="CA-2017-140627"/>
    <d v="2017-12-23T00:00:00"/>
    <d v="2017-12-27T00:00:00"/>
    <x v="1"/>
    <s v="DK-12985"/>
    <s v="Darren Koutras"/>
    <x v="0"/>
    <x v="296"/>
    <x v="9"/>
    <x v="0"/>
    <s v="FUR-FU-10000087"/>
    <s v="Furniture"/>
    <x v="3"/>
    <s v="Executive Impressions 14&quot; Two-Color Numerals Wall Clock"/>
    <n v="72.703999999999994"/>
    <n v="4"/>
    <n v="19.084800000000001"/>
    <x v="4"/>
    <x v="3"/>
    <x v="5"/>
  </r>
  <r>
    <s v="CA-2015-133445"/>
    <d v="2015-10-05T00:00:00"/>
    <d v="2015-10-09T00:00:00"/>
    <x v="1"/>
    <s v="JF-15490"/>
    <s v="Jeremy Farry"/>
    <x v="0"/>
    <x v="295"/>
    <x v="36"/>
    <x v="1"/>
    <s v="FUR-BO-10003660"/>
    <s v="Furniture"/>
    <x v="0"/>
    <s v="Bush Cubix Collection Bookcases, Fully Assembled"/>
    <n v="66.293999999999997"/>
    <n v="1"/>
    <n v="-103.86060000000001"/>
    <x v="4"/>
    <x v="1"/>
    <x v="1"/>
  </r>
  <r>
    <s v="CA-2015-133445"/>
    <d v="2015-10-05T00:00:00"/>
    <d v="2015-10-09T00:00:00"/>
    <x v="1"/>
    <s v="JF-15490"/>
    <s v="Jeremy Farry"/>
    <x v="0"/>
    <x v="295"/>
    <x v="36"/>
    <x v="1"/>
    <s v="FUR-CH-10000422"/>
    <s v="Furniture"/>
    <x v="1"/>
    <s v="Global Highback Leather Tilter in Burgundy"/>
    <n v="291.16800000000001"/>
    <n v="4"/>
    <n v="-14.558400000000001"/>
    <x v="4"/>
    <x v="1"/>
    <x v="1"/>
  </r>
  <r>
    <s v="US-2017-142188"/>
    <d v="2017-09-11T00:00:00"/>
    <d v="2017-09-11T00:00:00"/>
    <x v="3"/>
    <s v="JF-15415"/>
    <s v="Jennifer Ferguson"/>
    <x v="0"/>
    <x v="15"/>
    <x v="13"/>
    <x v="1"/>
    <s v="FUR-CH-10003199"/>
    <s v="Furniture"/>
    <x v="1"/>
    <s v="Office Star - Contemporary Task Swivel Chair"/>
    <n v="177.56800000000001"/>
    <n v="2"/>
    <n v="8.8783999999999992"/>
    <x v="7"/>
    <x v="3"/>
    <x v="4"/>
  </r>
  <r>
    <s v="CA-2015-134075"/>
    <d v="2015-12-12T00:00:00"/>
    <d v="2015-12-16T00:00:00"/>
    <x v="1"/>
    <s v="HA-14905"/>
    <s v="Helen Abelman"/>
    <x v="0"/>
    <x v="124"/>
    <x v="2"/>
    <x v="1"/>
    <s v="FUR-FU-10004597"/>
    <s v="Furniture"/>
    <x v="3"/>
    <s v="Eldon Cleatmat Chair Mats for Medium Pile Carpets"/>
    <n v="166.5"/>
    <n v="3"/>
    <n v="21.645"/>
    <x v="4"/>
    <x v="1"/>
    <x v="5"/>
  </r>
  <r>
    <s v="CA-2017-141572"/>
    <d v="2017-05-28T00:00:00"/>
    <d v="2017-05-31T00:00:00"/>
    <x v="0"/>
    <s v="LO-17170"/>
    <s v="Lori Olson"/>
    <x v="1"/>
    <x v="41"/>
    <x v="28"/>
    <x v="2"/>
    <s v="FUR-FU-10001185"/>
    <s v="Furniture"/>
    <x v="3"/>
    <s v="Advantus Employee of the Month Certificate Frame, 11 x 13-1/2"/>
    <n v="247.44"/>
    <n v="8"/>
    <n v="101.4504"/>
    <x v="0"/>
    <x v="3"/>
    <x v="7"/>
  </r>
  <r>
    <s v="CA-2015-112305"/>
    <d v="2015-11-20T00:00:00"/>
    <d v="2015-11-25T00:00:00"/>
    <x v="1"/>
    <s v="KB-16405"/>
    <s v="Katrina Bavinger"/>
    <x v="2"/>
    <x v="15"/>
    <x v="13"/>
    <x v="1"/>
    <s v="FUR-FU-10002364"/>
    <s v="Furniture"/>
    <x v="3"/>
    <s v="Eldon Expressions Wood Desk Accessories, Oak"/>
    <n v="22.14"/>
    <n v="3"/>
    <n v="6.4206000000000003"/>
    <x v="2"/>
    <x v="1"/>
    <x v="0"/>
  </r>
  <r>
    <s v="CA-2017-121580"/>
    <d v="2017-05-29T00:00:00"/>
    <d v="2017-06-04T00:00:00"/>
    <x v="1"/>
    <s v="ML-17410"/>
    <s v="Maris LaWare"/>
    <x v="0"/>
    <x v="29"/>
    <x v="6"/>
    <x v="3"/>
    <s v="FUR-FU-10003981"/>
    <s v="Furniture"/>
    <x v="3"/>
    <s v="Eldon Wave Desk Accessories"/>
    <n v="6.24"/>
    <n v="3"/>
    <n v="2.6208"/>
    <x v="6"/>
    <x v="3"/>
    <x v="7"/>
  </r>
  <r>
    <s v="CA-2015-151624"/>
    <d v="2015-09-08T00:00:00"/>
    <d v="2015-09-14T00:00:00"/>
    <x v="1"/>
    <s v="VW-21775"/>
    <s v="Victoria Wilson"/>
    <x v="1"/>
    <x v="132"/>
    <x v="33"/>
    <x v="0"/>
    <s v="FUR-FU-10001731"/>
    <s v="Furniture"/>
    <x v="3"/>
    <s v="Acrylic Self-Standing Desk Frames"/>
    <n v="21.36"/>
    <n v="8"/>
    <n v="8.1167999999999996"/>
    <x v="6"/>
    <x v="1"/>
    <x v="4"/>
  </r>
  <r>
    <s v="CA-2017-102379"/>
    <d v="2017-12-02T00:00:00"/>
    <d v="2017-12-06T00:00:00"/>
    <x v="1"/>
    <s v="BB-11545"/>
    <s v="Brenda Bowman"/>
    <x v="1"/>
    <x v="121"/>
    <x v="2"/>
    <x v="1"/>
    <s v="FUR-CH-10004983"/>
    <s v="Furniture"/>
    <x v="1"/>
    <s v="Office Star - Mid Back Dual function Ergonomic High Back Chair with 2-Way Adjustable Arms"/>
    <n v="1159.056"/>
    <n v="9"/>
    <n v="43.464599999999997"/>
    <x v="4"/>
    <x v="3"/>
    <x v="5"/>
  </r>
  <r>
    <s v="US-2016-139087"/>
    <d v="2016-07-17T00:00:00"/>
    <d v="2016-07-22T00:00:00"/>
    <x v="0"/>
    <s v="DK-13375"/>
    <s v="Dennis Kane"/>
    <x v="0"/>
    <x v="15"/>
    <x v="13"/>
    <x v="1"/>
    <s v="FUR-FU-10001847"/>
    <s v="Furniture"/>
    <x v="3"/>
    <s v="Eldon Image Series Black Desk Accessories"/>
    <n v="12.42"/>
    <n v="3"/>
    <n v="4.4711999999999996"/>
    <x v="2"/>
    <x v="0"/>
    <x v="3"/>
  </r>
  <r>
    <s v="US-2016-139087"/>
    <d v="2016-07-17T00:00:00"/>
    <d v="2016-07-22T00:00:00"/>
    <x v="0"/>
    <s v="DK-13375"/>
    <s v="Dennis Kane"/>
    <x v="0"/>
    <x v="15"/>
    <x v="13"/>
    <x v="1"/>
    <s v="FUR-FU-10004164"/>
    <s v="Furniture"/>
    <x v="3"/>
    <s v="Eldon 300 Class Desk Accessories, Black"/>
    <n v="24.75"/>
    <n v="5"/>
    <n v="10.89"/>
    <x v="2"/>
    <x v="0"/>
    <x v="3"/>
  </r>
  <r>
    <s v="CA-2015-116484"/>
    <d v="2015-11-20T00:00:00"/>
    <d v="2015-11-26T00:00:00"/>
    <x v="1"/>
    <s v="JK-15205"/>
    <s v="Jamie Kunitz"/>
    <x v="0"/>
    <x v="149"/>
    <x v="15"/>
    <x v="2"/>
    <s v="FUR-FU-10002874"/>
    <s v="Furniture"/>
    <x v="3"/>
    <s v="Ultra Commercial Grade Dual Valve Door Closer"/>
    <n v="63.823999999999998"/>
    <n v="2"/>
    <n v="9.5736000000000008"/>
    <x v="6"/>
    <x v="1"/>
    <x v="0"/>
  </r>
  <r>
    <s v="CA-2016-100944"/>
    <d v="2016-09-24T00:00:00"/>
    <d v="2016-09-28T00:00:00"/>
    <x v="1"/>
    <s v="EH-13765"/>
    <s v="Edward Hooks"/>
    <x v="1"/>
    <x v="2"/>
    <x v="2"/>
    <x v="1"/>
    <s v="FUR-CH-10000988"/>
    <s v="Furniture"/>
    <x v="1"/>
    <s v="Hon Olson Stacker Stools"/>
    <n v="563.24"/>
    <n v="5"/>
    <n v="56.323999999999998"/>
    <x v="4"/>
    <x v="0"/>
    <x v="4"/>
  </r>
  <r>
    <s v="CA-2016-125080"/>
    <d v="2016-10-21T00:00:00"/>
    <d v="2016-10-26T00:00:00"/>
    <x v="1"/>
    <s v="VW-21775"/>
    <s v="Victoria Wilson"/>
    <x v="1"/>
    <x v="174"/>
    <x v="15"/>
    <x v="2"/>
    <s v="FUR-TA-10003238"/>
    <s v="Furniture"/>
    <x v="2"/>
    <s v="Chromcraft Bull-Nose Wood 48&quot; x 96&quot; Rectangular Conference Tables"/>
    <n v="661.17600000000004"/>
    <n v="2"/>
    <n v="-231.41159999999999"/>
    <x v="2"/>
    <x v="0"/>
    <x v="1"/>
  </r>
  <r>
    <s v="CA-2014-100090"/>
    <d v="2014-07-08T00:00:00"/>
    <d v="2014-07-12T00:00:00"/>
    <x v="1"/>
    <s v="EB-13705"/>
    <s v="Ed Braxton"/>
    <x v="1"/>
    <x v="28"/>
    <x v="2"/>
    <x v="1"/>
    <s v="FUR-TA-10003715"/>
    <s v="Furniture"/>
    <x v="2"/>
    <s v="Hon 2111 Invitation Series Corner Table"/>
    <n v="502.488"/>
    <n v="3"/>
    <n v="-87.935400000000001"/>
    <x v="4"/>
    <x v="2"/>
    <x v="3"/>
  </r>
  <r>
    <s v="US-2015-139675"/>
    <d v="2015-03-13T00:00:00"/>
    <d v="2015-03-18T00:00:00"/>
    <x v="0"/>
    <s v="NF-18595"/>
    <s v="Nicole Fjeld"/>
    <x v="2"/>
    <x v="297"/>
    <x v="2"/>
    <x v="1"/>
    <s v="FUR-CH-10004063"/>
    <s v="Furniture"/>
    <x v="1"/>
    <s v="Global Deluxe High-Back Manager's Chair"/>
    <n v="915.13599999999997"/>
    <n v="4"/>
    <n v="102.9528"/>
    <x v="2"/>
    <x v="1"/>
    <x v="9"/>
  </r>
  <r>
    <s v="US-2015-139675"/>
    <d v="2015-03-13T00:00:00"/>
    <d v="2015-03-18T00:00:00"/>
    <x v="0"/>
    <s v="NF-18595"/>
    <s v="Nicole Fjeld"/>
    <x v="2"/>
    <x v="297"/>
    <x v="2"/>
    <x v="1"/>
    <s v="FUR-FU-10001979"/>
    <s v="Furniture"/>
    <x v="3"/>
    <s v="Dana Halogen Swing-Arm Architect Lamp"/>
    <n v="327.76"/>
    <n v="8"/>
    <n v="91.772800000000004"/>
    <x v="2"/>
    <x v="1"/>
    <x v="9"/>
  </r>
  <r>
    <s v="CA-2017-143756"/>
    <d v="2017-12-02T00:00:00"/>
    <d v="2017-12-05T00:00:00"/>
    <x v="2"/>
    <s v="ME-17725"/>
    <s v="Max Engle"/>
    <x v="0"/>
    <x v="279"/>
    <x v="25"/>
    <x v="0"/>
    <s v="FUR-CH-10001854"/>
    <s v="Furniture"/>
    <x v="1"/>
    <s v="Office Star - Professional Matrix Back Chair with 2-to-1 Synchro Tilt and Mesh Fabric Seat"/>
    <n v="701.96"/>
    <n v="2"/>
    <n v="168.47040000000001"/>
    <x v="0"/>
    <x v="3"/>
    <x v="5"/>
  </r>
  <r>
    <s v="CA-2017-107314"/>
    <d v="2017-11-30T00:00:00"/>
    <d v="2017-12-03T00:00:00"/>
    <x v="2"/>
    <s v="MZ-17335"/>
    <s v="Maria Zettner"/>
    <x v="2"/>
    <x v="28"/>
    <x v="2"/>
    <x v="1"/>
    <s v="FUR-FU-10003489"/>
    <s v="Furniture"/>
    <x v="3"/>
    <s v="Contemporary Borderless Frame"/>
    <n v="25.83"/>
    <n v="3"/>
    <n v="9.5571000000000002"/>
    <x v="0"/>
    <x v="3"/>
    <x v="0"/>
  </r>
  <r>
    <s v="CA-2016-163328"/>
    <d v="2016-11-04T00:00:00"/>
    <d v="2016-11-06T00:00:00"/>
    <x v="0"/>
    <s v="TP-21565"/>
    <s v="Tracy Poddar"/>
    <x v="1"/>
    <x v="298"/>
    <x v="36"/>
    <x v="1"/>
    <s v="FUR-CH-10003298"/>
    <s v="Furniture"/>
    <x v="1"/>
    <s v="Office Star - Contemporary Task Swivel chair with Loop Arms, Charcoal"/>
    <n v="104.78400000000001"/>
    <n v="1"/>
    <n v="-14.4078"/>
    <x v="3"/>
    <x v="0"/>
    <x v="0"/>
  </r>
  <r>
    <s v="CA-2016-163328"/>
    <d v="2016-11-04T00:00:00"/>
    <d v="2016-11-06T00:00:00"/>
    <x v="0"/>
    <s v="TP-21565"/>
    <s v="Tracy Poddar"/>
    <x v="1"/>
    <x v="298"/>
    <x v="36"/>
    <x v="1"/>
    <s v="FUR-CH-10000229"/>
    <s v="Furniture"/>
    <x v="1"/>
    <s v="Global Enterprise Series Seating High-Back Swivel/Tilt Chairs"/>
    <n v="650.35199999999998"/>
    <n v="3"/>
    <n v="-97.552800000000005"/>
    <x v="3"/>
    <x v="0"/>
    <x v="0"/>
  </r>
  <r>
    <s v="CA-2014-112837"/>
    <d v="2014-09-11T00:00:00"/>
    <d v="2014-09-16T00:00:00"/>
    <x v="1"/>
    <s v="LW-17125"/>
    <s v="Liz Willingham"/>
    <x v="0"/>
    <x v="299"/>
    <x v="2"/>
    <x v="1"/>
    <s v="FUR-FU-10004006"/>
    <s v="Furniture"/>
    <x v="3"/>
    <s v="Deflect-o DuraMat Lighweight, Studded, Beveled Mat for Low Pile Carpeting"/>
    <n v="127.95"/>
    <n v="3"/>
    <n v="21.7515"/>
    <x v="2"/>
    <x v="2"/>
    <x v="4"/>
  </r>
  <r>
    <s v="CA-2014-167927"/>
    <d v="2014-01-20T00:00:00"/>
    <d v="2014-01-26T00:00:00"/>
    <x v="1"/>
    <s v="XP-21865"/>
    <s v="Xylona Preis"/>
    <x v="0"/>
    <x v="300"/>
    <x v="17"/>
    <x v="3"/>
    <s v="FUR-FU-10002918"/>
    <s v="Furniture"/>
    <x v="3"/>
    <s v="Eldon ClusterMat Chair Mat with Cordless Antistatic Protection"/>
    <n v="272.94"/>
    <n v="3"/>
    <n v="30.023399999999999"/>
    <x v="6"/>
    <x v="2"/>
    <x v="8"/>
  </r>
  <r>
    <s v="CA-2014-167927"/>
    <d v="2014-01-20T00:00:00"/>
    <d v="2014-01-26T00:00:00"/>
    <x v="1"/>
    <s v="XP-21865"/>
    <s v="Xylona Preis"/>
    <x v="0"/>
    <x v="300"/>
    <x v="17"/>
    <x v="3"/>
    <s v="FUR-FU-10002268"/>
    <s v="Furniture"/>
    <x v="3"/>
    <s v="Ultra Door Push Plate"/>
    <n v="14.73"/>
    <n v="3"/>
    <n v="4.8609"/>
    <x v="6"/>
    <x v="2"/>
    <x v="8"/>
  </r>
  <r>
    <s v="CA-2016-165995"/>
    <d v="2016-08-30T00:00:00"/>
    <d v="2016-09-06T00:00:00"/>
    <x v="1"/>
    <s v="BG-11740"/>
    <s v="Bruce Geld"/>
    <x v="0"/>
    <x v="2"/>
    <x v="2"/>
    <x v="1"/>
    <s v="FUR-FU-10000672"/>
    <s v="Furniture"/>
    <x v="3"/>
    <s v="Executive Impressions 10&quot; Spectator Wall Clock"/>
    <n v="47.04"/>
    <n v="4"/>
    <n v="15.993600000000001"/>
    <x v="1"/>
    <x v="0"/>
    <x v="10"/>
  </r>
  <r>
    <s v="CA-2017-143112"/>
    <d v="2017-10-05T00:00:00"/>
    <d v="2017-10-09T00:00:00"/>
    <x v="1"/>
    <s v="TS-21370"/>
    <s v="Todd Sumrall"/>
    <x v="1"/>
    <x v="13"/>
    <x v="7"/>
    <x v="2"/>
    <s v="FUR-CH-10002880"/>
    <s v="Furniture"/>
    <x v="1"/>
    <s v="Global High-Back Leather Tilter, Burgundy"/>
    <n v="221.38200000000001"/>
    <n v="2"/>
    <n v="2.4598"/>
    <x v="4"/>
    <x v="3"/>
    <x v="1"/>
  </r>
  <r>
    <s v="CA-2017-161557"/>
    <d v="2017-09-03T00:00:00"/>
    <d v="2017-09-08T00:00:00"/>
    <x v="1"/>
    <s v="AG-10900"/>
    <s v="Arthur Gainer"/>
    <x v="0"/>
    <x v="144"/>
    <x v="5"/>
    <x v="3"/>
    <s v="FUR-FU-10004622"/>
    <s v="Furniture"/>
    <x v="3"/>
    <s v="Eldon Advantage Foldable Chair Mats for Low Pile Carpets"/>
    <n v="108.4"/>
    <n v="5"/>
    <n v="-105.69"/>
    <x v="2"/>
    <x v="3"/>
    <x v="4"/>
  </r>
  <r>
    <s v="CA-2016-103919"/>
    <d v="2016-10-03T00:00:00"/>
    <d v="2016-10-07T00:00:00"/>
    <x v="1"/>
    <s v="TP-21565"/>
    <s v="Tracy Poddar"/>
    <x v="1"/>
    <x v="141"/>
    <x v="5"/>
    <x v="3"/>
    <s v="FUR-FU-10001756"/>
    <s v="Furniture"/>
    <x v="3"/>
    <s v="Eldon Expressions Desk Accessory, Wood Photo Frame, Mahogany"/>
    <n v="38.08"/>
    <n v="5"/>
    <n v="-29.512"/>
    <x v="4"/>
    <x v="0"/>
    <x v="1"/>
  </r>
  <r>
    <s v="CA-2016-113425"/>
    <d v="2016-11-21T00:00:00"/>
    <d v="2016-11-21T00:00:00"/>
    <x v="3"/>
    <s v="JK-16120"/>
    <s v="Julie Kriz"/>
    <x v="2"/>
    <x v="13"/>
    <x v="7"/>
    <x v="2"/>
    <s v="FUR-BO-10002598"/>
    <s v="Furniture"/>
    <x v="0"/>
    <s v="Hon Metal Bookcases, Putty"/>
    <n v="113.568"/>
    <n v="2"/>
    <n v="12.776400000000001"/>
    <x v="7"/>
    <x v="0"/>
    <x v="0"/>
  </r>
  <r>
    <s v="CA-2017-143035"/>
    <d v="2017-10-03T00:00:00"/>
    <d v="2017-10-05T00:00:00"/>
    <x v="0"/>
    <s v="CC-12430"/>
    <s v="Chuck Clark"/>
    <x v="2"/>
    <x v="13"/>
    <x v="7"/>
    <x v="2"/>
    <s v="FUR-FU-10001934"/>
    <s v="Furniture"/>
    <x v="3"/>
    <s v="Magnifier Swing Arm Lamp"/>
    <n v="83.92"/>
    <n v="4"/>
    <n v="21.819199999999999"/>
    <x v="3"/>
    <x v="3"/>
    <x v="1"/>
  </r>
  <r>
    <s v="CA-2014-107811"/>
    <d v="2014-04-29T00:00:00"/>
    <d v="2014-05-03T00:00:00"/>
    <x v="1"/>
    <s v="LA-16780"/>
    <s v="Laura Armstrong"/>
    <x v="1"/>
    <x v="10"/>
    <x v="9"/>
    <x v="0"/>
    <s v="FUR-CH-10001394"/>
    <s v="Furniture"/>
    <x v="1"/>
    <s v="Global Leather Executive Chair"/>
    <n v="561.58399999999995"/>
    <n v="2"/>
    <n v="70.197999999999993"/>
    <x v="4"/>
    <x v="2"/>
    <x v="6"/>
  </r>
  <r>
    <s v="US-2016-116442"/>
    <d v="2016-12-15T00:00:00"/>
    <d v="2016-12-22T00:00:00"/>
    <x v="1"/>
    <s v="BP-11230"/>
    <s v="Benjamin Patterson"/>
    <x v="0"/>
    <x v="2"/>
    <x v="2"/>
    <x v="1"/>
    <s v="FUR-FU-10002364"/>
    <s v="Furniture"/>
    <x v="3"/>
    <s v="Eldon Expressions Wood Desk Accessories, Oak"/>
    <n v="14.76"/>
    <n v="2"/>
    <n v="4.2804000000000002"/>
    <x v="1"/>
    <x v="0"/>
    <x v="5"/>
  </r>
  <r>
    <s v="CA-2016-127236"/>
    <d v="2016-03-29T00:00:00"/>
    <d v="2016-04-02T00:00:00"/>
    <x v="1"/>
    <s v="TB-21595"/>
    <s v="Troy Blackwell"/>
    <x v="0"/>
    <x v="76"/>
    <x v="15"/>
    <x v="2"/>
    <s v="FUR-BO-10004015"/>
    <s v="Furniture"/>
    <x v="0"/>
    <s v="Bush Andora Bookcase, Maple/Graphite Gray Finish"/>
    <n v="299.97500000000002"/>
    <n v="5"/>
    <n v="-167.98599999999999"/>
    <x v="4"/>
    <x v="0"/>
    <x v="9"/>
  </r>
  <r>
    <s v="CA-2016-129126"/>
    <d v="2016-12-14T00:00:00"/>
    <d v="2016-12-19T00:00:00"/>
    <x v="1"/>
    <s v="PK-19075"/>
    <s v="Pete Kriz"/>
    <x v="0"/>
    <x v="13"/>
    <x v="7"/>
    <x v="2"/>
    <s v="FUR-FU-10002937"/>
    <s v="Furniture"/>
    <x v="3"/>
    <s v="GE 48&quot; Fluorescent Tube, Cool White Energy Saver, 34 Watts, 30/Box"/>
    <n v="396.92"/>
    <n v="4"/>
    <n v="198.46"/>
    <x v="2"/>
    <x v="0"/>
    <x v="5"/>
  </r>
  <r>
    <s v="CA-2017-125472"/>
    <d v="2017-05-30T00:00:00"/>
    <d v="2017-05-31T00:00:00"/>
    <x v="2"/>
    <s v="BD-11725"/>
    <s v="Bruce Degenhardt"/>
    <x v="0"/>
    <x v="120"/>
    <x v="35"/>
    <x v="0"/>
    <s v="FUR-BO-10000330"/>
    <s v="Furniture"/>
    <x v="0"/>
    <s v="Sauder Camden County Barrister Bookcase, Planked Cherry Finish"/>
    <n v="241.96"/>
    <n v="2"/>
    <n v="33.874400000000001"/>
    <x v="5"/>
    <x v="3"/>
    <x v="7"/>
  </r>
  <r>
    <s v="CA-2017-125472"/>
    <d v="2017-05-30T00:00:00"/>
    <d v="2017-05-31T00:00:00"/>
    <x v="2"/>
    <s v="BD-11725"/>
    <s v="Bruce Degenhardt"/>
    <x v="0"/>
    <x v="120"/>
    <x v="35"/>
    <x v="0"/>
    <s v="FUR-FU-10001731"/>
    <s v="Furniture"/>
    <x v="3"/>
    <s v="Acrylic Self-Standing Desk Frames"/>
    <n v="8.01"/>
    <n v="3"/>
    <n v="3.0438000000000001"/>
    <x v="5"/>
    <x v="3"/>
    <x v="7"/>
  </r>
  <r>
    <s v="CA-2017-154074"/>
    <d v="2017-08-31T00:00:00"/>
    <d v="2017-09-02T00:00:00"/>
    <x v="0"/>
    <s v="BW-11110"/>
    <s v="Bart Watters"/>
    <x v="1"/>
    <x v="129"/>
    <x v="13"/>
    <x v="1"/>
    <s v="FUR-CH-10002331"/>
    <s v="Furniture"/>
    <x v="1"/>
    <s v="Hon 4700 Series Mobuis Mid-Back Task Chairs with Adjustable Arms"/>
    <n v="569.56799999999998"/>
    <n v="2"/>
    <n v="7.1196000000000002"/>
    <x v="3"/>
    <x v="3"/>
    <x v="10"/>
  </r>
  <r>
    <s v="CA-2017-161774"/>
    <d v="2017-05-14T00:00:00"/>
    <d v="2017-05-15T00:00:00"/>
    <x v="2"/>
    <s v="GT-14710"/>
    <s v="Greg Tran"/>
    <x v="0"/>
    <x v="6"/>
    <x v="5"/>
    <x v="3"/>
    <s v="FUR-CH-10003981"/>
    <s v="Furniture"/>
    <x v="1"/>
    <s v="Global Commerce Series Low-Back Swivel/Tilt Chairs"/>
    <n v="899.43"/>
    <n v="5"/>
    <n v="-12.849"/>
    <x v="5"/>
    <x v="3"/>
    <x v="7"/>
  </r>
  <r>
    <s v="CA-2016-140130"/>
    <d v="2016-10-31T00:00:00"/>
    <d v="2016-11-05T00:00:00"/>
    <x v="1"/>
    <s v="HW-14935"/>
    <s v="Helen Wasserman"/>
    <x v="1"/>
    <x v="169"/>
    <x v="37"/>
    <x v="3"/>
    <s v="FUR-CH-10002084"/>
    <s v="Furniture"/>
    <x v="1"/>
    <s v="Hon Mobius Operator's Chair"/>
    <n v="368.97"/>
    <n v="3"/>
    <n v="81.173400000000001"/>
    <x v="2"/>
    <x v="0"/>
    <x v="1"/>
  </r>
  <r>
    <s v="CA-2015-149650"/>
    <d v="2015-10-24T00:00:00"/>
    <d v="2015-10-27T00:00:00"/>
    <x v="2"/>
    <s v="RD-19660"/>
    <s v="Robert Dilbeck"/>
    <x v="2"/>
    <x v="121"/>
    <x v="2"/>
    <x v="1"/>
    <s v="FUR-CH-10003956"/>
    <s v="Furniture"/>
    <x v="1"/>
    <s v="Novimex High-Tech Fabric Mesh Task Chair"/>
    <n v="454.27199999999999"/>
    <n v="8"/>
    <n v="-73.819199999999995"/>
    <x v="0"/>
    <x v="1"/>
    <x v="1"/>
  </r>
  <r>
    <s v="CA-2014-165764"/>
    <d v="2014-11-03T00:00:00"/>
    <d v="2014-11-07T00:00:00"/>
    <x v="1"/>
    <s v="SH-20395"/>
    <s v="Shahid Hopkins"/>
    <x v="0"/>
    <x v="51"/>
    <x v="30"/>
    <x v="0"/>
    <s v="FUR-TA-10001768"/>
    <s v="Furniture"/>
    <x v="2"/>
    <s v="Hon Racetrack Conference Tables"/>
    <n v="945.03599999999994"/>
    <n v="6"/>
    <n v="-299.26139999999998"/>
    <x v="4"/>
    <x v="2"/>
    <x v="0"/>
  </r>
  <r>
    <s v="CA-2014-165764"/>
    <d v="2014-11-03T00:00:00"/>
    <d v="2014-11-07T00:00:00"/>
    <x v="1"/>
    <s v="SH-20395"/>
    <s v="Shahid Hopkins"/>
    <x v="0"/>
    <x v="51"/>
    <x v="30"/>
    <x v="0"/>
    <s v="FUR-FU-10001468"/>
    <s v="Furniture"/>
    <x v="3"/>
    <s v="Tenex Antistatic Computer Chair Mats"/>
    <n v="410.35199999999998"/>
    <n v="3"/>
    <n v="-51.293999999999997"/>
    <x v="4"/>
    <x v="2"/>
    <x v="0"/>
  </r>
  <r>
    <s v="US-2017-116897"/>
    <d v="2017-05-27T00:00:00"/>
    <d v="2017-05-29T00:00:00"/>
    <x v="2"/>
    <s v="JG-15160"/>
    <s v="James Galang"/>
    <x v="0"/>
    <x v="280"/>
    <x v="42"/>
    <x v="1"/>
    <s v="FUR-FU-10004963"/>
    <s v="Furniture"/>
    <x v="3"/>
    <s v="Eldon 400 Class Desk Accessories, Black Carbon"/>
    <n v="35"/>
    <n v="4"/>
    <n v="14.7"/>
    <x v="3"/>
    <x v="3"/>
    <x v="7"/>
  </r>
  <r>
    <s v="US-2017-113992"/>
    <d v="2017-12-14T00:00:00"/>
    <d v="2017-12-19T00:00:00"/>
    <x v="1"/>
    <s v="LC-16885"/>
    <s v="Lena Creighton"/>
    <x v="0"/>
    <x v="215"/>
    <x v="5"/>
    <x v="3"/>
    <s v="FUR-TA-10000577"/>
    <s v="Furniture"/>
    <x v="2"/>
    <s v="Bretford CR4500 Series Slim Rectangular Table"/>
    <n v="974.98800000000006"/>
    <n v="4"/>
    <n v="-97.498800000000003"/>
    <x v="2"/>
    <x v="3"/>
    <x v="5"/>
  </r>
  <r>
    <s v="CA-2014-166891"/>
    <d v="2014-10-04T00:00:00"/>
    <d v="2014-10-06T00:00:00"/>
    <x v="2"/>
    <s v="CC-12220"/>
    <s v="Chris Cortes"/>
    <x v="0"/>
    <x v="13"/>
    <x v="7"/>
    <x v="2"/>
    <s v="FUR-CH-10003298"/>
    <s v="Furniture"/>
    <x v="1"/>
    <s v="Office Star - Contemporary Task Swivel chair with Loop Arms, Charcoal"/>
    <n v="589.41"/>
    <n v="5"/>
    <n v="-6.5490000000000004"/>
    <x v="3"/>
    <x v="2"/>
    <x v="1"/>
  </r>
  <r>
    <s v="CA-2016-101161"/>
    <d v="2016-10-13T00:00:00"/>
    <d v="2016-10-20T00:00:00"/>
    <x v="1"/>
    <s v="BW-11110"/>
    <s v="Bart Watters"/>
    <x v="1"/>
    <x v="13"/>
    <x v="7"/>
    <x v="2"/>
    <s v="FUR-FU-10003535"/>
    <s v="Furniture"/>
    <x v="3"/>
    <s v="Howard Miller Distant Time Traveler Alarm Clock"/>
    <n v="82.26"/>
    <n v="3"/>
    <n v="33.726599999999998"/>
    <x v="1"/>
    <x v="0"/>
    <x v="1"/>
  </r>
  <r>
    <s v="US-2017-119816"/>
    <d v="2017-03-04T00:00:00"/>
    <d v="2017-03-06T00:00:00"/>
    <x v="0"/>
    <s v="TT-21460"/>
    <s v="Tonja Turnell"/>
    <x v="2"/>
    <x v="6"/>
    <x v="5"/>
    <x v="3"/>
    <s v="FUR-FU-10004848"/>
    <s v="Furniture"/>
    <x v="3"/>
    <s v="Howard Miller 13-3/4&quot; Diameter Brushed Chrome Round Wall Clock"/>
    <n v="103.5"/>
    <n v="5"/>
    <n v="-77.625"/>
    <x v="3"/>
    <x v="3"/>
    <x v="9"/>
  </r>
  <r>
    <s v="CA-2017-161102"/>
    <d v="2017-07-31T00:00:00"/>
    <d v="2017-08-03T00:00:00"/>
    <x v="2"/>
    <s v="EC-14050"/>
    <s v="Erin Creighton"/>
    <x v="0"/>
    <x v="28"/>
    <x v="2"/>
    <x v="1"/>
    <s v="FUR-FU-10003142"/>
    <s v="Furniture"/>
    <x v="3"/>
    <s v="Master Big Foot Doorstop, Beige"/>
    <n v="36.96"/>
    <n v="7"/>
    <n v="11.457599999999999"/>
    <x v="0"/>
    <x v="3"/>
    <x v="3"/>
  </r>
  <r>
    <s v="US-2017-133361"/>
    <d v="2017-05-14T00:00:00"/>
    <d v="2017-05-17T00:00:00"/>
    <x v="2"/>
    <s v="AJ-10780"/>
    <s v="Anthony Jacobs"/>
    <x v="1"/>
    <x v="237"/>
    <x v="32"/>
    <x v="2"/>
    <s v="FUR-CH-10003298"/>
    <s v="Furniture"/>
    <x v="1"/>
    <s v="Office Star - Contemporary Task Swivel chair with Loop Arms, Charcoal"/>
    <n v="261.95999999999998"/>
    <n v="2"/>
    <n v="23.5764"/>
    <x v="0"/>
    <x v="3"/>
    <x v="7"/>
  </r>
  <r>
    <s v="US-2016-155404"/>
    <d v="2016-09-22T00:00:00"/>
    <d v="2016-09-28T00:00:00"/>
    <x v="1"/>
    <s v="AS-10630"/>
    <s v="Ann Steele"/>
    <x v="2"/>
    <x v="74"/>
    <x v="0"/>
    <x v="0"/>
    <s v="FUR-FU-10004586"/>
    <s v="Furniture"/>
    <x v="3"/>
    <s v="G.E. Longer-Life Indoor Recessed Floodlight Bulbs"/>
    <n v="13.28"/>
    <n v="2"/>
    <n v="6.3743999999999996"/>
    <x v="6"/>
    <x v="0"/>
    <x v="4"/>
  </r>
  <r>
    <s v="CA-2016-163804"/>
    <d v="2016-12-02T00:00:00"/>
    <d v="2016-12-08T00:00:00"/>
    <x v="1"/>
    <s v="DB-13270"/>
    <s v="Deborah Brumfield"/>
    <x v="2"/>
    <x v="134"/>
    <x v="38"/>
    <x v="2"/>
    <s v="FUR-FU-10004864"/>
    <s v="Furniture"/>
    <x v="3"/>
    <s v="Eldon 500 Class Desk Accessories"/>
    <n v="72.42"/>
    <n v="6"/>
    <n v="23.898599999999998"/>
    <x v="6"/>
    <x v="0"/>
    <x v="5"/>
  </r>
  <r>
    <s v="CA-2014-149524"/>
    <d v="2014-01-14T00:00:00"/>
    <d v="2014-01-15T00:00:00"/>
    <x v="2"/>
    <s v="BS-11590"/>
    <s v="Brendan Sweed"/>
    <x v="1"/>
    <x v="3"/>
    <x v="3"/>
    <x v="2"/>
    <s v="FUR-BO-10003433"/>
    <s v="Furniture"/>
    <x v="0"/>
    <s v="Sauder Cornerstone Collection Library"/>
    <n v="61.96"/>
    <n v="4"/>
    <n v="-53.285600000000002"/>
    <x v="5"/>
    <x v="2"/>
    <x v="8"/>
  </r>
  <r>
    <s v="CA-2017-140872"/>
    <d v="2017-06-03T00:00:00"/>
    <d v="2017-06-10T00:00:00"/>
    <x v="1"/>
    <s v="NR-18550"/>
    <s v="Nick Radford"/>
    <x v="0"/>
    <x v="36"/>
    <x v="1"/>
    <x v="0"/>
    <s v="FUR-BO-10002824"/>
    <s v="Furniture"/>
    <x v="0"/>
    <s v="Bush Mission Pointe Library"/>
    <n v="241.56800000000001"/>
    <n v="2"/>
    <n v="0"/>
    <x v="1"/>
    <x v="3"/>
    <x v="2"/>
  </r>
  <r>
    <s v="CA-2017-113908"/>
    <d v="2017-06-03T00:00:00"/>
    <d v="2017-06-09T00:00:00"/>
    <x v="1"/>
    <s v="KN-16390"/>
    <s v="Katherine Nockton"/>
    <x v="1"/>
    <x v="13"/>
    <x v="7"/>
    <x v="2"/>
    <s v="FUR-TA-10001932"/>
    <s v="Furniture"/>
    <x v="2"/>
    <s v="Chromcraft 48&quot; x 96&quot; Racetrack Double Pedestal Table"/>
    <n v="384.76799999999997"/>
    <n v="2"/>
    <n v="-115.43040000000001"/>
    <x v="6"/>
    <x v="3"/>
    <x v="2"/>
  </r>
  <r>
    <s v="CA-2014-149594"/>
    <d v="2014-09-15T00:00:00"/>
    <d v="2014-09-19T00:00:00"/>
    <x v="1"/>
    <s v="MF-18250"/>
    <s v="Monica Federle"/>
    <x v="1"/>
    <x v="3"/>
    <x v="3"/>
    <x v="2"/>
    <s v="FUR-FU-10000222"/>
    <s v="Furniture"/>
    <x v="3"/>
    <s v="Seth Thomas 16&quot; Steel Case Clock"/>
    <n v="103.93600000000001"/>
    <n v="4"/>
    <n v="16.889600000000002"/>
    <x v="4"/>
    <x v="2"/>
    <x v="4"/>
  </r>
  <r>
    <s v="CA-2016-113845"/>
    <d v="2016-11-20T00:00:00"/>
    <d v="2016-11-25T00:00:00"/>
    <x v="1"/>
    <s v="FA-14230"/>
    <s v="Frank Atkinson"/>
    <x v="1"/>
    <x v="301"/>
    <x v="1"/>
    <x v="0"/>
    <s v="FUR-BO-10004695"/>
    <s v="Furniture"/>
    <x v="0"/>
    <s v="O'Sullivan 2-Door Barrister Bookcase in Odessa Pine"/>
    <n v="289.56799999999998"/>
    <n v="2"/>
    <n v="10.8588"/>
    <x v="2"/>
    <x v="0"/>
    <x v="0"/>
  </r>
  <r>
    <s v="CA-2015-103135"/>
    <d v="2015-07-24T00:00:00"/>
    <d v="2015-07-28T00:00:00"/>
    <x v="1"/>
    <s v="SS-20515"/>
    <s v="Shirley Schmidt"/>
    <x v="2"/>
    <x v="74"/>
    <x v="0"/>
    <x v="0"/>
    <s v="FUR-FU-10001487"/>
    <s v="Furniture"/>
    <x v="3"/>
    <s v="Eldon Expressions Wood and Plastic Desk Accessories, Cherry Wood"/>
    <n v="20.94"/>
    <n v="3"/>
    <n v="6.0726000000000004"/>
    <x v="4"/>
    <x v="1"/>
    <x v="3"/>
  </r>
  <r>
    <s v="US-2016-128909"/>
    <d v="2016-10-09T00:00:00"/>
    <d v="2016-10-11T00:00:00"/>
    <x v="0"/>
    <s v="SP-20545"/>
    <s v="Sibella Parks"/>
    <x v="1"/>
    <x v="3"/>
    <x v="3"/>
    <x v="2"/>
    <s v="FUR-FU-10004071"/>
    <s v="Furniture"/>
    <x v="3"/>
    <s v="Luxo Professional Magnifying Clamp-On Fluorescent Lamps"/>
    <n v="332.83199999999999"/>
    <n v="4"/>
    <n v="-24.962399999999999"/>
    <x v="3"/>
    <x v="0"/>
    <x v="1"/>
  </r>
  <r>
    <s v="US-2017-116652"/>
    <d v="2017-09-15T00:00:00"/>
    <d v="2017-09-19T00:00:00"/>
    <x v="1"/>
    <s v="RD-19480"/>
    <s v="Rick Duston"/>
    <x v="0"/>
    <x v="28"/>
    <x v="2"/>
    <x v="1"/>
    <s v="FUR-CH-10002961"/>
    <s v="Furniture"/>
    <x v="1"/>
    <s v="Leather Task Chair, Black"/>
    <n v="218.352"/>
    <n v="3"/>
    <n v="0"/>
    <x v="4"/>
    <x v="3"/>
    <x v="4"/>
  </r>
  <r>
    <s v="US-2017-116652"/>
    <d v="2017-09-15T00:00:00"/>
    <d v="2017-09-19T00:00:00"/>
    <x v="1"/>
    <s v="RD-19480"/>
    <s v="Rick Duston"/>
    <x v="0"/>
    <x v="28"/>
    <x v="2"/>
    <x v="1"/>
    <s v="FUR-FU-10001488"/>
    <s v="Furniture"/>
    <x v="3"/>
    <s v="Tenex 46&quot; x 60&quot; Computer Anti-Static Chairmat, Rectangular Shaped"/>
    <n v="529.9"/>
    <n v="5"/>
    <n v="105.98"/>
    <x v="4"/>
    <x v="3"/>
    <x v="4"/>
  </r>
  <r>
    <s v="CA-2017-138289"/>
    <d v="2017-01-16T00:00:00"/>
    <d v="2017-01-18T00:00:00"/>
    <x v="0"/>
    <s v="AR-10540"/>
    <s v="Andy Reiter"/>
    <x v="0"/>
    <x v="38"/>
    <x v="17"/>
    <x v="3"/>
    <s v="FUR-CH-10004626"/>
    <s v="Furniture"/>
    <x v="1"/>
    <s v="Office Star Flex Back Scooter Chair with Aluminum Finish Frame"/>
    <n v="302.67"/>
    <n v="3"/>
    <n v="72.640799999999999"/>
    <x v="3"/>
    <x v="3"/>
    <x v="8"/>
  </r>
  <r>
    <s v="CA-2014-128209"/>
    <d v="2014-11-17T00:00:00"/>
    <d v="2014-11-22T00:00:00"/>
    <x v="1"/>
    <s v="GT-14710"/>
    <s v="Greg Tran"/>
    <x v="0"/>
    <x v="252"/>
    <x v="7"/>
    <x v="2"/>
    <s v="FUR-BO-10002213"/>
    <s v="Furniture"/>
    <x v="0"/>
    <s v="DMI Eclipse Executive Suite Bookcases"/>
    <n v="4007.84"/>
    <n v="10"/>
    <n v="-50.097999999999999"/>
    <x v="2"/>
    <x v="2"/>
    <x v="0"/>
  </r>
  <r>
    <s v="CA-2014-169684"/>
    <d v="2014-10-20T00:00:00"/>
    <d v="2014-10-23T00:00:00"/>
    <x v="2"/>
    <s v="FH-14365"/>
    <s v="Fred Hopkins"/>
    <x v="1"/>
    <x v="270"/>
    <x v="9"/>
    <x v="0"/>
    <s v="FUR-TA-10003008"/>
    <s v="Furniture"/>
    <x v="2"/>
    <s v="Lesro Round Back Collection Coffee Table, End Table"/>
    <n v="328.59"/>
    <n v="3"/>
    <n v="-147.8655"/>
    <x v="0"/>
    <x v="2"/>
    <x v="1"/>
  </r>
  <r>
    <s v="CA-2015-109862"/>
    <d v="2015-10-25T00:00:00"/>
    <d v="2015-10-30T00:00:00"/>
    <x v="1"/>
    <s v="HK-14890"/>
    <s v="Heather Kirkland"/>
    <x v="1"/>
    <x v="19"/>
    <x v="14"/>
    <x v="2"/>
    <s v="FUR-CH-10002439"/>
    <s v="Furniture"/>
    <x v="1"/>
    <s v="Iceberg Nesting Folding Chair, 19w x 6d x 43h"/>
    <n v="291.10000000000002"/>
    <n v="5"/>
    <n v="75.686000000000007"/>
    <x v="2"/>
    <x v="1"/>
    <x v="1"/>
  </r>
  <r>
    <s v="US-2017-107888"/>
    <d v="2017-11-16T00:00:00"/>
    <d v="2017-11-19T00:00:00"/>
    <x v="2"/>
    <s v="CC-12220"/>
    <s v="Chris Cortes"/>
    <x v="0"/>
    <x v="15"/>
    <x v="13"/>
    <x v="1"/>
    <s v="FUR-FU-10003394"/>
    <s v="Furniture"/>
    <x v="3"/>
    <s v="Tenex &quot;The Solids&quot; Textured Chair Mats"/>
    <n v="139.91999999999999"/>
    <n v="2"/>
    <n v="23.7864"/>
    <x v="0"/>
    <x v="3"/>
    <x v="0"/>
  </r>
  <r>
    <s v="CA-2014-113880"/>
    <d v="2014-03-01T00:00:00"/>
    <d v="2014-03-05T00:00:00"/>
    <x v="1"/>
    <s v="VF-21715"/>
    <s v="Vicky Freymann"/>
    <x v="2"/>
    <x v="302"/>
    <x v="8"/>
    <x v="3"/>
    <s v="FUR-CH-10000863"/>
    <s v="Furniture"/>
    <x v="1"/>
    <s v="Novimex Swivel Fabric Task Chair"/>
    <n v="634.11599999999999"/>
    <n v="6"/>
    <n v="-172.1172"/>
    <x v="4"/>
    <x v="2"/>
    <x v="9"/>
  </r>
  <r>
    <s v="US-2015-164966"/>
    <d v="2015-07-30T00:00:00"/>
    <d v="2015-08-01T00:00:00"/>
    <x v="2"/>
    <s v="GH-14410"/>
    <s v="Gary Hansen"/>
    <x v="2"/>
    <x v="27"/>
    <x v="11"/>
    <x v="3"/>
    <s v="FUR-CH-10002304"/>
    <s v="Furniture"/>
    <x v="1"/>
    <s v="Global Stack Chair without Arms, Black"/>
    <n v="155.88"/>
    <n v="6"/>
    <n v="38.97"/>
    <x v="3"/>
    <x v="1"/>
    <x v="3"/>
  </r>
  <r>
    <s v="CA-2015-126739"/>
    <d v="2015-11-01T00:00:00"/>
    <d v="2015-11-03T00:00:00"/>
    <x v="0"/>
    <s v="JH-16180"/>
    <s v="Justin Hirsh"/>
    <x v="0"/>
    <x v="13"/>
    <x v="7"/>
    <x v="2"/>
    <s v="FUR-CH-10000422"/>
    <s v="Furniture"/>
    <x v="1"/>
    <s v="Global Highback Leather Tilter in Burgundy"/>
    <n v="327.56400000000002"/>
    <n v="4"/>
    <n v="21.837599999999998"/>
    <x v="3"/>
    <x v="1"/>
    <x v="0"/>
  </r>
  <r>
    <s v="CA-2015-166947"/>
    <d v="2015-06-05T00:00:00"/>
    <d v="2015-06-10T00:00:00"/>
    <x v="1"/>
    <s v="EB-13750"/>
    <s v="Edward Becker"/>
    <x v="1"/>
    <x v="252"/>
    <x v="7"/>
    <x v="2"/>
    <s v="FUR-CH-10004997"/>
    <s v="Furniture"/>
    <x v="1"/>
    <s v="Hon Every-Day Series Multi-Task Chairs"/>
    <n v="1522.6379999999999"/>
    <n v="9"/>
    <n v="169.18199999999999"/>
    <x v="2"/>
    <x v="1"/>
    <x v="2"/>
  </r>
  <r>
    <s v="CA-2014-166086"/>
    <d v="2014-05-07T00:00:00"/>
    <d v="2014-05-12T00:00:00"/>
    <x v="1"/>
    <s v="CT-11995"/>
    <s v="Carol Triggs"/>
    <x v="0"/>
    <x v="37"/>
    <x v="20"/>
    <x v="2"/>
    <s v="FUR-TA-10003469"/>
    <s v="Furniture"/>
    <x v="2"/>
    <s v="Balt Split Level Computer Training Table"/>
    <n v="194.25"/>
    <n v="2"/>
    <n v="-38.85"/>
    <x v="2"/>
    <x v="2"/>
    <x v="7"/>
  </r>
  <r>
    <s v="CA-2014-166086"/>
    <d v="2014-05-07T00:00:00"/>
    <d v="2014-05-12T00:00:00"/>
    <x v="1"/>
    <s v="CT-11995"/>
    <s v="Carol Triggs"/>
    <x v="0"/>
    <x v="37"/>
    <x v="20"/>
    <x v="2"/>
    <s v="FUR-CH-10004675"/>
    <s v="Furniture"/>
    <x v="1"/>
    <s v="Lifetime Advantage Folding Chairs, 4/Carton"/>
    <n v="872.32"/>
    <n v="4"/>
    <n v="244.24959999999999"/>
    <x v="2"/>
    <x v="2"/>
    <x v="7"/>
  </r>
  <r>
    <s v="CA-2014-100678"/>
    <d v="2014-04-18T00:00:00"/>
    <d v="2014-04-22T00:00:00"/>
    <x v="1"/>
    <s v="KM-16720"/>
    <s v="Kunst Miller"/>
    <x v="0"/>
    <x v="6"/>
    <x v="5"/>
    <x v="3"/>
    <s v="FUR-CH-10002602"/>
    <s v="Furniture"/>
    <x v="1"/>
    <s v="DMI Arturo Collection Mission-style Design Wood Chair"/>
    <n v="317.05799999999999"/>
    <n v="3"/>
    <n v="-18.117599999999999"/>
    <x v="4"/>
    <x v="2"/>
    <x v="6"/>
  </r>
  <r>
    <s v="CA-2017-123085"/>
    <d v="2017-03-03T00:00:00"/>
    <d v="2017-03-08T00:00:00"/>
    <x v="1"/>
    <s v="EJ-13720"/>
    <s v="Ed Jacobs"/>
    <x v="0"/>
    <x v="2"/>
    <x v="2"/>
    <x v="1"/>
    <s v="FUR-CH-10003968"/>
    <s v="Furniture"/>
    <x v="1"/>
    <s v="Novimex Turbo Task Chair"/>
    <n v="170.352"/>
    <n v="3"/>
    <n v="-17.0352"/>
    <x v="2"/>
    <x v="3"/>
    <x v="9"/>
  </r>
  <r>
    <s v="CA-2016-169887"/>
    <d v="2016-10-22T00:00:00"/>
    <d v="2016-10-22T00:00:00"/>
    <x v="3"/>
    <s v="MS-17530"/>
    <s v="MaryBeth Skach"/>
    <x v="0"/>
    <x v="15"/>
    <x v="13"/>
    <x v="1"/>
    <s v="FUR-FU-10003095"/>
    <s v="Furniture"/>
    <x v="3"/>
    <s v="Linden 12&quot; Wall Clock With Oak Frame"/>
    <n v="101.94"/>
    <n v="3"/>
    <n v="30.582000000000001"/>
    <x v="7"/>
    <x v="0"/>
    <x v="1"/>
  </r>
  <r>
    <s v="CA-2017-104731"/>
    <d v="2017-07-21T00:00:00"/>
    <d v="2017-07-27T00:00:00"/>
    <x v="1"/>
    <s v="AM-10705"/>
    <s v="Anne McFarland"/>
    <x v="0"/>
    <x v="279"/>
    <x v="25"/>
    <x v="0"/>
    <s v="FUR-FU-10003274"/>
    <s v="Furniture"/>
    <x v="3"/>
    <s v="Regeneration Desk Collection"/>
    <n v="8.8000000000000007"/>
    <n v="5"/>
    <n v="3.8719999999999999"/>
    <x v="6"/>
    <x v="3"/>
    <x v="3"/>
  </r>
  <r>
    <s v="CA-2017-104731"/>
    <d v="2017-07-21T00:00:00"/>
    <d v="2017-07-27T00:00:00"/>
    <x v="1"/>
    <s v="AM-10705"/>
    <s v="Anne McFarland"/>
    <x v="0"/>
    <x v="279"/>
    <x v="25"/>
    <x v="0"/>
    <s v="FUR-BO-10003441"/>
    <s v="Furniture"/>
    <x v="0"/>
    <s v="Bush Westfield Collection Bookcases, Fully Assembled"/>
    <n v="302.94"/>
    <n v="3"/>
    <n v="69.676199999999994"/>
    <x v="6"/>
    <x v="3"/>
    <x v="3"/>
  </r>
  <r>
    <s v="CA-2014-154095"/>
    <d v="2014-12-02T00:00:00"/>
    <d v="2014-12-07T00:00:00"/>
    <x v="1"/>
    <s v="ON-18715"/>
    <s v="Odella Nelson"/>
    <x v="1"/>
    <x v="218"/>
    <x v="32"/>
    <x v="2"/>
    <s v="FUR-FU-10003849"/>
    <s v="Furniture"/>
    <x v="3"/>
    <s v="DAX Metal Frame, Desktop, Stepped-Edge"/>
    <n v="60.72"/>
    <n v="3"/>
    <n v="23.680800000000001"/>
    <x v="2"/>
    <x v="2"/>
    <x v="5"/>
  </r>
  <r>
    <s v="CA-2014-154095"/>
    <d v="2014-12-02T00:00:00"/>
    <d v="2014-12-07T00:00:00"/>
    <x v="1"/>
    <s v="ON-18715"/>
    <s v="Odella Nelson"/>
    <x v="1"/>
    <x v="218"/>
    <x v="32"/>
    <x v="2"/>
    <s v="FUR-CH-10004754"/>
    <s v="Furniture"/>
    <x v="1"/>
    <s v="Global Stack Chair with Arms, Black"/>
    <n v="239.84"/>
    <n v="8"/>
    <n v="64.756799999999998"/>
    <x v="2"/>
    <x v="2"/>
    <x v="5"/>
  </r>
  <r>
    <s v="CA-2016-148852"/>
    <d v="2016-05-26T00:00:00"/>
    <d v="2016-05-31T00:00:00"/>
    <x v="1"/>
    <s v="SV-20785"/>
    <s v="Stewart Visinsky"/>
    <x v="0"/>
    <x v="72"/>
    <x v="2"/>
    <x v="1"/>
    <s v="FUR-CH-10004860"/>
    <s v="Furniture"/>
    <x v="1"/>
    <s v="Global Low Back Tilter Chair"/>
    <n v="484.70400000000001"/>
    <n v="6"/>
    <n v="-84.8232"/>
    <x v="2"/>
    <x v="0"/>
    <x v="7"/>
  </r>
  <r>
    <s v="CA-2015-107678"/>
    <d v="2015-04-21T00:00:00"/>
    <d v="2015-04-28T00:00:00"/>
    <x v="1"/>
    <s v="JK-16090"/>
    <s v="Juliana Krohn"/>
    <x v="0"/>
    <x v="74"/>
    <x v="0"/>
    <x v="0"/>
    <s v="FUR-CH-10001891"/>
    <s v="Furniture"/>
    <x v="1"/>
    <s v="Global Deluxe Office Fabric Chairs"/>
    <n v="191.96"/>
    <n v="2"/>
    <n v="51.8292"/>
    <x v="1"/>
    <x v="1"/>
    <x v="6"/>
  </r>
  <r>
    <s v="CA-2015-107678"/>
    <d v="2015-04-21T00:00:00"/>
    <d v="2015-04-28T00:00:00"/>
    <x v="1"/>
    <s v="JK-16090"/>
    <s v="Juliana Krohn"/>
    <x v="0"/>
    <x v="74"/>
    <x v="0"/>
    <x v="0"/>
    <s v="FUR-FU-10003394"/>
    <s v="Furniture"/>
    <x v="3"/>
    <s v="Tenex &quot;The Solids&quot; Textured Chair Mats"/>
    <n v="209.88"/>
    <n v="3"/>
    <n v="35.679600000000001"/>
    <x v="1"/>
    <x v="1"/>
    <x v="6"/>
  </r>
  <r>
    <s v="CA-2016-123512"/>
    <d v="2016-06-17T00:00:00"/>
    <d v="2016-06-19T00:00:00"/>
    <x v="2"/>
    <s v="MV-18190"/>
    <s v="Mike Vittorini"/>
    <x v="0"/>
    <x v="2"/>
    <x v="2"/>
    <x v="1"/>
    <s v="FUR-BO-10004218"/>
    <s v="Furniture"/>
    <x v="0"/>
    <s v="Bush Heritage Pine Collection 5-Shelf Bookcase, Albany Pine Finish, *Special Order"/>
    <n v="239.666"/>
    <n v="2"/>
    <n v="14.098000000000001"/>
    <x v="3"/>
    <x v="0"/>
    <x v="2"/>
  </r>
  <r>
    <s v="US-2017-167402"/>
    <d v="2017-01-13T00:00:00"/>
    <d v="2017-01-18T00:00:00"/>
    <x v="0"/>
    <s v="CP-12085"/>
    <s v="Cathy Prescott"/>
    <x v="1"/>
    <x v="76"/>
    <x v="23"/>
    <x v="3"/>
    <s v="FUR-BO-10001608"/>
    <s v="Furniture"/>
    <x v="0"/>
    <s v="Hon Metal Bookcases, Black"/>
    <n v="212.94"/>
    <n v="3"/>
    <n v="53.234999999999999"/>
    <x v="2"/>
    <x v="3"/>
    <x v="8"/>
  </r>
  <r>
    <s v="CA-2014-130449"/>
    <d v="2014-09-06T00:00:00"/>
    <d v="2014-09-09T00:00:00"/>
    <x v="2"/>
    <s v="VP-21760"/>
    <s v="Victoria Pisteka"/>
    <x v="1"/>
    <x v="28"/>
    <x v="2"/>
    <x v="1"/>
    <s v="FUR-FU-10001487"/>
    <s v="Furniture"/>
    <x v="3"/>
    <s v="Eldon Expressions Wood and Plastic Desk Accessories, Cherry Wood"/>
    <n v="41.88"/>
    <n v="6"/>
    <n v="12.145200000000001"/>
    <x v="0"/>
    <x v="2"/>
    <x v="4"/>
  </r>
  <r>
    <s v="CA-2015-141250"/>
    <d v="2015-01-19T00:00:00"/>
    <d v="2015-01-23T00:00:00"/>
    <x v="1"/>
    <s v="PM-18940"/>
    <s v="Paul MacIntyre"/>
    <x v="0"/>
    <x v="303"/>
    <x v="5"/>
    <x v="3"/>
    <s v="FUR-TA-10002855"/>
    <s v="Furniture"/>
    <x v="2"/>
    <s v="Bevis Round Conference Table Top &amp; Single Column Base"/>
    <n v="102.438"/>
    <n v="1"/>
    <n v="-13.1706"/>
    <x v="4"/>
    <x v="1"/>
    <x v="8"/>
  </r>
  <r>
    <s v="CA-2015-141250"/>
    <d v="2015-01-19T00:00:00"/>
    <d v="2015-01-23T00:00:00"/>
    <x v="1"/>
    <s v="PM-18940"/>
    <s v="Paul MacIntyre"/>
    <x v="0"/>
    <x v="303"/>
    <x v="5"/>
    <x v="3"/>
    <s v="FUR-CH-10004875"/>
    <s v="Furniture"/>
    <x v="1"/>
    <s v="Harbour Creations 67200 Series Stacking Chairs"/>
    <n v="199.304"/>
    <n v="4"/>
    <n v="-8.5416000000000007"/>
    <x v="4"/>
    <x v="1"/>
    <x v="8"/>
  </r>
  <r>
    <s v="CA-2016-105081"/>
    <d v="2016-12-25T00:00:00"/>
    <d v="2016-12-30T00:00:00"/>
    <x v="1"/>
    <s v="JE-15715"/>
    <s v="Joe Elijah"/>
    <x v="0"/>
    <x v="15"/>
    <x v="13"/>
    <x v="1"/>
    <s v="FUR-CH-10000847"/>
    <s v="Furniture"/>
    <x v="1"/>
    <s v="Global Executive Mid-Back Manager's Chair"/>
    <n v="698.35199999999998"/>
    <n v="3"/>
    <n v="52.376399999999997"/>
    <x v="2"/>
    <x v="0"/>
    <x v="5"/>
  </r>
  <r>
    <s v="CA-2016-105081"/>
    <d v="2016-12-25T00:00:00"/>
    <d v="2016-12-30T00:00:00"/>
    <x v="1"/>
    <s v="JE-15715"/>
    <s v="Joe Elijah"/>
    <x v="0"/>
    <x v="15"/>
    <x v="13"/>
    <x v="1"/>
    <s v="FUR-TA-10001307"/>
    <s v="Furniture"/>
    <x v="2"/>
    <s v="SAFCO PlanMaster Heigh-Adjustable Drafting Table Base, 43w x 30d x 30-37h, Black"/>
    <n v="1747.25"/>
    <n v="5"/>
    <n v="629.01"/>
    <x v="2"/>
    <x v="0"/>
    <x v="5"/>
  </r>
  <r>
    <s v="CA-2014-108609"/>
    <d v="2014-10-31T00:00:00"/>
    <d v="2014-11-02T00:00:00"/>
    <x v="0"/>
    <s v="AJ-10780"/>
    <s v="Anthony Jacobs"/>
    <x v="1"/>
    <x v="75"/>
    <x v="15"/>
    <x v="2"/>
    <s v="FUR-TA-10003954"/>
    <s v="Furniture"/>
    <x v="2"/>
    <s v="Hon 94000 Series Round Tables"/>
    <n v="1421.664"/>
    <n v="8"/>
    <n v="-734.52639999999997"/>
    <x v="3"/>
    <x v="2"/>
    <x v="1"/>
  </r>
  <r>
    <s v="US-2016-127334"/>
    <d v="2016-12-15T00:00:00"/>
    <d v="2016-12-21T00:00:00"/>
    <x v="1"/>
    <s v="MP-18175"/>
    <s v="Mike Pelletier"/>
    <x v="2"/>
    <x v="76"/>
    <x v="36"/>
    <x v="1"/>
    <s v="FUR-TA-10003473"/>
    <s v="Furniture"/>
    <x v="2"/>
    <s v="Bretford Rectangular Conference Table Tops"/>
    <n v="564.19500000000005"/>
    <n v="3"/>
    <n v="-304.6653"/>
    <x v="6"/>
    <x v="0"/>
    <x v="5"/>
  </r>
  <r>
    <s v="US-2017-124779"/>
    <d v="2017-09-08T00:00:00"/>
    <d v="2017-09-11T00:00:00"/>
    <x v="2"/>
    <s v="BF-11020"/>
    <s v="Barry Franzšsisch"/>
    <x v="1"/>
    <x v="58"/>
    <x v="5"/>
    <x v="3"/>
    <s v="FUR-FU-10001095"/>
    <s v="Furniture"/>
    <x v="3"/>
    <s v="DAX Black Cherry Wood-Tone Poster Frame"/>
    <n v="21.184000000000001"/>
    <n v="2"/>
    <n v="-11.651199999999999"/>
    <x v="0"/>
    <x v="3"/>
    <x v="4"/>
  </r>
  <r>
    <s v="US-2017-124779"/>
    <d v="2017-09-08T00:00:00"/>
    <d v="2017-09-11T00:00:00"/>
    <x v="2"/>
    <s v="BF-11020"/>
    <s v="Barry Franzšsisch"/>
    <x v="1"/>
    <x v="58"/>
    <x v="5"/>
    <x v="3"/>
    <s v="FUR-CH-10003535"/>
    <s v="Furniture"/>
    <x v="1"/>
    <s v="Global Armless Task Chair, Royal Blue"/>
    <n v="213.43"/>
    <n v="5"/>
    <n v="-39.637"/>
    <x v="0"/>
    <x v="3"/>
    <x v="4"/>
  </r>
  <r>
    <s v="CA-2017-135937"/>
    <d v="2017-02-20T00:00:00"/>
    <d v="2017-02-27T00:00:00"/>
    <x v="1"/>
    <s v="KM-16375"/>
    <s v="Katherine Murray"/>
    <x v="2"/>
    <x v="171"/>
    <x v="22"/>
    <x v="1"/>
    <s v="FUR-FU-10002253"/>
    <s v="Furniture"/>
    <x v="3"/>
    <s v="Howard Miller 13&quot; Diameter Pewter Finish Round Wall Clock"/>
    <n v="68.703999999999994"/>
    <n v="2"/>
    <n v="16.3172"/>
    <x v="1"/>
    <x v="3"/>
    <x v="11"/>
  </r>
  <r>
    <s v="CA-2017-135937"/>
    <d v="2017-02-20T00:00:00"/>
    <d v="2017-02-27T00:00:00"/>
    <x v="1"/>
    <s v="KM-16375"/>
    <s v="Katherine Murray"/>
    <x v="2"/>
    <x v="171"/>
    <x v="22"/>
    <x v="1"/>
    <s v="FUR-TA-10001039"/>
    <s v="Furniture"/>
    <x v="2"/>
    <s v="KI Adjustable-Height Table"/>
    <n v="386.91"/>
    <n v="9"/>
    <n v="-185.71680000000001"/>
    <x v="1"/>
    <x v="3"/>
    <x v="11"/>
  </r>
  <r>
    <s v="CA-2017-162173"/>
    <d v="2017-10-26T00:00:00"/>
    <d v="2017-11-01T00:00:00"/>
    <x v="1"/>
    <s v="OT-18730"/>
    <s v="Olvera Toch"/>
    <x v="0"/>
    <x v="304"/>
    <x v="25"/>
    <x v="0"/>
    <s v="FUR-TA-10001520"/>
    <s v="Furniture"/>
    <x v="2"/>
    <s v="Lesro Sheffield Collection Coffee Table, End Table, Center Table, Corner Table"/>
    <n v="356.85"/>
    <n v="5"/>
    <n v="60.664499999999997"/>
    <x v="6"/>
    <x v="3"/>
    <x v="1"/>
  </r>
  <r>
    <s v="CA-2017-122175"/>
    <d v="2017-05-12T00:00:00"/>
    <d v="2017-05-14T00:00:00"/>
    <x v="0"/>
    <s v="CA-12775"/>
    <s v="Cynthia Arntzen"/>
    <x v="0"/>
    <x v="109"/>
    <x v="18"/>
    <x v="2"/>
    <s v="FUR-FU-10000719"/>
    <s v="Furniture"/>
    <x v="3"/>
    <s v="DAX Cubicle Frames, 8-1/2 x 11"/>
    <n v="42.85"/>
    <n v="5"/>
    <n v="15.426"/>
    <x v="3"/>
    <x v="3"/>
    <x v="7"/>
  </r>
  <r>
    <s v="CA-2015-135510"/>
    <d v="2015-09-05T00:00:00"/>
    <d v="2015-09-12T00:00:00"/>
    <x v="1"/>
    <s v="TW-21025"/>
    <s v="Tamara Willingham"/>
    <x v="2"/>
    <x v="305"/>
    <x v="25"/>
    <x v="0"/>
    <s v="FUR-FU-10000820"/>
    <s v="Furniture"/>
    <x v="3"/>
    <s v="Tensor Brushed Steel Torchiere Floor Lamp"/>
    <n v="67.959999999999994"/>
    <n v="4"/>
    <n v="12.232799999999999"/>
    <x v="1"/>
    <x v="1"/>
    <x v="4"/>
  </r>
  <r>
    <s v="CA-2014-150329"/>
    <d v="2014-10-10T00:00:00"/>
    <d v="2014-10-14T00:00:00"/>
    <x v="1"/>
    <s v="SD-20485"/>
    <s v="Shirley Daniels"/>
    <x v="2"/>
    <x v="43"/>
    <x v="22"/>
    <x v="1"/>
    <s v="FUR-FU-10003724"/>
    <s v="Furniture"/>
    <x v="3"/>
    <s v="Westinghouse Clip-On Gooseneck Lamps"/>
    <n v="46.872"/>
    <n v="7"/>
    <n v="3.5154000000000001"/>
    <x v="4"/>
    <x v="2"/>
    <x v="1"/>
  </r>
  <r>
    <s v="CA-2014-109134"/>
    <d v="2014-11-05T00:00:00"/>
    <d v="2014-11-10T00:00:00"/>
    <x v="1"/>
    <s v="DE-13255"/>
    <s v="Deanra Eno"/>
    <x v="2"/>
    <x v="2"/>
    <x v="2"/>
    <x v="1"/>
    <s v="FUR-FU-10000320"/>
    <s v="Furniture"/>
    <x v="3"/>
    <s v="OIC Stacking Trays"/>
    <n v="20.04"/>
    <n v="6"/>
    <n v="8.8176000000000005"/>
    <x v="2"/>
    <x v="2"/>
    <x v="0"/>
  </r>
  <r>
    <s v="US-2015-129637"/>
    <d v="2015-12-17T00:00:00"/>
    <d v="2015-12-22T00:00:00"/>
    <x v="1"/>
    <s v="MC-18100"/>
    <s v="Mick Crebagga"/>
    <x v="0"/>
    <x v="17"/>
    <x v="8"/>
    <x v="3"/>
    <s v="FUR-FU-10000965"/>
    <s v="Furniture"/>
    <x v="3"/>
    <s v="Howard Miller 11-1/2&quot; Diameter Ridgewood Wall Clock"/>
    <n v="41.552"/>
    <n v="2"/>
    <n v="-19.737200000000001"/>
    <x v="2"/>
    <x v="1"/>
    <x v="5"/>
  </r>
  <r>
    <s v="CA-2017-145429"/>
    <d v="2017-07-21T00:00:00"/>
    <d v="2017-07-25T00:00:00"/>
    <x v="1"/>
    <s v="SW-20455"/>
    <s v="Shaun Weien"/>
    <x v="0"/>
    <x v="53"/>
    <x v="2"/>
    <x v="1"/>
    <s v="FUR-CH-10000988"/>
    <s v="Furniture"/>
    <x v="1"/>
    <s v="Hon Olson Stacker Stools"/>
    <n v="225.29599999999999"/>
    <n v="2"/>
    <n v="22.529599999999999"/>
    <x v="4"/>
    <x v="3"/>
    <x v="3"/>
  </r>
  <r>
    <s v="CA-2015-153535"/>
    <d v="2015-05-20T00:00:00"/>
    <d v="2015-05-24T00:00:00"/>
    <x v="1"/>
    <s v="SG-20470"/>
    <s v="Sheri Gordon"/>
    <x v="0"/>
    <x v="306"/>
    <x v="30"/>
    <x v="0"/>
    <s v="FUR-FU-10001986"/>
    <s v="Furniture"/>
    <x v="3"/>
    <s v="Dana Fluorescent Magnifying Lamp, White, 36&quot;"/>
    <n v="163.136"/>
    <n v="4"/>
    <n v="20.391999999999999"/>
    <x v="4"/>
    <x v="1"/>
    <x v="7"/>
  </r>
  <r>
    <s v="CA-2015-123141"/>
    <d v="2015-11-14T00:00:00"/>
    <d v="2015-11-19T00:00:00"/>
    <x v="1"/>
    <s v="GZ-14470"/>
    <s v="Gary Zandusky"/>
    <x v="0"/>
    <x v="307"/>
    <x v="41"/>
    <x v="1"/>
    <s v="FUR-CH-10004287"/>
    <s v="Furniture"/>
    <x v="1"/>
    <s v="SAFCO Arco Folding Chair"/>
    <n v="883.84"/>
    <n v="4"/>
    <n v="99.432000000000002"/>
    <x v="2"/>
    <x v="1"/>
    <x v="0"/>
  </r>
  <r>
    <s v="CA-2015-123141"/>
    <d v="2015-11-14T00:00:00"/>
    <d v="2015-11-19T00:00:00"/>
    <x v="1"/>
    <s v="GZ-14470"/>
    <s v="Gary Zandusky"/>
    <x v="0"/>
    <x v="307"/>
    <x v="41"/>
    <x v="1"/>
    <s v="FUR-CH-10001891"/>
    <s v="Furniture"/>
    <x v="1"/>
    <s v="Global Deluxe Office Fabric Chairs"/>
    <n v="230.352"/>
    <n v="3"/>
    <n v="20.155799999999999"/>
    <x v="2"/>
    <x v="1"/>
    <x v="0"/>
  </r>
  <r>
    <s v="CA-2017-107629"/>
    <d v="2017-12-14T00:00:00"/>
    <d v="2017-12-14T00:00:00"/>
    <x v="3"/>
    <s v="DB-13060"/>
    <s v="Dave Brooks"/>
    <x v="0"/>
    <x v="187"/>
    <x v="8"/>
    <x v="3"/>
    <s v="FUR-FU-10002298"/>
    <s v="Furniture"/>
    <x v="3"/>
    <s v="Rubbermaid ClusterMat Chairmats, Mat Size- 66&quot; x 60&quot;, Lip 20&quot; x 11&quot; -90 Degree Angle"/>
    <n v="266.35199999999998"/>
    <n v="6"/>
    <n v="-292.98719999999997"/>
    <x v="7"/>
    <x v="3"/>
    <x v="5"/>
  </r>
  <r>
    <s v="CA-2017-107629"/>
    <d v="2017-12-14T00:00:00"/>
    <d v="2017-12-14T00:00:00"/>
    <x v="3"/>
    <s v="DB-13060"/>
    <s v="Dave Brooks"/>
    <x v="0"/>
    <x v="187"/>
    <x v="8"/>
    <x v="3"/>
    <s v="FUR-FU-10004091"/>
    <s v="Furniture"/>
    <x v="3"/>
    <s v="Howard Miller 13&quot; Diameter Goldtone Round Wall Clock"/>
    <n v="56.328000000000003"/>
    <n v="3"/>
    <n v="-26.755800000000001"/>
    <x v="7"/>
    <x v="3"/>
    <x v="5"/>
  </r>
  <r>
    <s v="CA-2016-134789"/>
    <d v="2016-04-08T00:00:00"/>
    <d v="2016-04-15T00:00:00"/>
    <x v="1"/>
    <s v="CK-12325"/>
    <s v="Christine Kargatis"/>
    <x v="2"/>
    <x v="308"/>
    <x v="31"/>
    <x v="0"/>
    <s v="FUR-FU-10003268"/>
    <s v="Furniture"/>
    <x v="3"/>
    <s v="Eldon Radial Chair Mat for Low to Medium Pile Carpets"/>
    <n v="159.91999999999999"/>
    <n v="4"/>
    <n v="31.984000000000002"/>
    <x v="1"/>
    <x v="0"/>
    <x v="6"/>
  </r>
  <r>
    <s v="CA-2016-165827"/>
    <d v="2016-11-04T00:00:00"/>
    <d v="2016-11-09T00:00:00"/>
    <x v="1"/>
    <s v="MF-17665"/>
    <s v="Maureen Fritzler"/>
    <x v="1"/>
    <x v="89"/>
    <x v="1"/>
    <x v="0"/>
    <s v="FUR-FU-10001889"/>
    <s v="Furniture"/>
    <x v="3"/>
    <s v="Ultra Door Pull Handle"/>
    <n v="50.496000000000002"/>
    <n v="6"/>
    <n v="8.2056000000000004"/>
    <x v="2"/>
    <x v="0"/>
    <x v="0"/>
  </r>
  <r>
    <s v="CA-2015-156734"/>
    <d v="2015-06-18T00:00:00"/>
    <d v="2015-06-20T00:00:00"/>
    <x v="2"/>
    <s v="BV-11245"/>
    <s v="Benjamin Venier"/>
    <x v="1"/>
    <x v="107"/>
    <x v="9"/>
    <x v="0"/>
    <s v="FUR-CH-10002965"/>
    <s v="Furniture"/>
    <x v="1"/>
    <s v="Global Leather Highback Executive Chair with Pneumatic Height Adjustment, Black"/>
    <n v="643.13599999999997"/>
    <n v="4"/>
    <n v="56.2744"/>
    <x v="3"/>
    <x v="1"/>
    <x v="2"/>
  </r>
  <r>
    <s v="CA-2014-144029"/>
    <d v="2014-05-26T00:00:00"/>
    <d v="2014-05-31T00:00:00"/>
    <x v="1"/>
    <s v="MM-18055"/>
    <s v="Michelle Moray"/>
    <x v="0"/>
    <x v="9"/>
    <x v="8"/>
    <x v="3"/>
    <s v="FUR-CH-10003981"/>
    <s v="Furniture"/>
    <x v="1"/>
    <s v="Global Commerce Series Low-Back Swivel/Tilt Chairs"/>
    <n v="359.77199999999999"/>
    <n v="2"/>
    <n v="-5.1395999999999997"/>
    <x v="2"/>
    <x v="2"/>
    <x v="7"/>
  </r>
  <r>
    <s v="US-2017-101784"/>
    <d v="2017-07-06T00:00:00"/>
    <d v="2017-07-11T00:00:00"/>
    <x v="1"/>
    <s v="PO-18850"/>
    <s v="Patrick O'Brill"/>
    <x v="0"/>
    <x v="2"/>
    <x v="2"/>
    <x v="1"/>
    <s v="FUR-CH-10001146"/>
    <s v="Furniture"/>
    <x v="1"/>
    <s v="Global Task Chair, Black"/>
    <n v="122.136"/>
    <n v="3"/>
    <n v="-13.7403"/>
    <x v="2"/>
    <x v="3"/>
    <x v="3"/>
  </r>
  <r>
    <s v="CA-2016-154767"/>
    <d v="2016-06-28T00:00:00"/>
    <d v="2016-06-30T00:00:00"/>
    <x v="0"/>
    <s v="BP-11155"/>
    <s v="Becky Pak"/>
    <x v="0"/>
    <x v="309"/>
    <x v="18"/>
    <x v="2"/>
    <s v="FUR-CH-10003535"/>
    <s v="Furniture"/>
    <x v="1"/>
    <s v="Global Armless Task Chair, Royal Blue"/>
    <n v="121.96"/>
    <n v="2"/>
    <n v="20.7332"/>
    <x v="3"/>
    <x v="0"/>
    <x v="2"/>
  </r>
  <r>
    <s v="CA-2017-124205"/>
    <d v="2017-09-15T00:00:00"/>
    <d v="2017-09-19T00:00:00"/>
    <x v="1"/>
    <s v="TC-21145"/>
    <s v="Theresa Coyne"/>
    <x v="1"/>
    <x v="174"/>
    <x v="18"/>
    <x v="2"/>
    <s v="FUR-FU-10002445"/>
    <s v="Furniture"/>
    <x v="3"/>
    <s v="DAX Two-Tone Rosewood/Black Document Frame, Desktop, 5 x 7"/>
    <n v="47.4"/>
    <n v="5"/>
    <n v="18.96"/>
    <x v="4"/>
    <x v="3"/>
    <x v="4"/>
  </r>
  <r>
    <s v="CA-2017-124205"/>
    <d v="2017-09-15T00:00:00"/>
    <d v="2017-09-19T00:00:00"/>
    <x v="1"/>
    <s v="TC-21145"/>
    <s v="Theresa Coyne"/>
    <x v="1"/>
    <x v="174"/>
    <x v="18"/>
    <x v="2"/>
    <s v="FUR-CH-10003606"/>
    <s v="Furniture"/>
    <x v="1"/>
    <s v="SAFCO Folding Chair Trolley"/>
    <n v="512.96"/>
    <n v="4"/>
    <n v="143.62880000000001"/>
    <x v="4"/>
    <x v="3"/>
    <x v="4"/>
  </r>
  <r>
    <s v="CA-2016-162943"/>
    <d v="2016-07-24T00:00:00"/>
    <d v="2016-07-26T00:00:00"/>
    <x v="0"/>
    <s v="DB-12970"/>
    <s v="Darren Budd"/>
    <x v="1"/>
    <x v="13"/>
    <x v="7"/>
    <x v="2"/>
    <s v="FUR-CH-10001708"/>
    <s v="Furniture"/>
    <x v="1"/>
    <s v="Office Star - Contemporary Swivel Chair with Padded Adjustable Arms and Flex Back"/>
    <n v="253.76400000000001"/>
    <n v="2"/>
    <n v="31.015599999999999"/>
    <x v="3"/>
    <x v="0"/>
    <x v="3"/>
  </r>
  <r>
    <s v="CA-2017-100615"/>
    <d v="2017-04-20T00:00:00"/>
    <d v="2017-04-24T00:00:00"/>
    <x v="1"/>
    <s v="SJ-20215"/>
    <s v="Sarah Jordon"/>
    <x v="0"/>
    <x v="9"/>
    <x v="8"/>
    <x v="3"/>
    <s v="FUR-CH-10002602"/>
    <s v="Furniture"/>
    <x v="1"/>
    <s v="DMI Arturo Collection Mission-style Design Wood Chair"/>
    <n v="317.05799999999999"/>
    <n v="3"/>
    <n v="-18.117599999999999"/>
    <x v="4"/>
    <x v="3"/>
    <x v="6"/>
  </r>
  <r>
    <s v="CA-2017-100615"/>
    <d v="2017-04-20T00:00:00"/>
    <d v="2017-04-24T00:00:00"/>
    <x v="1"/>
    <s v="SJ-20215"/>
    <s v="Sarah Jordon"/>
    <x v="0"/>
    <x v="9"/>
    <x v="8"/>
    <x v="3"/>
    <s v="FUR-FU-10002456"/>
    <s v="Furniture"/>
    <x v="3"/>
    <s v="Master Caster Door Stop, Large Neon Orange"/>
    <n v="14.56"/>
    <n v="5"/>
    <n v="-6.1879999999999997"/>
    <x v="4"/>
    <x v="3"/>
    <x v="6"/>
  </r>
  <r>
    <s v="US-2016-147711"/>
    <d v="2016-09-03T00:00:00"/>
    <d v="2016-09-08T00:00:00"/>
    <x v="0"/>
    <s v="HF-14995"/>
    <s v="Herbert Flentye"/>
    <x v="0"/>
    <x v="237"/>
    <x v="32"/>
    <x v="2"/>
    <s v="FUR-BO-10003159"/>
    <s v="Furniture"/>
    <x v="0"/>
    <s v="Sauder Camden County Collection Libraries, Planked Cherry Finish"/>
    <n v="344.94"/>
    <n v="3"/>
    <n v="31.044599999999999"/>
    <x v="2"/>
    <x v="0"/>
    <x v="4"/>
  </r>
  <r>
    <s v="US-2016-147711"/>
    <d v="2016-09-03T00:00:00"/>
    <d v="2016-09-08T00:00:00"/>
    <x v="0"/>
    <s v="HF-14995"/>
    <s v="Herbert Flentye"/>
    <x v="0"/>
    <x v="237"/>
    <x v="32"/>
    <x v="2"/>
    <s v="FUR-FU-10002364"/>
    <s v="Furniture"/>
    <x v="3"/>
    <s v="Eldon Expressions Wood Desk Accessories, Oak"/>
    <n v="14.76"/>
    <n v="2"/>
    <n v="4.2804000000000002"/>
    <x v="2"/>
    <x v="0"/>
    <x v="4"/>
  </r>
  <r>
    <s v="CA-2017-121293"/>
    <d v="2017-07-25T00:00:00"/>
    <d v="2017-07-28T00:00:00"/>
    <x v="0"/>
    <s v="JC-15775"/>
    <s v="John Castell"/>
    <x v="0"/>
    <x v="3"/>
    <x v="3"/>
    <x v="2"/>
    <s v="FUR-FU-10000732"/>
    <s v="Furniture"/>
    <x v="3"/>
    <s v="Eldon 200 Class Desk Accessories"/>
    <n v="20.096"/>
    <n v="4"/>
    <n v="3.0144000000000002"/>
    <x v="0"/>
    <x v="3"/>
    <x v="3"/>
  </r>
  <r>
    <s v="CA-2017-121293"/>
    <d v="2017-07-25T00:00:00"/>
    <d v="2017-07-28T00:00:00"/>
    <x v="0"/>
    <s v="JC-15775"/>
    <s v="John Castell"/>
    <x v="0"/>
    <x v="3"/>
    <x v="3"/>
    <x v="2"/>
    <s v="FUR-TA-10001771"/>
    <s v="Furniture"/>
    <x v="2"/>
    <s v="Bush Cubix Conference Tables, Fully Assembled"/>
    <n v="138.58799999999999"/>
    <n v="1"/>
    <n v="-34.646999999999998"/>
    <x v="0"/>
    <x v="3"/>
    <x v="3"/>
  </r>
  <r>
    <s v="CA-2015-118843"/>
    <d v="2015-09-13T00:00:00"/>
    <d v="2015-09-20T00:00:00"/>
    <x v="1"/>
    <s v="JH-15910"/>
    <s v="Jonathan Howell"/>
    <x v="0"/>
    <x v="182"/>
    <x v="24"/>
    <x v="0"/>
    <s v="FUR-FU-10003975"/>
    <s v="Furniture"/>
    <x v="3"/>
    <s v="Eldon Advantage Chair Mats for Low to Medium Pile Carpets"/>
    <n v="129.93"/>
    <n v="3"/>
    <n v="12.993"/>
    <x v="1"/>
    <x v="1"/>
    <x v="4"/>
  </r>
  <r>
    <s v="CA-2016-162348"/>
    <d v="2016-11-10T00:00:00"/>
    <d v="2016-11-15T00:00:00"/>
    <x v="1"/>
    <s v="BF-11170"/>
    <s v="Ben Ferrer"/>
    <x v="2"/>
    <x v="155"/>
    <x v="2"/>
    <x v="1"/>
    <s v="FUR-FU-10003731"/>
    <s v="Furniture"/>
    <x v="3"/>
    <s v="Eldon Expressions Wood and Plastic Desk Accessories, Oak"/>
    <n v="9.98"/>
    <n v="1"/>
    <n v="2.7944"/>
    <x v="2"/>
    <x v="0"/>
    <x v="0"/>
  </r>
  <r>
    <s v="CA-2015-145394"/>
    <d v="2015-11-16T00:00:00"/>
    <d v="2015-11-20T00:00:00"/>
    <x v="1"/>
    <s v="MC-17605"/>
    <s v="Matt Connell"/>
    <x v="1"/>
    <x v="9"/>
    <x v="8"/>
    <x v="3"/>
    <s v="FUR-FU-10001215"/>
    <s v="Furniture"/>
    <x v="3"/>
    <s v="Howard Miller 11-1/2&quot; Diameter Brentwood Wall Clock"/>
    <n v="34.503999999999998"/>
    <n v="2"/>
    <n v="-15.5268"/>
    <x v="4"/>
    <x v="1"/>
    <x v="0"/>
  </r>
  <r>
    <s v="CA-2015-168809"/>
    <d v="2015-08-25T00:00:00"/>
    <d v="2015-08-25T00:00:00"/>
    <x v="3"/>
    <s v="MC-18100"/>
    <s v="Mick Crebagga"/>
    <x v="0"/>
    <x v="6"/>
    <x v="5"/>
    <x v="3"/>
    <s v="FUR-FU-10001473"/>
    <s v="Furniture"/>
    <x v="3"/>
    <s v="Eldon Executive Woodline II Desk Accessories, Mahogany"/>
    <n v="20.103999999999999"/>
    <n v="2"/>
    <n v="-16.585799999999999"/>
    <x v="7"/>
    <x v="1"/>
    <x v="10"/>
  </r>
  <r>
    <s v="CA-2015-168809"/>
    <d v="2015-08-25T00:00:00"/>
    <d v="2015-08-25T00:00:00"/>
    <x v="3"/>
    <s v="MC-18100"/>
    <s v="Mick Crebagga"/>
    <x v="0"/>
    <x v="6"/>
    <x v="5"/>
    <x v="3"/>
    <s v="FUR-FU-10002240"/>
    <s v="Furniture"/>
    <x v="3"/>
    <s v="Nu-Dell EZ-Mount Plastic Wall Frames"/>
    <n v="7.88"/>
    <n v="5"/>
    <n v="-3.94"/>
    <x v="7"/>
    <x v="1"/>
    <x v="10"/>
  </r>
  <r>
    <s v="CA-2016-109827"/>
    <d v="2016-12-25T00:00:00"/>
    <d v="2017-01-01T00:00:00"/>
    <x v="1"/>
    <s v="LW-16825"/>
    <s v="Laurel Workman"/>
    <x v="1"/>
    <x v="43"/>
    <x v="22"/>
    <x v="1"/>
    <s v="FUR-TA-10002607"/>
    <s v="Furniture"/>
    <x v="2"/>
    <s v="KI Conference Tables"/>
    <n v="35.445"/>
    <n v="1"/>
    <n v="-24.102599999999999"/>
    <x v="1"/>
    <x v="0"/>
    <x v="5"/>
  </r>
  <r>
    <s v="CA-2016-109827"/>
    <d v="2016-12-25T00:00:00"/>
    <d v="2017-01-01T00:00:00"/>
    <x v="1"/>
    <s v="LW-16825"/>
    <s v="Laurel Workman"/>
    <x v="1"/>
    <x v="43"/>
    <x v="22"/>
    <x v="1"/>
    <s v="FUR-CH-10004754"/>
    <s v="Furniture"/>
    <x v="1"/>
    <s v="Global Stack Chair with Arms, Black"/>
    <n v="47.968000000000004"/>
    <n v="2"/>
    <n v="4.1971999999999996"/>
    <x v="1"/>
    <x v="0"/>
    <x v="5"/>
  </r>
  <r>
    <s v="CA-2015-128125"/>
    <d v="2015-03-31T00:00:00"/>
    <d v="2015-04-05T00:00:00"/>
    <x v="1"/>
    <s v="EB-13705"/>
    <s v="Ed Braxton"/>
    <x v="1"/>
    <x v="6"/>
    <x v="5"/>
    <x v="3"/>
    <s v="FUR-FU-10001085"/>
    <s v="Furniture"/>
    <x v="3"/>
    <s v="3M Polarizing Light Filter Sleeves"/>
    <n v="22.38"/>
    <n v="3"/>
    <n v="-7.8330000000000002"/>
    <x v="2"/>
    <x v="1"/>
    <x v="9"/>
  </r>
  <r>
    <s v="CA-2017-156237"/>
    <d v="2017-09-14T00:00:00"/>
    <d v="2017-09-15T00:00:00"/>
    <x v="2"/>
    <s v="PS-18760"/>
    <s v="Pamela Stobb"/>
    <x v="0"/>
    <x v="3"/>
    <x v="3"/>
    <x v="2"/>
    <s v="FUR-CH-10002372"/>
    <s v="Furniture"/>
    <x v="1"/>
    <s v="Office Star - Ergonomically Designed Knee Chair"/>
    <n v="113.372"/>
    <n v="2"/>
    <n v="-29.152799999999999"/>
    <x v="5"/>
    <x v="3"/>
    <x v="4"/>
  </r>
  <r>
    <s v="CA-2017-156237"/>
    <d v="2017-09-14T00:00:00"/>
    <d v="2017-09-15T00:00:00"/>
    <x v="2"/>
    <s v="PS-18760"/>
    <s v="Pamela Stobb"/>
    <x v="0"/>
    <x v="3"/>
    <x v="3"/>
    <x v="2"/>
    <s v="FUR-FU-10001057"/>
    <s v="Furniture"/>
    <x v="3"/>
    <s v="Tensor Track Tree Floor Lamp"/>
    <n v="127.93600000000001"/>
    <n v="8"/>
    <n v="4.7976000000000001"/>
    <x v="5"/>
    <x v="3"/>
    <x v="4"/>
  </r>
  <r>
    <s v="CA-2014-144414"/>
    <d v="2014-06-17T00:00:00"/>
    <d v="2014-06-21T00:00:00"/>
    <x v="1"/>
    <s v="GH-14425"/>
    <s v="Gary Hwang"/>
    <x v="0"/>
    <x v="15"/>
    <x v="13"/>
    <x v="1"/>
    <s v="FUR-FU-10003981"/>
    <s v="Furniture"/>
    <x v="3"/>
    <s v="Eldon Wave Desk Accessories"/>
    <n v="6.24"/>
    <n v="3"/>
    <n v="2.6208"/>
    <x v="4"/>
    <x v="2"/>
    <x v="2"/>
  </r>
  <r>
    <s v="CA-2017-163860"/>
    <d v="2017-12-28T00:00:00"/>
    <d v="2018-01-01T00:00:00"/>
    <x v="1"/>
    <s v="LO-17170"/>
    <s v="Lori Olson"/>
    <x v="1"/>
    <x v="117"/>
    <x v="8"/>
    <x v="3"/>
    <s v="FUR-FU-10004586"/>
    <s v="Furniture"/>
    <x v="3"/>
    <s v="G.E. Longer-Life Indoor Recessed Floodlight Bulbs"/>
    <n v="7.968"/>
    <n v="3"/>
    <n v="-2.3904000000000001"/>
    <x v="4"/>
    <x v="3"/>
    <x v="5"/>
  </r>
  <r>
    <s v="CA-2017-163860"/>
    <d v="2017-12-28T00:00:00"/>
    <d v="2018-01-01T00:00:00"/>
    <x v="1"/>
    <s v="LO-17170"/>
    <s v="Lori Olson"/>
    <x v="1"/>
    <x v="117"/>
    <x v="8"/>
    <x v="3"/>
    <s v="FUR-CH-10004698"/>
    <s v="Furniture"/>
    <x v="1"/>
    <s v="Padded Folding Chairs, Black, 4/Carton"/>
    <n v="113.372"/>
    <n v="2"/>
    <n v="-3.2391999999999999"/>
    <x v="4"/>
    <x v="3"/>
    <x v="5"/>
  </r>
  <r>
    <s v="CA-2017-163860"/>
    <d v="2017-12-28T00:00:00"/>
    <d v="2018-01-01T00:00:00"/>
    <x v="1"/>
    <s v="LO-17170"/>
    <s v="Lori Olson"/>
    <x v="1"/>
    <x v="117"/>
    <x v="8"/>
    <x v="3"/>
    <s v="FUR-FU-10001935"/>
    <s v="Furniture"/>
    <x v="3"/>
    <s v="3M Hangers With Command Adhesive"/>
    <n v="2.96"/>
    <n v="2"/>
    <n v="-1.4059999999999999"/>
    <x v="4"/>
    <x v="3"/>
    <x v="5"/>
  </r>
  <r>
    <s v="CA-2015-154291"/>
    <d v="2015-07-25T00:00:00"/>
    <d v="2015-07-29T00:00:00"/>
    <x v="1"/>
    <s v="YS-21880"/>
    <s v="Yana Sorensen"/>
    <x v="1"/>
    <x v="132"/>
    <x v="33"/>
    <x v="0"/>
    <s v="FUR-TA-10002041"/>
    <s v="Furniture"/>
    <x v="2"/>
    <s v="Bevis Round Conference Table Top, X-Base"/>
    <n v="358.58"/>
    <n v="2"/>
    <n v="39.443800000000003"/>
    <x v="4"/>
    <x v="1"/>
    <x v="3"/>
  </r>
  <r>
    <s v="CA-2016-153101"/>
    <d v="2016-09-08T00:00:00"/>
    <d v="2016-09-08T00:00:00"/>
    <x v="3"/>
    <s v="PJ-19015"/>
    <s v="Pauline Johnson"/>
    <x v="0"/>
    <x v="72"/>
    <x v="2"/>
    <x v="1"/>
    <s v="FUR-TA-10003008"/>
    <s v="Furniture"/>
    <x v="2"/>
    <s v="Lesro Round Back Collection Coffee Table, End Table"/>
    <n v="146.04"/>
    <n v="1"/>
    <n v="-12.778499999999999"/>
    <x v="7"/>
    <x v="0"/>
    <x v="4"/>
  </r>
  <r>
    <s v="CA-2017-142643"/>
    <d v="2017-10-15T00:00:00"/>
    <d v="2017-10-20T00:00:00"/>
    <x v="1"/>
    <s v="DL-13495"/>
    <s v="Dionis Lloyd"/>
    <x v="1"/>
    <x v="310"/>
    <x v="2"/>
    <x v="1"/>
    <s v="FUR-FU-10000087"/>
    <s v="Furniture"/>
    <x v="3"/>
    <s v="Executive Impressions 14&quot; Two-Color Numerals Wall Clock"/>
    <n v="22.72"/>
    <n v="1"/>
    <n v="9.3152000000000008"/>
    <x v="2"/>
    <x v="3"/>
    <x v="1"/>
  </r>
  <r>
    <s v="CA-2016-123946"/>
    <d v="2016-09-12T00:00:00"/>
    <d v="2016-09-17T00:00:00"/>
    <x v="1"/>
    <s v="AJ-10795"/>
    <s v="Anthony Johnson"/>
    <x v="1"/>
    <x v="76"/>
    <x v="25"/>
    <x v="0"/>
    <s v="FUR-CH-10002073"/>
    <s v="Furniture"/>
    <x v="1"/>
    <s v="Hon Olson Stacker Chairs"/>
    <n v="1059.1199999999999"/>
    <n v="4"/>
    <n v="307.14479999999998"/>
    <x v="2"/>
    <x v="0"/>
    <x v="4"/>
  </r>
  <r>
    <s v="CA-2014-147543"/>
    <d v="2014-07-06T00:00:00"/>
    <d v="2014-07-12T00:00:00"/>
    <x v="1"/>
    <s v="BC-11125"/>
    <s v="Becky Castell"/>
    <x v="2"/>
    <x v="311"/>
    <x v="2"/>
    <x v="1"/>
    <s v="FUR-CH-10000155"/>
    <s v="Furniture"/>
    <x v="1"/>
    <s v="Global Comet Stacking Armless Chair"/>
    <n v="478.48"/>
    <n v="2"/>
    <n v="47.847999999999999"/>
    <x v="6"/>
    <x v="2"/>
    <x v="3"/>
  </r>
  <r>
    <s v="CA-2014-101462"/>
    <d v="2014-04-20T00:00:00"/>
    <d v="2014-04-25T00:00:00"/>
    <x v="1"/>
    <s v="BP-11230"/>
    <s v="Benjamin Patterson"/>
    <x v="0"/>
    <x v="2"/>
    <x v="2"/>
    <x v="1"/>
    <s v="FUR-FU-10000409"/>
    <s v="Furniture"/>
    <x v="3"/>
    <s v="GE 4 Foot Flourescent Tube, 40 Watt"/>
    <n v="59.92"/>
    <n v="4"/>
    <n v="27.563199999999998"/>
    <x v="2"/>
    <x v="2"/>
    <x v="6"/>
  </r>
  <r>
    <s v="US-2016-100461"/>
    <d v="2016-01-08T00:00:00"/>
    <d v="2016-01-12T00:00:00"/>
    <x v="1"/>
    <s v="JO-15145"/>
    <s v="Jack O'Briant"/>
    <x v="1"/>
    <x v="20"/>
    <x v="16"/>
    <x v="3"/>
    <s v="FUR-BO-10002545"/>
    <s v="Furniture"/>
    <x v="0"/>
    <s v="Atlantic Metals Mobile 3-Shelf Bookcases, Custom Colors"/>
    <n v="1565.88"/>
    <n v="6"/>
    <n v="407.12880000000001"/>
    <x v="4"/>
    <x v="0"/>
    <x v="8"/>
  </r>
  <r>
    <s v="CA-2017-128965"/>
    <d v="2017-04-17T00:00:00"/>
    <d v="2017-04-22T00:00:00"/>
    <x v="1"/>
    <s v="PS-18760"/>
    <s v="Pamela Stobb"/>
    <x v="0"/>
    <x v="2"/>
    <x v="2"/>
    <x v="1"/>
    <s v="FUR-CH-10003774"/>
    <s v="Furniture"/>
    <x v="1"/>
    <s v="Global Wood Trimmed Manager's Task Chair, Khaki"/>
    <n v="218.352"/>
    <n v="3"/>
    <n v="-19.105799999999999"/>
    <x v="2"/>
    <x v="3"/>
    <x v="6"/>
  </r>
  <r>
    <s v="US-2016-126452"/>
    <d v="2016-08-21T00:00:00"/>
    <d v="2016-08-28T00:00:00"/>
    <x v="1"/>
    <s v="SC-20230"/>
    <s v="Scot Coram"/>
    <x v="1"/>
    <x v="2"/>
    <x v="2"/>
    <x v="1"/>
    <s v="FUR-TA-10003569"/>
    <s v="Furniture"/>
    <x v="2"/>
    <s v="Bretford CR8500 Series Meeting Room Furniture"/>
    <n v="2887.056"/>
    <n v="9"/>
    <n v="180.441"/>
    <x v="1"/>
    <x v="0"/>
    <x v="10"/>
  </r>
  <r>
    <s v="US-2016-121013"/>
    <d v="2016-09-05T00:00:00"/>
    <d v="2016-09-10T00:00:00"/>
    <x v="1"/>
    <s v="MM-17920"/>
    <s v="Michael Moore"/>
    <x v="0"/>
    <x v="180"/>
    <x v="25"/>
    <x v="0"/>
    <s v="FUR-TA-10003238"/>
    <s v="Furniture"/>
    <x v="2"/>
    <s v="Chromcraft Bull-Nose Wood 48&quot; x 96&quot; Rectangular Conference Tables"/>
    <n v="1652.94"/>
    <n v="3"/>
    <n v="314.05860000000001"/>
    <x v="2"/>
    <x v="0"/>
    <x v="4"/>
  </r>
  <r>
    <s v="US-2015-123918"/>
    <d v="2015-10-15T00:00:00"/>
    <d v="2015-10-15T00:00:00"/>
    <x v="3"/>
    <s v="CG-12520"/>
    <s v="Claire Gute"/>
    <x v="0"/>
    <x v="144"/>
    <x v="5"/>
    <x v="3"/>
    <s v="FUR-FU-10004952"/>
    <s v="Furniture"/>
    <x v="3"/>
    <s v="C-Line Cubicle Keepers Polyproplyene Holder w/Velcro Back, 8-1/2x11, 25/Bx"/>
    <n v="131.376"/>
    <n v="6"/>
    <n v="-95.247600000000006"/>
    <x v="7"/>
    <x v="1"/>
    <x v="1"/>
  </r>
  <r>
    <s v="CA-2015-137113"/>
    <d v="2015-12-01T00:00:00"/>
    <d v="2015-12-05T00:00:00"/>
    <x v="0"/>
    <s v="TW-21025"/>
    <s v="Tamara Willingham"/>
    <x v="2"/>
    <x v="15"/>
    <x v="13"/>
    <x v="1"/>
    <s v="FUR-CH-10001215"/>
    <s v="Furniture"/>
    <x v="1"/>
    <s v="Global Troy Executive Leather Low-Back Tilter"/>
    <n v="2003.92"/>
    <n v="5"/>
    <n v="125.245"/>
    <x v="4"/>
    <x v="1"/>
    <x v="5"/>
  </r>
  <r>
    <s v="CA-2015-137113"/>
    <d v="2015-12-01T00:00:00"/>
    <d v="2015-12-05T00:00:00"/>
    <x v="0"/>
    <s v="TW-21025"/>
    <s v="Tamara Willingham"/>
    <x v="2"/>
    <x v="15"/>
    <x v="13"/>
    <x v="1"/>
    <s v="FUR-TA-10001705"/>
    <s v="Furniture"/>
    <x v="2"/>
    <s v="Bush Advantage Collection Round Conference Table"/>
    <n v="1913.4"/>
    <n v="9"/>
    <n v="401.81400000000002"/>
    <x v="4"/>
    <x v="1"/>
    <x v="5"/>
  </r>
  <r>
    <s v="CA-2015-120677"/>
    <d v="2015-05-31T00:00:00"/>
    <d v="2015-06-04T00:00:00"/>
    <x v="1"/>
    <s v="BD-11320"/>
    <s v="Bill Donatelli"/>
    <x v="0"/>
    <x v="12"/>
    <x v="11"/>
    <x v="3"/>
    <s v="FUR-CH-10002320"/>
    <s v="Furniture"/>
    <x v="1"/>
    <s v="Hon Pagoda Stacking Chairs"/>
    <n v="2567.84"/>
    <n v="8"/>
    <n v="770.35199999999998"/>
    <x v="4"/>
    <x v="1"/>
    <x v="7"/>
  </r>
  <r>
    <s v="CA-2017-164756"/>
    <d v="2017-09-18T00:00:00"/>
    <d v="2017-09-22T00:00:00"/>
    <x v="1"/>
    <s v="SS-20140"/>
    <s v="Saphhira Shifley"/>
    <x v="1"/>
    <x v="29"/>
    <x v="24"/>
    <x v="0"/>
    <s v="FUR-FU-10002963"/>
    <s v="Furniture"/>
    <x v="3"/>
    <s v="Master Caster Door Stop, Gray"/>
    <n v="20.32"/>
    <n v="4"/>
    <n v="6.9088000000000003"/>
    <x v="4"/>
    <x v="3"/>
    <x v="4"/>
  </r>
  <r>
    <s v="US-2015-165512"/>
    <d v="2015-05-24T00:00:00"/>
    <d v="2015-05-26T00:00:00"/>
    <x v="0"/>
    <s v="VS-21820"/>
    <s v="Vivek Sundaresam"/>
    <x v="0"/>
    <x v="312"/>
    <x v="8"/>
    <x v="3"/>
    <s v="FUR-CH-10002880"/>
    <s v="Furniture"/>
    <x v="1"/>
    <s v="Global High-Back Leather Tilter, Burgundy"/>
    <n v="602.65099999999995"/>
    <n v="7"/>
    <n v="-163.57669999999999"/>
    <x v="3"/>
    <x v="1"/>
    <x v="7"/>
  </r>
  <r>
    <s v="US-2017-135503"/>
    <d v="2017-12-10T00:00:00"/>
    <d v="2017-12-15T00:00:00"/>
    <x v="1"/>
    <s v="JE-16165"/>
    <s v="Justin Ellison"/>
    <x v="1"/>
    <x v="313"/>
    <x v="10"/>
    <x v="0"/>
    <s v="FUR-FU-10002364"/>
    <s v="Furniture"/>
    <x v="3"/>
    <s v="Eldon Expressions Wood Desk Accessories, Oak"/>
    <n v="14.76"/>
    <n v="2"/>
    <n v="4.2804000000000002"/>
    <x v="2"/>
    <x v="3"/>
    <x v="5"/>
  </r>
  <r>
    <s v="US-2017-115301"/>
    <d v="2017-07-29T00:00:00"/>
    <d v="2017-08-02T00:00:00"/>
    <x v="1"/>
    <s v="VG-21790"/>
    <s v="Vivek Gonzalez"/>
    <x v="0"/>
    <x v="15"/>
    <x v="13"/>
    <x v="1"/>
    <s v="FUR-BO-10004709"/>
    <s v="Furniture"/>
    <x v="0"/>
    <s v="Bush Westfield Collection Bookcases, Medium Cherry Finish"/>
    <n v="115.96"/>
    <n v="2"/>
    <n v="25.511199999999999"/>
    <x v="4"/>
    <x v="3"/>
    <x v="3"/>
  </r>
  <r>
    <s v="CA-2014-124247"/>
    <d v="2014-12-16T00:00:00"/>
    <d v="2014-12-21T00:00:00"/>
    <x v="1"/>
    <s v="SH-20635"/>
    <s v="Stefanie Holloman"/>
    <x v="1"/>
    <x v="155"/>
    <x v="2"/>
    <x v="1"/>
    <s v="FUR-CH-10001854"/>
    <s v="Furniture"/>
    <x v="1"/>
    <s v="Office Star - Professional Matrix Back Chair with 2-to-1 Synchro Tilt and Mesh Fabric Seat"/>
    <n v="1403.92"/>
    <n v="5"/>
    <n v="70.195999999999998"/>
    <x v="2"/>
    <x v="2"/>
    <x v="5"/>
  </r>
  <r>
    <s v="CA-2015-137925"/>
    <d v="2015-11-30T00:00:00"/>
    <d v="2015-12-04T00:00:00"/>
    <x v="1"/>
    <s v="JL-15235"/>
    <s v="Janet Lee"/>
    <x v="0"/>
    <x v="13"/>
    <x v="7"/>
    <x v="2"/>
    <s v="FUR-BO-10001608"/>
    <s v="Furniture"/>
    <x v="0"/>
    <s v="Hon Metal Bookcases, Black"/>
    <n v="681.40800000000002"/>
    <n v="12"/>
    <n v="42.588000000000001"/>
    <x v="4"/>
    <x v="1"/>
    <x v="0"/>
  </r>
  <r>
    <s v="CA-2014-164182"/>
    <d v="2014-07-14T00:00:00"/>
    <d v="2014-07-18T00:00:00"/>
    <x v="1"/>
    <s v="ST-20530"/>
    <s v="Shui Tom"/>
    <x v="0"/>
    <x v="3"/>
    <x v="3"/>
    <x v="2"/>
    <s v="FUR-FU-10001057"/>
    <s v="Furniture"/>
    <x v="3"/>
    <s v="Tensor Track Tree Floor Lamp"/>
    <n v="31.984000000000002"/>
    <n v="2"/>
    <n v="1.1994"/>
    <x v="4"/>
    <x v="2"/>
    <x v="3"/>
  </r>
  <r>
    <s v="CA-2016-129847"/>
    <d v="2016-09-02T00:00:00"/>
    <d v="2016-09-04T00:00:00"/>
    <x v="2"/>
    <s v="TA-21385"/>
    <s v="Tom Ashbrook"/>
    <x v="2"/>
    <x v="9"/>
    <x v="8"/>
    <x v="3"/>
    <s v="FUR-FU-10000277"/>
    <s v="Furniture"/>
    <x v="3"/>
    <s v="Deflect-o DuraMat Antistatic Studded Beveled Mat for Medium Pile Carpeting"/>
    <n v="84.272000000000006"/>
    <n v="2"/>
    <n v="-75.844800000000006"/>
    <x v="3"/>
    <x v="0"/>
    <x v="4"/>
  </r>
  <r>
    <s v="CA-2016-106243"/>
    <d v="2016-09-30T00:00:00"/>
    <d v="2016-10-04T00:00:00"/>
    <x v="1"/>
    <s v="GM-14680"/>
    <s v="Greg Matthias"/>
    <x v="0"/>
    <x v="13"/>
    <x v="7"/>
    <x v="2"/>
    <s v="FUR-BO-10003034"/>
    <s v="Furniture"/>
    <x v="0"/>
    <s v="O'Sullivan Elevations Bookcase, Cherry Finish"/>
    <n v="523.91999999999996"/>
    <n v="5"/>
    <n v="-26.196000000000002"/>
    <x v="4"/>
    <x v="0"/>
    <x v="4"/>
  </r>
  <r>
    <s v="CA-2015-130365"/>
    <d v="2015-04-25T00:00:00"/>
    <d v="2015-04-29T00:00:00"/>
    <x v="1"/>
    <s v="ZC-21910"/>
    <s v="Zuschuss Carroll"/>
    <x v="0"/>
    <x v="14"/>
    <x v="8"/>
    <x v="3"/>
    <s v="FUR-CH-10003535"/>
    <s v="Furniture"/>
    <x v="1"/>
    <s v="Global Armless Task Chair, Royal Blue"/>
    <n v="128.05799999999999"/>
    <n v="3"/>
    <n v="-23.7822"/>
    <x v="4"/>
    <x v="1"/>
    <x v="6"/>
  </r>
  <r>
    <s v="CA-2017-143021"/>
    <d v="2017-11-19T00:00:00"/>
    <d v="2017-11-19T00:00:00"/>
    <x v="3"/>
    <s v="AP-10720"/>
    <s v="Anne Pryor"/>
    <x v="2"/>
    <x v="13"/>
    <x v="7"/>
    <x v="2"/>
    <s v="FUR-TA-10001676"/>
    <s v="Furniture"/>
    <x v="2"/>
    <s v="Hon 61000 Series Interactive Training Tables"/>
    <n v="79.974000000000004"/>
    <n v="3"/>
    <n v="-29.323799999999999"/>
    <x v="7"/>
    <x v="3"/>
    <x v="0"/>
  </r>
  <r>
    <s v="CA-2016-157588"/>
    <d v="2016-07-14T00:00:00"/>
    <d v="2016-07-19T00:00:00"/>
    <x v="1"/>
    <s v="AR-10570"/>
    <s v="Anemone Ratner"/>
    <x v="0"/>
    <x v="29"/>
    <x v="24"/>
    <x v="0"/>
    <s v="FUR-FU-10004848"/>
    <s v="Furniture"/>
    <x v="3"/>
    <s v="Howard Miller 13-3/4&quot; Diameter Brushed Chrome Round Wall Clock"/>
    <n v="51.75"/>
    <n v="1"/>
    <n v="15.525"/>
    <x v="2"/>
    <x v="0"/>
    <x v="3"/>
  </r>
  <r>
    <s v="CA-2016-163937"/>
    <d v="2016-01-10T00:00:00"/>
    <d v="2016-01-13T00:00:00"/>
    <x v="0"/>
    <s v="JB-16000"/>
    <s v="Joy Bell-"/>
    <x v="0"/>
    <x v="314"/>
    <x v="13"/>
    <x v="1"/>
    <s v="FUR-FU-10000010"/>
    <s v="Furniture"/>
    <x v="3"/>
    <s v="DAX Value U-Channel Document Frames, Easel Back"/>
    <n v="24.85"/>
    <n v="5"/>
    <n v="7.7035"/>
    <x v="0"/>
    <x v="0"/>
    <x v="8"/>
  </r>
  <r>
    <s v="CA-2015-112144"/>
    <d v="2015-06-28T00:00:00"/>
    <d v="2015-07-02T00:00:00"/>
    <x v="1"/>
    <s v="CY-12745"/>
    <s v="Craig Yedwab"/>
    <x v="1"/>
    <x v="171"/>
    <x v="22"/>
    <x v="1"/>
    <s v="FUR-FU-10004306"/>
    <s v="Furniture"/>
    <x v="3"/>
    <s v="Electrix Halogen Magnifier Lamp"/>
    <n v="621.76"/>
    <n v="4"/>
    <n v="46.631999999999998"/>
    <x v="4"/>
    <x v="1"/>
    <x v="2"/>
  </r>
  <r>
    <s v="CA-2015-109386"/>
    <d v="2015-11-08T00:00:00"/>
    <d v="2015-11-13T00:00:00"/>
    <x v="0"/>
    <s v="RH-19600"/>
    <s v="Rob Haberlin"/>
    <x v="0"/>
    <x v="247"/>
    <x v="25"/>
    <x v="0"/>
    <s v="FUR-FU-10000308"/>
    <s v="Furniture"/>
    <x v="3"/>
    <s v="Deflect-o Glass Clear Studded Chair Mats"/>
    <n v="186.54"/>
    <n v="3"/>
    <n v="41.038800000000002"/>
    <x v="2"/>
    <x v="1"/>
    <x v="0"/>
  </r>
  <r>
    <s v="CA-2015-104871"/>
    <d v="2015-03-30T00:00:00"/>
    <d v="2015-04-03T00:00:00"/>
    <x v="1"/>
    <s v="DR-12940"/>
    <s v="Daniel Raglin"/>
    <x v="2"/>
    <x v="315"/>
    <x v="8"/>
    <x v="3"/>
    <s v="FUR-CH-10003298"/>
    <s v="Furniture"/>
    <x v="1"/>
    <s v="Office Star - Contemporary Task Swivel chair with Loop Arms, Charcoal"/>
    <n v="366.74400000000003"/>
    <n v="4"/>
    <n v="-110.0232"/>
    <x v="4"/>
    <x v="1"/>
    <x v="9"/>
  </r>
  <r>
    <s v="CA-2014-133158"/>
    <d v="2014-08-19T00:00:00"/>
    <d v="2014-08-21T00:00:00"/>
    <x v="0"/>
    <s v="DW-13195"/>
    <s v="David Wiener"/>
    <x v="1"/>
    <x v="2"/>
    <x v="2"/>
    <x v="1"/>
    <s v="FUR-FU-10000723"/>
    <s v="Furniture"/>
    <x v="3"/>
    <s v="Deflect-o EconoMat Studded, No Bevel Mat for Low Pile Carpeting"/>
    <n v="289.24"/>
    <n v="7"/>
    <n v="26.031600000000001"/>
    <x v="3"/>
    <x v="2"/>
    <x v="10"/>
  </r>
  <r>
    <s v="CA-2015-141740"/>
    <d v="2015-11-01T00:00:00"/>
    <d v="2015-11-05T00:00:00"/>
    <x v="1"/>
    <s v="JF-15490"/>
    <s v="Jeremy Farry"/>
    <x v="0"/>
    <x v="13"/>
    <x v="7"/>
    <x v="2"/>
    <s v="FUR-CH-10001545"/>
    <s v="Furniture"/>
    <x v="1"/>
    <s v="Hon Comfortask Task/Swivel Chairs"/>
    <n v="205.16399999999999"/>
    <n v="2"/>
    <n v="13.6776"/>
    <x v="4"/>
    <x v="1"/>
    <x v="0"/>
  </r>
  <r>
    <s v="CA-2014-119466"/>
    <d v="2014-12-15T00:00:00"/>
    <d v="2014-12-21T00:00:00"/>
    <x v="1"/>
    <s v="SP-20860"/>
    <s v="Sung Pak"/>
    <x v="1"/>
    <x v="9"/>
    <x v="8"/>
    <x v="3"/>
    <s v="FUR-FU-10001546"/>
    <s v="Furniture"/>
    <x v="3"/>
    <s v="Dana Swing-Arm Lamps"/>
    <n v="8.5440000000000005"/>
    <n v="2"/>
    <n v="-7.476"/>
    <x v="6"/>
    <x v="2"/>
    <x v="5"/>
  </r>
  <r>
    <s v="CA-2015-154823"/>
    <d v="2015-08-21T00:00:00"/>
    <d v="2015-08-25T00:00:00"/>
    <x v="1"/>
    <s v="KN-16390"/>
    <s v="Katherine Nockton"/>
    <x v="1"/>
    <x v="76"/>
    <x v="15"/>
    <x v="2"/>
    <s v="FUR-CH-10003379"/>
    <s v="Furniture"/>
    <x v="1"/>
    <s v="Global Commerce Series High-Back Swivel/Tilt Chairs"/>
    <n v="598.45799999999997"/>
    <n v="3"/>
    <n v="-42.747"/>
    <x v="4"/>
    <x v="1"/>
    <x v="10"/>
  </r>
  <r>
    <s v="CA-2015-154823"/>
    <d v="2015-08-21T00:00:00"/>
    <d v="2015-08-25T00:00:00"/>
    <x v="1"/>
    <s v="KN-16390"/>
    <s v="Katherine Nockton"/>
    <x v="1"/>
    <x v="76"/>
    <x v="15"/>
    <x v="2"/>
    <s v="FUR-FU-10000193"/>
    <s v="Furniture"/>
    <x v="3"/>
    <s v="Tenex Chairmats For Use with Hard Floors"/>
    <n v="25.984000000000002"/>
    <n v="1"/>
    <n v="-3.8976000000000002"/>
    <x v="4"/>
    <x v="1"/>
    <x v="10"/>
  </r>
  <r>
    <s v="CA-2017-141201"/>
    <d v="2017-12-09T00:00:00"/>
    <d v="2017-12-11T00:00:00"/>
    <x v="0"/>
    <s v="DB-12910"/>
    <s v="Daniel Byrd"/>
    <x v="2"/>
    <x v="316"/>
    <x v="2"/>
    <x v="1"/>
    <s v="FUR-BO-10001519"/>
    <s v="Furniture"/>
    <x v="0"/>
    <s v="O'Sullivan 3-Shelf Heavy-Duty Bookcases"/>
    <n v="148.25700000000001"/>
    <n v="3"/>
    <n v="15.697800000000001"/>
    <x v="3"/>
    <x v="3"/>
    <x v="5"/>
  </r>
  <r>
    <s v="CA-2014-124737"/>
    <d v="2014-08-23T00:00:00"/>
    <d v="2014-08-27T00:00:00"/>
    <x v="1"/>
    <s v="AP-10915"/>
    <s v="Arthur Prichep"/>
    <x v="0"/>
    <x v="22"/>
    <x v="12"/>
    <x v="1"/>
    <s v="FUR-FU-10003274"/>
    <s v="Furniture"/>
    <x v="3"/>
    <s v="Regeneration Desk Collection"/>
    <n v="4.2240000000000002"/>
    <n v="3"/>
    <n v="1.2672000000000001"/>
    <x v="4"/>
    <x v="2"/>
    <x v="10"/>
  </r>
  <r>
    <s v="CA-2016-145548"/>
    <d v="2016-11-11T00:00:00"/>
    <d v="2016-11-16T00:00:00"/>
    <x v="1"/>
    <s v="EB-13750"/>
    <s v="Edward Becker"/>
    <x v="1"/>
    <x v="13"/>
    <x v="7"/>
    <x v="2"/>
    <s v="FUR-CH-10003774"/>
    <s v="Furniture"/>
    <x v="1"/>
    <s v="Global Wood Trimmed Manager's Task Chair, Khaki"/>
    <n v="245.64599999999999"/>
    <n v="3"/>
    <n v="8.1882000000000001"/>
    <x v="2"/>
    <x v="0"/>
    <x v="0"/>
  </r>
  <r>
    <s v="CA-2017-119494"/>
    <d v="2017-11-09T00:00:00"/>
    <d v="2017-11-13T00:00:00"/>
    <x v="1"/>
    <s v="JE-15610"/>
    <s v="Jim Epp"/>
    <x v="1"/>
    <x v="53"/>
    <x v="2"/>
    <x v="1"/>
    <s v="FUR-CH-10004675"/>
    <s v="Furniture"/>
    <x v="1"/>
    <s v="Lifetime Advantage Folding Chairs, 4/Carton"/>
    <n v="523.39200000000005"/>
    <n v="3"/>
    <n v="52.339199999999998"/>
    <x v="4"/>
    <x v="3"/>
    <x v="0"/>
  </r>
  <r>
    <s v="CA-2017-103443"/>
    <d v="2017-12-17T00:00:00"/>
    <d v="2017-12-23T00:00:00"/>
    <x v="1"/>
    <s v="AT-10735"/>
    <s v="Annie Thurman"/>
    <x v="0"/>
    <x v="13"/>
    <x v="7"/>
    <x v="2"/>
    <s v="FUR-FU-10000308"/>
    <s v="Furniture"/>
    <x v="3"/>
    <s v="Deflect-o Glass Clear Studded Chair Mats"/>
    <n v="124.36"/>
    <n v="2"/>
    <n v="27.359200000000001"/>
    <x v="6"/>
    <x v="3"/>
    <x v="5"/>
  </r>
  <r>
    <s v="US-2017-165358"/>
    <d v="2017-07-18T00:00:00"/>
    <d v="2017-07-23T00:00:00"/>
    <x v="1"/>
    <s v="SV-20365"/>
    <s v="Seth Vernon"/>
    <x v="0"/>
    <x v="3"/>
    <x v="3"/>
    <x v="2"/>
    <s v="FUR-CH-10002647"/>
    <s v="Furniture"/>
    <x v="1"/>
    <s v="Situations Contoured Folding Chairs, 4/Set"/>
    <n v="198.744"/>
    <n v="4"/>
    <n v="-14.196"/>
    <x v="2"/>
    <x v="3"/>
    <x v="3"/>
  </r>
  <r>
    <s v="CA-2014-150581"/>
    <d v="2014-04-08T00:00:00"/>
    <d v="2014-04-12T00:00:00"/>
    <x v="1"/>
    <s v="NM-18445"/>
    <s v="Nathan Mautz"/>
    <x v="2"/>
    <x v="41"/>
    <x v="2"/>
    <x v="1"/>
    <s v="FUR-TA-10003748"/>
    <s v="Furniture"/>
    <x v="2"/>
    <s v="Bevis 36 x 72 Conference Tables"/>
    <n v="99.591999999999999"/>
    <n v="1"/>
    <n v="2.4897999999999998"/>
    <x v="4"/>
    <x v="2"/>
    <x v="6"/>
  </r>
  <r>
    <s v="CA-2016-165330"/>
    <d v="2016-12-11T00:00:00"/>
    <d v="2016-12-11T00:00:00"/>
    <x v="3"/>
    <s v="WB-21850"/>
    <s v="William Brown"/>
    <x v="0"/>
    <x v="261"/>
    <x v="2"/>
    <x v="1"/>
    <s v="FUR-CH-10003774"/>
    <s v="Furniture"/>
    <x v="1"/>
    <s v="Global Wood Trimmed Manager's Task Chair, Khaki"/>
    <n v="363.92"/>
    <n v="5"/>
    <n v="-31.843"/>
    <x v="7"/>
    <x v="0"/>
    <x v="5"/>
  </r>
  <r>
    <s v="CA-2016-165330"/>
    <d v="2016-12-11T00:00:00"/>
    <d v="2016-12-11T00:00:00"/>
    <x v="3"/>
    <s v="WB-21850"/>
    <s v="William Brown"/>
    <x v="0"/>
    <x v="261"/>
    <x v="2"/>
    <x v="1"/>
    <s v="FUR-TA-10004619"/>
    <s v="Furniture"/>
    <x v="2"/>
    <s v="Hon Non-Folding Utility Tables"/>
    <n v="892.13599999999997"/>
    <n v="7"/>
    <n v="111.517"/>
    <x v="7"/>
    <x v="0"/>
    <x v="5"/>
  </r>
  <r>
    <s v="CA-2016-106950"/>
    <d v="2016-09-02T00:00:00"/>
    <d v="2016-09-06T00:00:00"/>
    <x v="1"/>
    <s v="JE-15715"/>
    <s v="Joe Elijah"/>
    <x v="0"/>
    <x v="127"/>
    <x v="30"/>
    <x v="0"/>
    <s v="FUR-TA-10001768"/>
    <s v="Furniture"/>
    <x v="2"/>
    <s v="Hon Racetrack Conference Tables"/>
    <n v="472.51799999999997"/>
    <n v="3"/>
    <n v="-149.63069999999999"/>
    <x v="4"/>
    <x v="0"/>
    <x v="4"/>
  </r>
  <r>
    <s v="CA-2017-128944"/>
    <d v="2017-06-19T00:00:00"/>
    <d v="2017-06-21T00:00:00"/>
    <x v="0"/>
    <s v="KH-16330"/>
    <s v="Katharine Harms"/>
    <x v="1"/>
    <x v="19"/>
    <x v="15"/>
    <x v="2"/>
    <s v="FUR-CH-10000785"/>
    <s v="Furniture"/>
    <x v="1"/>
    <s v="Global Ergonomic Managers Chair"/>
    <n v="760.11599999999999"/>
    <n v="6"/>
    <n v="-43.435200000000002"/>
    <x v="3"/>
    <x v="3"/>
    <x v="2"/>
  </r>
  <r>
    <s v="CA-2017-128944"/>
    <d v="2017-06-19T00:00:00"/>
    <d v="2017-06-21T00:00:00"/>
    <x v="0"/>
    <s v="KH-16330"/>
    <s v="Katharine Harms"/>
    <x v="1"/>
    <x v="19"/>
    <x v="15"/>
    <x v="2"/>
    <s v="FUR-FU-10004909"/>
    <s v="Furniture"/>
    <x v="3"/>
    <s v="Contemporary Wood/Metal Frame"/>
    <n v="38.783999999999999"/>
    <n v="3"/>
    <n v="7.2720000000000002"/>
    <x v="3"/>
    <x v="3"/>
    <x v="2"/>
  </r>
  <r>
    <s v="US-2016-102239"/>
    <d v="2016-05-05T00:00:00"/>
    <d v="2016-05-06T00:00:00"/>
    <x v="2"/>
    <s v="LW-16990"/>
    <s v="Lindsay Williams"/>
    <x v="1"/>
    <x v="0"/>
    <x v="34"/>
    <x v="1"/>
    <s v="FUR-TA-10003392"/>
    <s v="Furniture"/>
    <x v="2"/>
    <s v="Global Adaptabilities Conference Tables"/>
    <n v="1685.88"/>
    <n v="6"/>
    <n v="320.31720000000001"/>
    <x v="5"/>
    <x v="0"/>
    <x v="7"/>
  </r>
  <r>
    <s v="CA-2017-166926"/>
    <d v="2017-12-01T00:00:00"/>
    <d v="2017-12-08T00:00:00"/>
    <x v="1"/>
    <s v="SO-20335"/>
    <s v="Sean O'Donnell"/>
    <x v="0"/>
    <x v="15"/>
    <x v="13"/>
    <x v="1"/>
    <s v="FUR-BO-10002598"/>
    <s v="Furniture"/>
    <x v="0"/>
    <s v="Hon Metal Bookcases, Putty"/>
    <n v="141.96"/>
    <n v="2"/>
    <n v="41.168399999999998"/>
    <x v="1"/>
    <x v="3"/>
    <x v="5"/>
  </r>
  <r>
    <s v="CA-2015-128013"/>
    <d v="2015-08-09T00:00:00"/>
    <d v="2015-08-16T00:00:00"/>
    <x v="1"/>
    <s v="MF-18250"/>
    <s v="Monica Federle"/>
    <x v="1"/>
    <x v="13"/>
    <x v="7"/>
    <x v="2"/>
    <s v="FUR-FU-10000320"/>
    <s v="Furniture"/>
    <x v="3"/>
    <s v="OIC Stacking Trays"/>
    <n v="10.02"/>
    <n v="3"/>
    <n v="4.4088000000000003"/>
    <x v="1"/>
    <x v="1"/>
    <x v="10"/>
  </r>
  <r>
    <s v="US-2016-117541"/>
    <d v="2016-11-14T00:00:00"/>
    <d v="2016-11-20T00:00:00"/>
    <x v="1"/>
    <s v="JM-16195"/>
    <s v="Justin MacKendrick"/>
    <x v="0"/>
    <x v="19"/>
    <x v="14"/>
    <x v="2"/>
    <s v="FUR-FU-10000550"/>
    <s v="Furniture"/>
    <x v="3"/>
    <s v="Stacking Trays by OIC"/>
    <n v="19.920000000000002"/>
    <n v="4"/>
    <n v="6.5735999999999999"/>
    <x v="6"/>
    <x v="0"/>
    <x v="0"/>
  </r>
  <r>
    <s v="CA-2017-141439"/>
    <d v="2017-11-26T00:00:00"/>
    <d v="2017-12-01T00:00:00"/>
    <x v="1"/>
    <s v="TT-21460"/>
    <s v="Tonja Turnell"/>
    <x v="2"/>
    <x v="52"/>
    <x v="6"/>
    <x v="3"/>
    <s v="FUR-TA-10001039"/>
    <s v="Furniture"/>
    <x v="2"/>
    <s v="KI Adjustable-Height Table"/>
    <n v="257.94"/>
    <n v="3"/>
    <n v="67.064400000000006"/>
    <x v="2"/>
    <x v="3"/>
    <x v="0"/>
  </r>
  <r>
    <s v="CA-2017-141439"/>
    <d v="2017-11-26T00:00:00"/>
    <d v="2017-12-01T00:00:00"/>
    <x v="1"/>
    <s v="TT-21460"/>
    <s v="Tonja Turnell"/>
    <x v="2"/>
    <x v="52"/>
    <x v="6"/>
    <x v="3"/>
    <s v="FUR-FU-10001473"/>
    <s v="Furniture"/>
    <x v="3"/>
    <s v="DAX Wood Document Frame"/>
    <n v="27.46"/>
    <n v="2"/>
    <n v="9.8856000000000002"/>
    <x v="2"/>
    <x v="3"/>
    <x v="0"/>
  </r>
  <r>
    <s v="CA-2017-141439"/>
    <d v="2017-11-26T00:00:00"/>
    <d v="2017-12-01T00:00:00"/>
    <x v="1"/>
    <s v="TT-21460"/>
    <s v="Tonja Turnell"/>
    <x v="2"/>
    <x v="52"/>
    <x v="6"/>
    <x v="3"/>
    <s v="FUR-CH-10004287"/>
    <s v="Furniture"/>
    <x v="1"/>
    <s v="SAFCO Arco Folding Chair"/>
    <n v="828.6"/>
    <n v="3"/>
    <n v="240.29400000000001"/>
    <x v="2"/>
    <x v="3"/>
    <x v="0"/>
  </r>
  <r>
    <s v="CA-2015-163965"/>
    <d v="2015-11-20T00:00:00"/>
    <d v="2015-11-27T00:00:00"/>
    <x v="1"/>
    <s v="SS-20875"/>
    <s v="Sung Shariari"/>
    <x v="0"/>
    <x v="89"/>
    <x v="1"/>
    <x v="0"/>
    <s v="FUR-BO-10001337"/>
    <s v="Furniture"/>
    <x v="0"/>
    <s v="O'Sullivan Living Dimensions 2-Shelf Bookcases"/>
    <n v="290.35199999999998"/>
    <n v="3"/>
    <n v="-36.293999999999997"/>
    <x v="1"/>
    <x v="1"/>
    <x v="0"/>
  </r>
  <r>
    <s v="CA-2017-128783"/>
    <d v="2017-09-07T00:00:00"/>
    <d v="2017-09-07T00:00:00"/>
    <x v="3"/>
    <s v="TG-21640"/>
    <s v="Trudy Glocke"/>
    <x v="0"/>
    <x v="317"/>
    <x v="23"/>
    <x v="3"/>
    <s v="FUR-FU-10003623"/>
    <s v="Furniture"/>
    <x v="3"/>
    <s v="DataProducts Ampli Magnifier Task Lamp, Black,"/>
    <n v="135.30000000000001"/>
    <n v="5"/>
    <n v="37.884"/>
    <x v="7"/>
    <x v="3"/>
    <x v="4"/>
  </r>
  <r>
    <s v="CA-2014-122217"/>
    <d v="2014-11-24T00:00:00"/>
    <d v="2014-11-29T00:00:00"/>
    <x v="1"/>
    <s v="HP-14815"/>
    <s v="Harold Pawlan"/>
    <x v="2"/>
    <x v="304"/>
    <x v="25"/>
    <x v="0"/>
    <s v="FUR-FU-10002045"/>
    <s v="Furniture"/>
    <x v="3"/>
    <s v="Executive Impressions 14&quot;"/>
    <n v="111.15"/>
    <n v="5"/>
    <n v="48.905999999999999"/>
    <x v="2"/>
    <x v="2"/>
    <x v="0"/>
  </r>
  <r>
    <s v="US-2017-141558"/>
    <d v="2017-03-11T00:00:00"/>
    <d v="2017-03-16T00:00:00"/>
    <x v="1"/>
    <s v="MH-17290"/>
    <s v="Marc Harrigan"/>
    <x v="2"/>
    <x v="3"/>
    <x v="3"/>
    <x v="2"/>
    <s v="FUR-TA-10004086"/>
    <s v="Furniture"/>
    <x v="2"/>
    <s v="KI Adjustable-Height Table"/>
    <n v="154.76400000000001"/>
    <n v="3"/>
    <n v="-46.429200000000002"/>
    <x v="2"/>
    <x v="3"/>
    <x v="9"/>
  </r>
  <r>
    <s v="CA-2017-100412"/>
    <d v="2017-12-22T00:00:00"/>
    <d v="2017-12-26T00:00:00"/>
    <x v="1"/>
    <s v="SR-20425"/>
    <s v="Sharelle Roach"/>
    <x v="2"/>
    <x v="318"/>
    <x v="33"/>
    <x v="0"/>
    <s v="FUR-CH-10002647"/>
    <s v="Furniture"/>
    <x v="1"/>
    <s v="Situations Contoured Folding Chairs, 4/Set"/>
    <n v="141.96"/>
    <n v="2"/>
    <n v="35.49"/>
    <x v="4"/>
    <x v="3"/>
    <x v="5"/>
  </r>
  <r>
    <s v="CA-2017-142909"/>
    <d v="2017-12-22T00:00:00"/>
    <d v="2017-12-25T00:00:00"/>
    <x v="0"/>
    <s v="AG-10330"/>
    <s v="Alex Grayson"/>
    <x v="0"/>
    <x v="81"/>
    <x v="22"/>
    <x v="1"/>
    <s v="FUR-TA-10003008"/>
    <s v="Furniture"/>
    <x v="2"/>
    <s v="Lesro Round Back Collection Coffee Table, End Table"/>
    <n v="182.55"/>
    <n v="2"/>
    <n v="-135.08699999999999"/>
    <x v="0"/>
    <x v="3"/>
    <x v="5"/>
  </r>
  <r>
    <s v="US-2015-136749"/>
    <d v="2015-12-25T00:00:00"/>
    <d v="2015-12-27T00:00:00"/>
    <x v="0"/>
    <s v="LH-16900"/>
    <s v="Lena Hernandez"/>
    <x v="0"/>
    <x v="29"/>
    <x v="24"/>
    <x v="0"/>
    <s v="FUR-FU-10000747"/>
    <s v="Furniture"/>
    <x v="3"/>
    <s v="Tenex B1-RE Series Chair Mats for Low Pile Carpets"/>
    <n v="275.88"/>
    <n v="6"/>
    <n v="46.8996"/>
    <x v="3"/>
    <x v="1"/>
    <x v="5"/>
  </r>
  <r>
    <s v="CA-2014-117464"/>
    <d v="2014-07-22T00:00:00"/>
    <d v="2014-07-24T00:00:00"/>
    <x v="0"/>
    <s v="NP-18325"/>
    <s v="Naresj Patel"/>
    <x v="0"/>
    <x v="28"/>
    <x v="2"/>
    <x v="1"/>
    <s v="FUR-CH-10000155"/>
    <s v="Furniture"/>
    <x v="1"/>
    <s v="Global Comet Stacking Armless Chair"/>
    <n v="717.72"/>
    <n v="3"/>
    <n v="71.772000000000006"/>
    <x v="3"/>
    <x v="2"/>
    <x v="3"/>
  </r>
  <r>
    <s v="CA-2014-117464"/>
    <d v="2014-07-22T00:00:00"/>
    <d v="2014-07-24T00:00:00"/>
    <x v="0"/>
    <s v="NP-18325"/>
    <s v="Naresj Patel"/>
    <x v="0"/>
    <x v="28"/>
    <x v="2"/>
    <x v="1"/>
    <s v="FUR-TA-10004767"/>
    <s v="Furniture"/>
    <x v="2"/>
    <s v="Safco Drafting Table"/>
    <n v="170.352"/>
    <n v="3"/>
    <n v="19.1646"/>
    <x v="3"/>
    <x v="2"/>
    <x v="3"/>
  </r>
  <r>
    <s v="US-2017-168613"/>
    <d v="2017-10-08T00:00:00"/>
    <d v="2017-10-14T00:00:00"/>
    <x v="1"/>
    <s v="GM-14440"/>
    <s v="Gary McGarr"/>
    <x v="0"/>
    <x v="13"/>
    <x v="7"/>
    <x v="2"/>
    <s v="FUR-CH-10002372"/>
    <s v="Furniture"/>
    <x v="1"/>
    <s v="Office Star - Ergonomically Designed Knee Chair"/>
    <n v="145.76400000000001"/>
    <n v="2"/>
    <n v="3.2391999999999999"/>
    <x v="6"/>
    <x v="3"/>
    <x v="1"/>
  </r>
  <r>
    <s v="CA-2017-128853"/>
    <d v="2017-04-21T00:00:00"/>
    <d v="2017-04-23T00:00:00"/>
    <x v="2"/>
    <s v="JM-15250"/>
    <s v="Janet Martin"/>
    <x v="0"/>
    <x v="237"/>
    <x v="32"/>
    <x v="2"/>
    <s v="FUR-CH-10004218"/>
    <s v="Furniture"/>
    <x v="1"/>
    <s v="Global Fabric Manager's Chair, Dark Gray"/>
    <n v="908.82"/>
    <n v="9"/>
    <n v="227.20500000000001"/>
    <x v="3"/>
    <x v="3"/>
    <x v="6"/>
  </r>
  <r>
    <s v="CA-2017-133102"/>
    <d v="2017-08-17T00:00:00"/>
    <d v="2017-08-24T00:00:00"/>
    <x v="1"/>
    <s v="ED-13885"/>
    <s v="Emily Ducich"/>
    <x v="2"/>
    <x v="6"/>
    <x v="5"/>
    <x v="3"/>
    <s v="FUR-CH-10002017"/>
    <s v="Furniture"/>
    <x v="1"/>
    <s v="SAFCO Optional Arm Kit for Workspace Cribbage Stacking Chair"/>
    <n v="74.591999999999999"/>
    <n v="4"/>
    <n v="-2.1312000000000002"/>
    <x v="1"/>
    <x v="3"/>
    <x v="10"/>
  </r>
  <r>
    <s v="CA-2017-133102"/>
    <d v="2017-08-17T00:00:00"/>
    <d v="2017-08-24T00:00:00"/>
    <x v="1"/>
    <s v="ED-13885"/>
    <s v="Emily Ducich"/>
    <x v="2"/>
    <x v="6"/>
    <x v="5"/>
    <x v="3"/>
    <s v="FUR-FU-10003247"/>
    <s v="Furniture"/>
    <x v="3"/>
    <s v="36X48 HARDFLOOR CHAIRMAT"/>
    <n v="16.783999999999999"/>
    <n v="2"/>
    <n v="-22.238800000000001"/>
    <x v="1"/>
    <x v="3"/>
    <x v="10"/>
  </r>
  <r>
    <s v="CA-2016-164399"/>
    <d v="2016-11-12T00:00:00"/>
    <d v="2016-11-15T00:00:00"/>
    <x v="2"/>
    <s v="DW-13480"/>
    <s v="Dianna Wilson"/>
    <x v="2"/>
    <x v="53"/>
    <x v="2"/>
    <x v="1"/>
    <s v="FUR-TA-10003392"/>
    <s v="Furniture"/>
    <x v="2"/>
    <s v="Global Adaptabilities Conference Tables"/>
    <n v="674.35199999999998"/>
    <n v="3"/>
    <n v="-8.4293999999999993"/>
    <x v="0"/>
    <x v="0"/>
    <x v="0"/>
  </r>
  <r>
    <s v="CA-2016-147683"/>
    <d v="2016-11-13T00:00:00"/>
    <d v="2016-11-17T00:00:00"/>
    <x v="1"/>
    <s v="PO-19180"/>
    <s v="Philisse Overcash"/>
    <x v="2"/>
    <x v="15"/>
    <x v="13"/>
    <x v="1"/>
    <s v="FUR-FU-10004848"/>
    <s v="Furniture"/>
    <x v="3"/>
    <s v="DAX Solid Wood Frames"/>
    <n v="19.54"/>
    <n v="2"/>
    <n v="7.2298"/>
    <x v="4"/>
    <x v="0"/>
    <x v="0"/>
  </r>
  <r>
    <s v="CA-2016-104276"/>
    <d v="2016-11-27T00:00:00"/>
    <d v="2016-12-03T00:00:00"/>
    <x v="1"/>
    <s v="HF-14995"/>
    <s v="Herbert Flentye"/>
    <x v="0"/>
    <x v="1"/>
    <x v="1"/>
    <x v="0"/>
    <s v="FUR-TA-10001039"/>
    <s v="Furniture"/>
    <x v="2"/>
    <s v="KI Adjustable-Height Table"/>
    <n v="331.02300000000002"/>
    <n v="7"/>
    <n v="-114.35339999999999"/>
    <x v="6"/>
    <x v="0"/>
    <x v="0"/>
  </r>
  <r>
    <s v="CA-2016-120369"/>
    <d v="2016-10-28T00:00:00"/>
    <d v="2016-10-28T00:00:00"/>
    <x v="3"/>
    <s v="VB-21745"/>
    <s v="Victoria Brennan"/>
    <x v="1"/>
    <x v="77"/>
    <x v="7"/>
    <x v="2"/>
    <s v="FUR-FU-10003806"/>
    <s v="Furniture"/>
    <x v="3"/>
    <s v="Tenex Chairmat w/ Average Lip, 45&quot; x 53&quot;"/>
    <n v="756.8"/>
    <n v="5"/>
    <n v="75.680000000000007"/>
    <x v="7"/>
    <x v="0"/>
    <x v="1"/>
  </r>
  <r>
    <s v="CA-2014-118276"/>
    <d v="2014-12-29T00:00:00"/>
    <d v="2015-01-02T00:00:00"/>
    <x v="1"/>
    <s v="MG-17890"/>
    <s v="Michael Granlund"/>
    <x v="2"/>
    <x v="317"/>
    <x v="8"/>
    <x v="3"/>
    <s v="FUR-FU-10002111"/>
    <s v="Furniture"/>
    <x v="3"/>
    <s v="Master Caster Door Stop, Large Brown"/>
    <n v="8.7360000000000007"/>
    <n v="3"/>
    <n v="-4.8048000000000002"/>
    <x v="4"/>
    <x v="2"/>
    <x v="5"/>
  </r>
  <r>
    <s v="CA-2017-137414"/>
    <d v="2017-10-02T00:00:00"/>
    <d v="2017-10-06T00:00:00"/>
    <x v="1"/>
    <s v="CM-12115"/>
    <s v="Chad McGuire"/>
    <x v="0"/>
    <x v="28"/>
    <x v="2"/>
    <x v="1"/>
    <s v="FUR-FU-10001424"/>
    <s v="Furniture"/>
    <x v="3"/>
    <s v="Dax Clear Box Frame"/>
    <n v="17.46"/>
    <n v="2"/>
    <n v="5.9363999999999999"/>
    <x v="4"/>
    <x v="3"/>
    <x v="1"/>
  </r>
  <r>
    <s v="CA-2016-109953"/>
    <d v="2016-07-14T00:00:00"/>
    <d v="2016-07-18T00:00:00"/>
    <x v="1"/>
    <s v="RB-19360"/>
    <s v="Raymond Buch"/>
    <x v="0"/>
    <x v="28"/>
    <x v="2"/>
    <x v="1"/>
    <s v="FUR-FU-10000073"/>
    <s v="Furniture"/>
    <x v="3"/>
    <s v="Deflect-O Glasstique Clear Desk Accessories"/>
    <n v="30.8"/>
    <n v="4"/>
    <n v="10.164"/>
    <x v="4"/>
    <x v="0"/>
    <x v="3"/>
  </r>
  <r>
    <s v="CA-2016-137337"/>
    <d v="2016-03-08T00:00:00"/>
    <d v="2016-03-12T00:00:00"/>
    <x v="1"/>
    <s v="GB-14575"/>
    <s v="Giulietta Baptist"/>
    <x v="0"/>
    <x v="13"/>
    <x v="7"/>
    <x v="2"/>
    <s v="FUR-FU-10003347"/>
    <s v="Furniture"/>
    <x v="3"/>
    <s v="Coloredge Poster Frame"/>
    <n v="113.6"/>
    <n v="8"/>
    <n v="44.304000000000002"/>
    <x v="4"/>
    <x v="0"/>
    <x v="9"/>
  </r>
  <r>
    <s v="CA-2016-101651"/>
    <d v="2016-12-24T00:00:00"/>
    <d v="2016-12-30T00:00:00"/>
    <x v="1"/>
    <s v="SC-20305"/>
    <s v="Sean Christensen"/>
    <x v="0"/>
    <x v="124"/>
    <x v="2"/>
    <x v="1"/>
    <s v="FUR-FU-10000771"/>
    <s v="Furniture"/>
    <x v="3"/>
    <s v="Eldon 200 Class Desk Accessories, Smoke"/>
    <n v="43.96"/>
    <n v="7"/>
    <n v="18.463200000000001"/>
    <x v="6"/>
    <x v="0"/>
    <x v="5"/>
  </r>
  <r>
    <s v="CA-2017-136651"/>
    <d v="2017-04-23T00:00:00"/>
    <d v="2017-04-25T00:00:00"/>
    <x v="0"/>
    <s v="JF-15355"/>
    <s v="Jay Fein"/>
    <x v="0"/>
    <x v="102"/>
    <x v="2"/>
    <x v="1"/>
    <s v="FUR-FU-10002445"/>
    <s v="Furniture"/>
    <x v="3"/>
    <s v="DAX Two-Tone Rosewood/Black Document Frame, Desktop, 5 x 7"/>
    <n v="66.36"/>
    <n v="7"/>
    <n v="26.544"/>
    <x v="3"/>
    <x v="3"/>
    <x v="6"/>
  </r>
  <r>
    <s v="CA-2017-136651"/>
    <d v="2017-04-23T00:00:00"/>
    <d v="2017-04-25T00:00:00"/>
    <x v="0"/>
    <s v="JF-15355"/>
    <s v="Jay Fein"/>
    <x v="0"/>
    <x v="102"/>
    <x v="2"/>
    <x v="1"/>
    <s v="FUR-FU-10004864"/>
    <s v="Furniture"/>
    <x v="3"/>
    <s v="Eldon 500 Class Desk Accessories"/>
    <n v="24.14"/>
    <n v="2"/>
    <n v="7.9661999999999997"/>
    <x v="3"/>
    <x v="3"/>
    <x v="6"/>
  </r>
  <r>
    <s v="CA-2017-118892"/>
    <d v="2017-08-17T00:00:00"/>
    <d v="2017-08-22T00:00:00"/>
    <x v="0"/>
    <s v="TP-21415"/>
    <s v="Tom Prescott"/>
    <x v="0"/>
    <x v="3"/>
    <x v="3"/>
    <x v="2"/>
    <s v="FUR-CH-10002024"/>
    <s v="Furniture"/>
    <x v="1"/>
    <s v="HON 5400 Series Task Chairs for Big and Tall"/>
    <n v="4416.174"/>
    <n v="9"/>
    <n v="-630.88199999999995"/>
    <x v="2"/>
    <x v="3"/>
    <x v="10"/>
  </r>
  <r>
    <s v="US-2014-127978"/>
    <d v="2014-03-03T00:00:00"/>
    <d v="2014-03-08T00:00:00"/>
    <x v="1"/>
    <s v="JS-15595"/>
    <s v="Jill Stevenson"/>
    <x v="1"/>
    <x v="29"/>
    <x v="15"/>
    <x v="2"/>
    <s v="FUR-BO-10001972"/>
    <s v="Furniture"/>
    <x v="0"/>
    <s v="O'Sullivan 4-Shelf Bookcase in Odessa Pine"/>
    <n v="302.45"/>
    <n v="5"/>
    <n v="-199.61699999999999"/>
    <x v="2"/>
    <x v="2"/>
    <x v="9"/>
  </r>
  <r>
    <s v="CA-2016-152730"/>
    <d v="2016-05-30T00:00:00"/>
    <d v="2016-06-04T00:00:00"/>
    <x v="1"/>
    <s v="EM-14140"/>
    <s v="Eugene Moren"/>
    <x v="2"/>
    <x v="319"/>
    <x v="16"/>
    <x v="3"/>
    <s v="FUR-FU-10001037"/>
    <s v="Furniture"/>
    <x v="3"/>
    <s v="DAX Charcoal/Nickel-Tone Document Frame, 5 x 7"/>
    <n v="47.4"/>
    <n v="5"/>
    <n v="21.33"/>
    <x v="2"/>
    <x v="0"/>
    <x v="7"/>
  </r>
  <r>
    <s v="US-2014-143721"/>
    <d v="2014-11-23T00:00:00"/>
    <d v="2014-11-26T00:00:00"/>
    <x v="0"/>
    <s v="DK-12835"/>
    <s v="Damala Kotsonis"/>
    <x v="1"/>
    <x v="6"/>
    <x v="5"/>
    <x v="3"/>
    <s v="FUR-CH-10001973"/>
    <s v="Furniture"/>
    <x v="1"/>
    <s v="Office Star Flex Back Scooter Chair with White Frame"/>
    <n v="155.37200000000001"/>
    <n v="2"/>
    <n v="-35.513599999999997"/>
    <x v="0"/>
    <x v="2"/>
    <x v="0"/>
  </r>
  <r>
    <s v="CA-2016-133368"/>
    <d v="2016-01-14T00:00:00"/>
    <d v="2016-01-20T00:00:00"/>
    <x v="1"/>
    <s v="AG-10675"/>
    <s v="Anna Gayman"/>
    <x v="0"/>
    <x v="41"/>
    <x v="30"/>
    <x v="0"/>
    <s v="FUR-FU-10003374"/>
    <s v="Furniture"/>
    <x v="3"/>
    <s v="Electrix Fluorescent Magnifier Lamps &amp; Weighted Base"/>
    <n v="315.77600000000001"/>
    <n v="8"/>
    <n v="31.5776"/>
    <x v="6"/>
    <x v="0"/>
    <x v="8"/>
  </r>
  <r>
    <s v="CA-2016-123337"/>
    <d v="2016-09-16T00:00:00"/>
    <d v="2016-09-22T00:00:00"/>
    <x v="1"/>
    <s v="KD-16495"/>
    <s v="Keith Dawkins"/>
    <x v="1"/>
    <x v="124"/>
    <x v="2"/>
    <x v="1"/>
    <s v="FUR-BO-10001918"/>
    <s v="Furniture"/>
    <x v="0"/>
    <s v="Sauder Forest Hills Library with Doors, Woodland Oak Finish"/>
    <n v="273.666"/>
    <n v="2"/>
    <n v="-12.878399999999999"/>
    <x v="6"/>
    <x v="0"/>
    <x v="4"/>
  </r>
  <r>
    <s v="CA-2015-144519"/>
    <d v="2015-11-13T00:00:00"/>
    <d v="2015-11-17T00:00:00"/>
    <x v="1"/>
    <s v="AW-10930"/>
    <s v="Arthur Wiediger"/>
    <x v="2"/>
    <x v="320"/>
    <x v="46"/>
    <x v="1"/>
    <s v="FUR-FU-10000794"/>
    <s v="Furniture"/>
    <x v="3"/>
    <s v="Eldon Stackable Tray, Side-Load, Legal, Smoke"/>
    <n v="63.98"/>
    <n v="7"/>
    <n v="21.7532"/>
    <x v="4"/>
    <x v="1"/>
    <x v="0"/>
  </r>
  <r>
    <s v="CA-2017-169439"/>
    <d v="2017-09-09T00:00:00"/>
    <d v="2017-09-13T00:00:00"/>
    <x v="1"/>
    <s v="LC-17140"/>
    <s v="Logan Currie"/>
    <x v="0"/>
    <x v="59"/>
    <x v="15"/>
    <x v="2"/>
    <s v="FUR-FU-10000723"/>
    <s v="Furniture"/>
    <x v="3"/>
    <s v="Deflect-o EconoMat Studded, No Bevel Mat for Low Pile Carpeting"/>
    <n v="66.111999999999995"/>
    <n v="2"/>
    <n v="-9.0904000000000007"/>
    <x v="4"/>
    <x v="3"/>
    <x v="4"/>
  </r>
  <r>
    <s v="CA-2016-149965"/>
    <d v="2016-06-20T00:00:00"/>
    <d v="2016-06-25T00:00:00"/>
    <x v="1"/>
    <s v="BS-11365"/>
    <s v="Bill Shonely"/>
    <x v="1"/>
    <x v="258"/>
    <x v="37"/>
    <x v="3"/>
    <s v="FUR-FU-10004270"/>
    <s v="Furniture"/>
    <x v="3"/>
    <s v="Executive Impressions 13&quot; Clairmont Wall Clock"/>
    <n v="57.69"/>
    <n v="3"/>
    <n v="23.652899999999999"/>
    <x v="2"/>
    <x v="0"/>
    <x v="2"/>
  </r>
  <r>
    <s v="CA-2016-113656"/>
    <d v="2016-01-23T00:00:00"/>
    <d v="2016-01-29T00:00:00"/>
    <x v="1"/>
    <s v="CB-12415"/>
    <s v="Christy Brittain"/>
    <x v="0"/>
    <x v="2"/>
    <x v="2"/>
    <x v="1"/>
    <s v="FUR-FU-10000719"/>
    <s v="Furniture"/>
    <x v="3"/>
    <s v="DAX Cubicle Frames, 8-1/2 x 11"/>
    <n v="59.99"/>
    <n v="7"/>
    <n v="21.596399999999999"/>
    <x v="6"/>
    <x v="0"/>
    <x v="8"/>
  </r>
  <r>
    <s v="CA-2015-148964"/>
    <d v="2015-05-26T00:00:00"/>
    <d v="2015-05-31T00:00:00"/>
    <x v="1"/>
    <s v="RD-19900"/>
    <s v="Ruben Dartt"/>
    <x v="0"/>
    <x v="321"/>
    <x v="13"/>
    <x v="1"/>
    <s v="FUR-FU-10003849"/>
    <s v="Furniture"/>
    <x v="3"/>
    <s v="DAX Metal Frame, Desktop, Stepped-Edge"/>
    <n v="20.239999999999998"/>
    <n v="1"/>
    <n v="7.8936000000000002"/>
    <x v="2"/>
    <x v="1"/>
    <x v="7"/>
  </r>
  <r>
    <s v="CA-2014-163468"/>
    <d v="2014-11-18T00:00:00"/>
    <d v="2014-11-21T00:00:00"/>
    <x v="2"/>
    <s v="JK-15730"/>
    <s v="Joe Kamberova"/>
    <x v="0"/>
    <x v="322"/>
    <x v="8"/>
    <x v="3"/>
    <s v="FUR-TA-10002533"/>
    <s v="Furniture"/>
    <x v="2"/>
    <s v="BPI Conference Tables"/>
    <n v="292.10000000000002"/>
    <n v="4"/>
    <n v="-175.26"/>
    <x v="0"/>
    <x v="2"/>
    <x v="0"/>
  </r>
  <r>
    <s v="CA-2014-163468"/>
    <d v="2014-11-18T00:00:00"/>
    <d v="2014-11-21T00:00:00"/>
    <x v="2"/>
    <s v="JK-15730"/>
    <s v="Joe Kamberova"/>
    <x v="0"/>
    <x v="322"/>
    <x v="8"/>
    <x v="3"/>
    <s v="FUR-FU-10001546"/>
    <s v="Furniture"/>
    <x v="3"/>
    <s v="Dana Swing-Arm Lamps"/>
    <n v="8.5440000000000005"/>
    <n v="2"/>
    <n v="-7.476"/>
    <x v="0"/>
    <x v="2"/>
    <x v="0"/>
  </r>
  <r>
    <s v="CA-2014-163468"/>
    <d v="2014-11-18T00:00:00"/>
    <d v="2014-11-21T00:00:00"/>
    <x v="2"/>
    <s v="JK-15730"/>
    <s v="Joe Kamberova"/>
    <x v="0"/>
    <x v="322"/>
    <x v="8"/>
    <x v="3"/>
    <s v="FUR-BO-10003546"/>
    <s v="Furniture"/>
    <x v="0"/>
    <s v="Hon 4-Shelf Metal Bookcases"/>
    <n v="424.11599999999999"/>
    <n v="6"/>
    <n v="-30.294"/>
    <x v="0"/>
    <x v="2"/>
    <x v="0"/>
  </r>
  <r>
    <s v="US-2017-117450"/>
    <d v="2017-09-04T00:00:00"/>
    <d v="2017-09-08T00:00:00"/>
    <x v="1"/>
    <s v="DO-13645"/>
    <s v="Doug O'Connell"/>
    <x v="0"/>
    <x v="98"/>
    <x v="1"/>
    <x v="0"/>
    <s v="FUR-CH-10003817"/>
    <s v="Furniture"/>
    <x v="1"/>
    <s v="Global Value Steno Chair, Gray"/>
    <n v="97.183999999999997"/>
    <n v="2"/>
    <n v="6.0739999999999998"/>
    <x v="4"/>
    <x v="3"/>
    <x v="4"/>
  </r>
  <r>
    <s v="CA-2014-137274"/>
    <d v="2014-03-29T00:00:00"/>
    <d v="2014-04-02T00:00:00"/>
    <x v="1"/>
    <s v="MG-18145"/>
    <s v="Mike Gockenbach"/>
    <x v="0"/>
    <x v="215"/>
    <x v="5"/>
    <x v="3"/>
    <s v="FUR-TA-10001889"/>
    <s v="Furniture"/>
    <x v="2"/>
    <s v="Bush Advantage Collection Racetrack Conference Table"/>
    <n v="890.84100000000001"/>
    <n v="3"/>
    <n v="-152.71559999999999"/>
    <x v="4"/>
    <x v="2"/>
    <x v="9"/>
  </r>
  <r>
    <s v="CA-2016-144092"/>
    <d v="2016-11-05T00:00:00"/>
    <d v="2016-11-07T00:00:00"/>
    <x v="0"/>
    <s v="LH-17155"/>
    <s v="Logan Haushalter"/>
    <x v="0"/>
    <x v="124"/>
    <x v="2"/>
    <x v="1"/>
    <s v="FUR-CH-10004875"/>
    <s v="Furniture"/>
    <x v="1"/>
    <s v="Harbour Creations 67200 Series Stacking Chairs"/>
    <n v="113.88800000000001"/>
    <n v="2"/>
    <n v="9.9651999999999994"/>
    <x v="3"/>
    <x v="0"/>
    <x v="0"/>
  </r>
  <r>
    <s v="CA-2016-132066"/>
    <d v="2016-10-16T00:00:00"/>
    <d v="2016-10-20T00:00:00"/>
    <x v="1"/>
    <s v="NB-18655"/>
    <s v="Nona Balk"/>
    <x v="1"/>
    <x v="13"/>
    <x v="7"/>
    <x v="2"/>
    <s v="FUR-TA-10001539"/>
    <s v="Furniture"/>
    <x v="2"/>
    <s v="Chromcraft Rectangular Conference Tables"/>
    <n v="142.18199999999999"/>
    <n v="1"/>
    <n v="-37.915199999999999"/>
    <x v="4"/>
    <x v="0"/>
    <x v="1"/>
  </r>
  <r>
    <s v="CA-2017-100097"/>
    <d v="2017-11-26T00:00:00"/>
    <d v="2017-11-29T00:00:00"/>
    <x v="0"/>
    <s v="MN-17935"/>
    <s v="Michael Nguyen"/>
    <x v="0"/>
    <x v="13"/>
    <x v="7"/>
    <x v="2"/>
    <s v="FUR-FU-10003623"/>
    <s v="Furniture"/>
    <x v="3"/>
    <s v="DataProducts Ampli Magnifier Task Lamp, Black,"/>
    <n v="135.30000000000001"/>
    <n v="5"/>
    <n v="37.884"/>
    <x v="0"/>
    <x v="3"/>
    <x v="0"/>
  </r>
  <r>
    <s v="US-2017-126053"/>
    <d v="2017-12-05T00:00:00"/>
    <d v="2017-12-08T00:00:00"/>
    <x v="2"/>
    <s v="CS-11950"/>
    <s v="Carlos Soltero"/>
    <x v="0"/>
    <x v="13"/>
    <x v="7"/>
    <x v="2"/>
    <s v="FUR-FU-10001934"/>
    <s v="Furniture"/>
    <x v="3"/>
    <s v="Magnifier Swing Arm Lamp"/>
    <n v="41.96"/>
    <n v="2"/>
    <n v="10.909599999999999"/>
    <x v="0"/>
    <x v="3"/>
    <x v="5"/>
  </r>
  <r>
    <s v="US-2014-131275"/>
    <d v="2014-03-18T00:00:00"/>
    <d v="2014-03-24T00:00:00"/>
    <x v="1"/>
    <s v="SC-20050"/>
    <s v="Sample Company A"/>
    <x v="2"/>
    <x v="323"/>
    <x v="2"/>
    <x v="1"/>
    <s v="FUR-FU-10004597"/>
    <s v="Furniture"/>
    <x v="3"/>
    <s v="Eldon Cleatmat Chair Mats for Medium Pile Carpets"/>
    <n v="111"/>
    <n v="2"/>
    <n v="14.43"/>
    <x v="6"/>
    <x v="2"/>
    <x v="9"/>
  </r>
  <r>
    <s v="CA-2016-149349"/>
    <d v="2016-11-12T00:00:00"/>
    <d v="2016-11-13T00:00:00"/>
    <x v="2"/>
    <s v="SP-20650"/>
    <s v="Stephanie Phelps"/>
    <x v="1"/>
    <x v="9"/>
    <x v="8"/>
    <x v="3"/>
    <s v="FUR-FU-10001037"/>
    <s v="Furniture"/>
    <x v="3"/>
    <s v="DAX Charcoal/Nickel-Tone Document Frame, 5 x 7"/>
    <n v="22.751999999999999"/>
    <n v="6"/>
    <n v="-8.532"/>
    <x v="5"/>
    <x v="0"/>
    <x v="0"/>
  </r>
  <r>
    <s v="CA-2015-125563"/>
    <d v="2015-04-11T00:00:00"/>
    <d v="2015-04-17T00:00:00"/>
    <x v="1"/>
    <s v="PR-18880"/>
    <s v="Patrick Ryan"/>
    <x v="0"/>
    <x v="26"/>
    <x v="1"/>
    <x v="0"/>
    <s v="FUR-FU-10001290"/>
    <s v="Furniture"/>
    <x v="3"/>
    <s v="Executive Impressions Supervisor Wall Clock"/>
    <n v="67.36"/>
    <n v="2"/>
    <n v="10.103999999999999"/>
    <x v="6"/>
    <x v="1"/>
    <x v="6"/>
  </r>
  <r>
    <s v="CA-2015-125563"/>
    <d v="2015-04-11T00:00:00"/>
    <d v="2015-04-17T00:00:00"/>
    <x v="1"/>
    <s v="PR-18880"/>
    <s v="Patrick Ryan"/>
    <x v="0"/>
    <x v="26"/>
    <x v="1"/>
    <x v="0"/>
    <s v="FUR-FU-10000087"/>
    <s v="Furniture"/>
    <x v="3"/>
    <s v="Executive Impressions 14&quot; Two-Color Numerals Wall Clock"/>
    <n v="54.527999999999999"/>
    <n v="3"/>
    <n v="14.313599999999999"/>
    <x v="6"/>
    <x v="1"/>
    <x v="6"/>
  </r>
  <r>
    <s v="CA-2015-113152"/>
    <d v="2015-12-25T00:00:00"/>
    <d v="2015-12-30T00:00:00"/>
    <x v="1"/>
    <s v="JK-15625"/>
    <s v="Jim Karlsson"/>
    <x v="0"/>
    <x v="13"/>
    <x v="7"/>
    <x v="2"/>
    <s v="FUR-BO-10002613"/>
    <s v="Furniture"/>
    <x v="0"/>
    <s v="Atlantic Metals Mobile 4-Shelf Bookcases, Custom Colors"/>
    <n v="449.56799999999998"/>
    <n v="2"/>
    <n v="56.195999999999998"/>
    <x v="2"/>
    <x v="1"/>
    <x v="5"/>
  </r>
  <r>
    <s v="CA-2014-163412"/>
    <d v="2014-12-20T00:00:00"/>
    <d v="2014-12-23T00:00:00"/>
    <x v="0"/>
    <s v="SM-20950"/>
    <s v="Suzanne McNair"/>
    <x v="1"/>
    <x v="13"/>
    <x v="7"/>
    <x v="2"/>
    <s v="FUR-CH-10004875"/>
    <s v="Furniture"/>
    <x v="1"/>
    <s v="Harbour Creations 67200 Series Stacking Chairs"/>
    <n v="192.18600000000001"/>
    <n v="3"/>
    <n v="36.3018"/>
    <x v="0"/>
    <x v="2"/>
    <x v="5"/>
  </r>
  <r>
    <s v="CA-2014-116190"/>
    <d v="2014-07-26T00:00:00"/>
    <d v="2014-08-01T00:00:00"/>
    <x v="1"/>
    <s v="SG-20470"/>
    <s v="Sheri Gordon"/>
    <x v="0"/>
    <x v="182"/>
    <x v="24"/>
    <x v="0"/>
    <s v="FUR-CH-10000553"/>
    <s v="Furniture"/>
    <x v="1"/>
    <s v="Metal Folding Chairs, Beige, 4/Carton"/>
    <n v="67.88"/>
    <n v="2"/>
    <n v="18.3276"/>
    <x v="6"/>
    <x v="2"/>
    <x v="3"/>
  </r>
  <r>
    <s v="CA-2014-116190"/>
    <d v="2014-07-26T00:00:00"/>
    <d v="2014-08-01T00:00:00"/>
    <x v="1"/>
    <s v="SG-20470"/>
    <s v="Sheri Gordon"/>
    <x v="0"/>
    <x v="182"/>
    <x v="24"/>
    <x v="0"/>
    <s v="FUR-FU-10000719"/>
    <s v="Furniture"/>
    <x v="3"/>
    <s v="DAX Cubicle Frames, 8-1/2 x 11"/>
    <n v="25.71"/>
    <n v="3"/>
    <n v="9.2555999999999994"/>
    <x v="6"/>
    <x v="2"/>
    <x v="3"/>
  </r>
  <r>
    <s v="CA-2017-168389"/>
    <d v="2017-12-11T00:00:00"/>
    <d v="2017-12-17T00:00:00"/>
    <x v="1"/>
    <s v="DV-13045"/>
    <s v="Darrin Van Huff"/>
    <x v="1"/>
    <x v="51"/>
    <x v="1"/>
    <x v="0"/>
    <s v="FUR-TA-10004289"/>
    <s v="Furniture"/>
    <x v="2"/>
    <s v="BoxOffice By Design Rectangular and Half-Moon Meeting Room Tables"/>
    <n v="721.875"/>
    <n v="6"/>
    <n v="-420"/>
    <x v="6"/>
    <x v="3"/>
    <x v="5"/>
  </r>
  <r>
    <s v="CA-2017-168389"/>
    <d v="2017-12-11T00:00:00"/>
    <d v="2017-12-17T00:00:00"/>
    <x v="1"/>
    <s v="DV-13045"/>
    <s v="Darrin Van Huff"/>
    <x v="1"/>
    <x v="51"/>
    <x v="1"/>
    <x v="0"/>
    <s v="FUR-CH-10000225"/>
    <s v="Furniture"/>
    <x v="1"/>
    <s v="Global Geo Office Task Chair, Gray"/>
    <n v="64.784000000000006"/>
    <n v="1"/>
    <n v="-12.147"/>
    <x v="6"/>
    <x v="3"/>
    <x v="5"/>
  </r>
  <r>
    <s v="CA-2016-114748"/>
    <d v="2016-10-09T00:00:00"/>
    <d v="2016-10-14T00:00:00"/>
    <x v="1"/>
    <s v="MZ-17335"/>
    <s v="Maria Zettner"/>
    <x v="2"/>
    <x v="43"/>
    <x v="22"/>
    <x v="1"/>
    <s v="FUR-FU-10001488"/>
    <s v="Furniture"/>
    <x v="3"/>
    <s v="Tenex 46&quot; x 60&quot; Computer Anti-Static Chairmat, Rectangular Shaped"/>
    <n v="169.56800000000001"/>
    <n v="2"/>
    <n v="0"/>
    <x v="2"/>
    <x v="0"/>
    <x v="1"/>
  </r>
  <r>
    <s v="US-2014-115189"/>
    <d v="2014-12-30T00:00:00"/>
    <d v="2015-01-03T00:00:00"/>
    <x v="0"/>
    <s v="AR-10345"/>
    <s v="Alex Russell"/>
    <x v="1"/>
    <x v="3"/>
    <x v="3"/>
    <x v="2"/>
    <s v="FUR-TA-10004575"/>
    <s v="Furniture"/>
    <x v="2"/>
    <s v="Hon 5100 Series Wood Tables"/>
    <n v="523.76400000000001"/>
    <n v="3"/>
    <n v="-192.04679999999999"/>
    <x v="4"/>
    <x v="2"/>
    <x v="5"/>
  </r>
  <r>
    <s v="CA-2016-163594"/>
    <d v="2016-04-12T00:00:00"/>
    <d v="2016-04-14T00:00:00"/>
    <x v="2"/>
    <s v="JF-15295"/>
    <s v="Jason Fortune-"/>
    <x v="0"/>
    <x v="2"/>
    <x v="2"/>
    <x v="1"/>
    <s v="FUR-CH-10000225"/>
    <s v="Furniture"/>
    <x v="1"/>
    <s v="Global Geo Office Task Chair, Gray"/>
    <n v="194.352"/>
    <n v="3"/>
    <n v="-36.441000000000003"/>
    <x v="3"/>
    <x v="0"/>
    <x v="6"/>
  </r>
  <r>
    <s v="CA-2016-127243"/>
    <d v="2016-11-28T00:00:00"/>
    <d v="2016-12-04T00:00:00"/>
    <x v="1"/>
    <s v="DS-13180"/>
    <s v="David Smith"/>
    <x v="1"/>
    <x v="3"/>
    <x v="3"/>
    <x v="2"/>
    <s v="FUR-CH-10002647"/>
    <s v="Furniture"/>
    <x v="1"/>
    <s v="Situations Contoured Folding Chairs, 4/Set"/>
    <n v="347.80200000000002"/>
    <n v="7"/>
    <n v="-24.843"/>
    <x v="6"/>
    <x v="0"/>
    <x v="0"/>
  </r>
  <r>
    <s v="CA-2016-105732"/>
    <d v="2016-09-13T00:00:00"/>
    <d v="2016-09-18T00:00:00"/>
    <x v="1"/>
    <s v="AG-10270"/>
    <s v="Alejandro Grove"/>
    <x v="0"/>
    <x v="70"/>
    <x v="27"/>
    <x v="3"/>
    <s v="FUR-FU-10003664"/>
    <s v="Furniture"/>
    <x v="3"/>
    <s v="Electrix Architect's Clamp-On Swing Arm Lamp, Black"/>
    <n v="1336.44"/>
    <n v="14"/>
    <n v="387.56760000000003"/>
    <x v="2"/>
    <x v="0"/>
    <x v="4"/>
  </r>
  <r>
    <s v="CA-2017-108035"/>
    <d v="2017-11-29T00:00:00"/>
    <d v="2017-12-03T00:00:00"/>
    <x v="1"/>
    <s v="TT-21070"/>
    <s v="Ted Trevino"/>
    <x v="0"/>
    <x v="196"/>
    <x v="9"/>
    <x v="0"/>
    <s v="FUR-CH-10000454"/>
    <s v="Furniture"/>
    <x v="1"/>
    <s v="Hon Deluxe Fabric Upholstered Stacking Chairs, Rounded Back"/>
    <n v="390.36799999999999"/>
    <n v="2"/>
    <n v="48.795999999999999"/>
    <x v="4"/>
    <x v="3"/>
    <x v="0"/>
  </r>
  <r>
    <s v="CA-2017-108035"/>
    <d v="2017-11-29T00:00:00"/>
    <d v="2017-12-03T00:00:00"/>
    <x v="1"/>
    <s v="TT-21070"/>
    <s v="Ted Trevino"/>
    <x v="0"/>
    <x v="196"/>
    <x v="9"/>
    <x v="0"/>
    <s v="FUR-FU-10004017"/>
    <s v="Furniture"/>
    <x v="3"/>
    <s v="Executive Impressions 13&quot; Chairman Wall Clock"/>
    <n v="101.52"/>
    <n v="5"/>
    <n v="19.035"/>
    <x v="4"/>
    <x v="3"/>
    <x v="0"/>
  </r>
  <r>
    <s v="CA-2016-110975"/>
    <d v="2016-12-25T00:00:00"/>
    <d v="2016-12-30T00:00:00"/>
    <x v="1"/>
    <s v="DB-12970"/>
    <s v="Darren Budd"/>
    <x v="1"/>
    <x v="13"/>
    <x v="7"/>
    <x v="2"/>
    <s v="FUR-TA-10002958"/>
    <s v="Furniture"/>
    <x v="2"/>
    <s v="Bevis Oval Conference Table, Walnut"/>
    <n v="313.17599999999999"/>
    <n v="2"/>
    <n v="-120.0508"/>
    <x v="2"/>
    <x v="0"/>
    <x v="5"/>
  </r>
  <r>
    <s v="CA-2016-110975"/>
    <d v="2016-12-25T00:00:00"/>
    <d v="2016-12-30T00:00:00"/>
    <x v="1"/>
    <s v="DB-12970"/>
    <s v="Darren Budd"/>
    <x v="1"/>
    <x v="13"/>
    <x v="7"/>
    <x v="2"/>
    <s v="FUR-CH-10003746"/>
    <s v="Furniture"/>
    <x v="1"/>
    <s v="Hon 4070 Series Pagoda Round Back Stacking Chairs"/>
    <n v="866.64599999999996"/>
    <n v="3"/>
    <n v="173.32919999999999"/>
    <x v="2"/>
    <x v="0"/>
    <x v="5"/>
  </r>
  <r>
    <s v="CA-2016-110009"/>
    <d v="2016-09-08T00:00:00"/>
    <d v="2016-09-13T00:00:00"/>
    <x v="1"/>
    <s v="TR-21325"/>
    <s v="Toby Ritter"/>
    <x v="0"/>
    <x v="15"/>
    <x v="13"/>
    <x v="1"/>
    <s v="FUR-FU-10003039"/>
    <s v="Furniture"/>
    <x v="3"/>
    <s v="Howard Miller 11-1/2&quot; Diameter Grantwood Wall Clock"/>
    <n v="43.13"/>
    <n v="1"/>
    <n v="14.664199999999999"/>
    <x v="2"/>
    <x v="0"/>
    <x v="4"/>
  </r>
  <r>
    <s v="CA-2015-100146"/>
    <d v="2015-05-14T00:00:00"/>
    <d v="2015-05-19T00:00:00"/>
    <x v="1"/>
    <s v="CB-12535"/>
    <s v="Claudia Bergmann"/>
    <x v="1"/>
    <x v="324"/>
    <x v="2"/>
    <x v="1"/>
    <s v="FUR-BO-10004015"/>
    <s v="Furniture"/>
    <x v="0"/>
    <s v="Bush Andora Bookcase, Maple/Graphite Gray Finish"/>
    <n v="509.95749999999998"/>
    <n v="5"/>
    <n v="41.996499999999997"/>
    <x v="2"/>
    <x v="1"/>
    <x v="7"/>
  </r>
  <r>
    <s v="CA-2015-100146"/>
    <d v="2015-05-14T00:00:00"/>
    <d v="2015-05-19T00:00:00"/>
    <x v="1"/>
    <s v="CB-12535"/>
    <s v="Claudia Bergmann"/>
    <x v="1"/>
    <x v="324"/>
    <x v="2"/>
    <x v="1"/>
    <s v="FUR-FU-10001979"/>
    <s v="Furniture"/>
    <x v="3"/>
    <s v="Dana Halogen Swing-Arm Architect Lamp"/>
    <n v="122.91"/>
    <n v="3"/>
    <n v="34.4148"/>
    <x v="2"/>
    <x v="1"/>
    <x v="7"/>
  </r>
  <r>
    <s v="CA-2015-100146"/>
    <d v="2015-05-14T00:00:00"/>
    <d v="2015-05-19T00:00:00"/>
    <x v="1"/>
    <s v="CB-12535"/>
    <s v="Claudia Bergmann"/>
    <x v="1"/>
    <x v="324"/>
    <x v="2"/>
    <x v="1"/>
    <s v="FUR-CH-10003833"/>
    <s v="Furniture"/>
    <x v="1"/>
    <s v="Novimex Fabric Task Chair"/>
    <n v="97.567999999999998"/>
    <n v="2"/>
    <n v="-6.0979999999999999"/>
    <x v="2"/>
    <x v="1"/>
    <x v="7"/>
  </r>
  <r>
    <s v="CA-2015-100146"/>
    <d v="2015-05-14T00:00:00"/>
    <d v="2015-05-19T00:00:00"/>
    <x v="1"/>
    <s v="CB-12535"/>
    <s v="Claudia Bergmann"/>
    <x v="1"/>
    <x v="324"/>
    <x v="2"/>
    <x v="1"/>
    <s v="FUR-CH-10004495"/>
    <s v="Furniture"/>
    <x v="1"/>
    <s v="Global Leather and Oak Executive Chair, Black"/>
    <n v="722.35199999999998"/>
    <n v="3"/>
    <n v="81.264600000000002"/>
    <x v="2"/>
    <x v="1"/>
    <x v="7"/>
  </r>
  <r>
    <s v="CA-2016-129728"/>
    <d v="2016-05-30T00:00:00"/>
    <d v="2016-06-06T00:00:00"/>
    <x v="1"/>
    <s v="JG-15310"/>
    <s v="Jason Gross"/>
    <x v="1"/>
    <x v="2"/>
    <x v="2"/>
    <x v="1"/>
    <s v="FUR-FU-10003247"/>
    <s v="Furniture"/>
    <x v="3"/>
    <s v="36X48 HARDFLOOR CHAIRMAT"/>
    <n v="167.84"/>
    <n v="8"/>
    <n v="11.748799999999999"/>
    <x v="1"/>
    <x v="0"/>
    <x v="7"/>
  </r>
  <r>
    <s v="CA-2014-121769"/>
    <d v="2014-04-08T00:00:00"/>
    <d v="2014-04-12T00:00:00"/>
    <x v="1"/>
    <s v="JS-15880"/>
    <s v="John Stevenson"/>
    <x v="0"/>
    <x v="219"/>
    <x v="15"/>
    <x v="2"/>
    <s v="FUR-TA-10004442"/>
    <s v="Furniture"/>
    <x v="2"/>
    <s v="Riverside Furniture Stanwyck Manor Table Series"/>
    <n v="172.11"/>
    <n v="1"/>
    <n v="-94.660499999999999"/>
    <x v="4"/>
    <x v="2"/>
    <x v="6"/>
  </r>
  <r>
    <s v="CA-2017-121125"/>
    <d v="2017-05-30T00:00:00"/>
    <d v="2017-06-03T00:00:00"/>
    <x v="1"/>
    <s v="MG-17890"/>
    <s v="Michael Granlund"/>
    <x v="2"/>
    <x v="325"/>
    <x v="36"/>
    <x v="1"/>
    <s v="FUR-FU-10000820"/>
    <s v="Furniture"/>
    <x v="3"/>
    <s v="Tensor Brushed Steel Torchiere Floor Lamp"/>
    <n v="13.592000000000001"/>
    <n v="1"/>
    <n v="-0.33979999999999999"/>
    <x v="4"/>
    <x v="3"/>
    <x v="7"/>
  </r>
  <r>
    <s v="US-2016-114013"/>
    <d v="2016-03-13T00:00:00"/>
    <d v="2016-03-15T00:00:00"/>
    <x v="0"/>
    <s v="SC-20770"/>
    <s v="Stewart Carmichael"/>
    <x v="1"/>
    <x v="3"/>
    <x v="3"/>
    <x v="2"/>
    <s v="FUR-CH-10004287"/>
    <s v="Furniture"/>
    <x v="1"/>
    <s v="SAFCO Arco Folding Chair"/>
    <n v="386.68"/>
    <n v="2"/>
    <n v="-5.524"/>
    <x v="3"/>
    <x v="0"/>
    <x v="9"/>
  </r>
  <r>
    <s v="CA-2017-135069"/>
    <d v="2017-04-10T00:00:00"/>
    <d v="2017-04-14T00:00:00"/>
    <x v="1"/>
    <s v="BS-11755"/>
    <s v="Bruce Stewart"/>
    <x v="0"/>
    <x v="3"/>
    <x v="3"/>
    <x v="2"/>
    <s v="FUR-FU-10003878"/>
    <s v="Furniture"/>
    <x v="3"/>
    <s v="Linden 10&quot; Round Wall Clock, Black"/>
    <n v="36.671999999999997"/>
    <n v="3"/>
    <n v="6.4176000000000002"/>
    <x v="4"/>
    <x v="3"/>
    <x v="6"/>
  </r>
  <r>
    <s v="CA-2016-101693"/>
    <d v="2016-06-25T00:00:00"/>
    <d v="2016-06-27T00:00:00"/>
    <x v="0"/>
    <s v="LC-17140"/>
    <s v="Logan Currie"/>
    <x v="0"/>
    <x v="6"/>
    <x v="5"/>
    <x v="3"/>
    <s v="FUR-CH-10001146"/>
    <s v="Furniture"/>
    <x v="1"/>
    <s v="Global Value Mid-Back Manager's Chair, Gray"/>
    <n v="85.245999999999995"/>
    <n v="2"/>
    <n v="-6.0890000000000004"/>
    <x v="3"/>
    <x v="0"/>
    <x v="2"/>
  </r>
  <r>
    <s v="CA-2016-101693"/>
    <d v="2016-06-25T00:00:00"/>
    <d v="2016-06-27T00:00:00"/>
    <x v="0"/>
    <s v="LC-17140"/>
    <s v="Logan Currie"/>
    <x v="0"/>
    <x v="6"/>
    <x v="5"/>
    <x v="3"/>
    <s v="FUR-FU-10003919"/>
    <s v="Furniture"/>
    <x v="3"/>
    <s v="Eldon Executive Woodline II Cherry Finish Desk Accessories"/>
    <n v="32.712000000000003"/>
    <n v="2"/>
    <n v="-26.169599999999999"/>
    <x v="3"/>
    <x v="0"/>
    <x v="2"/>
  </r>
  <r>
    <s v="CA-2015-145457"/>
    <d v="2015-03-24T00:00:00"/>
    <d v="2015-03-27T00:00:00"/>
    <x v="0"/>
    <s v="CP-12085"/>
    <s v="Cathy Prescott"/>
    <x v="1"/>
    <x v="326"/>
    <x v="13"/>
    <x v="1"/>
    <s v="FUR-FU-10003832"/>
    <s v="Furniture"/>
    <x v="3"/>
    <s v="Eldon Expressions Punched Metal &amp; Wood Desk Accessories, Black &amp; Cherry"/>
    <n v="46.9"/>
    <n v="5"/>
    <n v="13.132"/>
    <x v="0"/>
    <x v="1"/>
    <x v="9"/>
  </r>
  <r>
    <s v="US-2017-163657"/>
    <d v="2017-09-02T00:00:00"/>
    <d v="2017-09-06T00:00:00"/>
    <x v="1"/>
    <s v="JL-15235"/>
    <s v="Janet Lee"/>
    <x v="0"/>
    <x v="2"/>
    <x v="2"/>
    <x v="1"/>
    <s v="FUR-TA-10004607"/>
    <s v="Furniture"/>
    <x v="2"/>
    <s v="Hon 2111 Invitation Series Straight Table"/>
    <n v="236.52799999999999"/>
    <n v="2"/>
    <n v="-2.9565999999999999"/>
    <x v="4"/>
    <x v="3"/>
    <x v="4"/>
  </r>
  <r>
    <s v="CA-2017-127474"/>
    <d v="2017-02-03T00:00:00"/>
    <d v="2017-02-07T00:00:00"/>
    <x v="0"/>
    <s v="RD-19810"/>
    <s v="Ross DeVincentis"/>
    <x v="2"/>
    <x v="9"/>
    <x v="8"/>
    <x v="3"/>
    <s v="FUR-FU-10004597"/>
    <s v="Furniture"/>
    <x v="3"/>
    <s v="Eldon Cleatmat Chair Mats for Medium Pile Carpets"/>
    <n v="22.2"/>
    <n v="1"/>
    <n v="-26.085000000000001"/>
    <x v="4"/>
    <x v="3"/>
    <x v="11"/>
  </r>
  <r>
    <s v="CA-2017-115448"/>
    <d v="2017-11-11T00:00:00"/>
    <d v="2017-11-14T00:00:00"/>
    <x v="2"/>
    <s v="MH-18025"/>
    <s v="Michelle Huthwaite"/>
    <x v="0"/>
    <x v="270"/>
    <x v="9"/>
    <x v="0"/>
    <s v="FUR-FU-10004090"/>
    <s v="Furniture"/>
    <x v="3"/>
    <s v="Executive Impressions 14&quot; Contract Wall Clock"/>
    <n v="88.92"/>
    <n v="5"/>
    <n v="14.4495"/>
    <x v="0"/>
    <x v="3"/>
    <x v="0"/>
  </r>
  <r>
    <s v="CA-2017-105669"/>
    <d v="2017-09-17T00:00:00"/>
    <d v="2017-09-22T00:00:00"/>
    <x v="0"/>
    <s v="SJ-20125"/>
    <s v="Sanjit Jacobs"/>
    <x v="2"/>
    <x v="6"/>
    <x v="5"/>
    <x v="3"/>
    <s v="FUR-CH-10003774"/>
    <s v="Furniture"/>
    <x v="1"/>
    <s v="Global Wood Trimmed Manager's Task Chair, Khaki"/>
    <n v="318.43"/>
    <n v="5"/>
    <n v="-77.332999999999998"/>
    <x v="2"/>
    <x v="3"/>
    <x v="4"/>
  </r>
  <r>
    <s v="CA-2015-137974"/>
    <d v="2015-04-16T00:00:00"/>
    <d v="2015-04-18T00:00:00"/>
    <x v="2"/>
    <s v="LL-16840"/>
    <s v="Lauren Leatherbury"/>
    <x v="0"/>
    <x v="61"/>
    <x v="25"/>
    <x v="0"/>
    <s v="FUR-FU-10001468"/>
    <s v="Furniture"/>
    <x v="3"/>
    <s v="Tenex Antistatic Computer Chair Mats"/>
    <n v="1196.8599999999999"/>
    <n v="7"/>
    <n v="119.68600000000001"/>
    <x v="3"/>
    <x v="1"/>
    <x v="6"/>
  </r>
  <r>
    <s v="CA-2015-137974"/>
    <d v="2015-04-16T00:00:00"/>
    <d v="2015-04-18T00:00:00"/>
    <x v="2"/>
    <s v="LL-16840"/>
    <s v="Lauren Leatherbury"/>
    <x v="0"/>
    <x v="61"/>
    <x v="25"/>
    <x v="0"/>
    <s v="FUR-BO-10001519"/>
    <s v="Furniture"/>
    <x v="0"/>
    <s v="O'Sullivan 3-Shelf Heavy-Duty Bookcases"/>
    <n v="523.26"/>
    <n v="9"/>
    <n v="125.58240000000001"/>
    <x v="3"/>
    <x v="1"/>
    <x v="6"/>
  </r>
  <r>
    <s v="CA-2017-148985"/>
    <d v="2017-11-11T00:00:00"/>
    <d v="2017-11-15T00:00:00"/>
    <x v="0"/>
    <s v="TB-21190"/>
    <s v="Thomas Brumley"/>
    <x v="2"/>
    <x v="2"/>
    <x v="2"/>
    <x v="1"/>
    <s v="FUR-FU-10001424"/>
    <s v="Furniture"/>
    <x v="3"/>
    <s v="Dax Clear Box Frame"/>
    <n v="34.92"/>
    <n v="4"/>
    <n v="11.8728"/>
    <x v="4"/>
    <x v="3"/>
    <x v="0"/>
  </r>
  <r>
    <s v="CA-2014-138100"/>
    <d v="2014-09-15T00:00:00"/>
    <d v="2014-09-20T00:00:00"/>
    <x v="1"/>
    <s v="AA-10315"/>
    <s v="Alex Avila"/>
    <x v="0"/>
    <x v="13"/>
    <x v="7"/>
    <x v="2"/>
    <s v="FUR-FU-10002456"/>
    <s v="Furniture"/>
    <x v="3"/>
    <s v="Master Caster Door Stop, Large Neon Orange"/>
    <n v="14.56"/>
    <n v="2"/>
    <n v="6.2607999999999997"/>
    <x v="2"/>
    <x v="2"/>
    <x v="4"/>
  </r>
  <r>
    <s v="CA-2014-167199"/>
    <d v="2014-01-06T00:00:00"/>
    <d v="2014-01-10T00:00:00"/>
    <x v="1"/>
    <s v="ME-17320"/>
    <s v="Maria Etezadi"/>
    <x v="2"/>
    <x v="0"/>
    <x v="0"/>
    <x v="0"/>
    <s v="FUR-CH-10004063"/>
    <s v="Furniture"/>
    <x v="1"/>
    <s v="Global Deluxe High-Back Manager's Chair"/>
    <n v="2573.8200000000002"/>
    <n v="9"/>
    <n v="746.40779999999995"/>
    <x v="4"/>
    <x v="2"/>
    <x v="8"/>
  </r>
  <r>
    <s v="CA-2014-129938"/>
    <d v="2014-12-15T00:00:00"/>
    <d v="2014-12-17T00:00:00"/>
    <x v="0"/>
    <s v="EB-13705"/>
    <s v="Ed Braxton"/>
    <x v="1"/>
    <x v="3"/>
    <x v="3"/>
    <x v="2"/>
    <s v="FUR-CH-10003774"/>
    <s v="Furniture"/>
    <x v="1"/>
    <s v="Global Wood Trimmed Manager's Task Chair, Khaki"/>
    <n v="445.80200000000002"/>
    <n v="7"/>
    <n v="-108.2662"/>
    <x v="3"/>
    <x v="2"/>
    <x v="5"/>
  </r>
  <r>
    <s v="US-2015-134558"/>
    <d v="2015-12-19T00:00:00"/>
    <d v="2015-12-24T00:00:00"/>
    <x v="0"/>
    <s v="PM-19135"/>
    <s v="Peter McVee"/>
    <x v="2"/>
    <x v="63"/>
    <x v="28"/>
    <x v="2"/>
    <s v="FUR-TA-10003473"/>
    <s v="Furniture"/>
    <x v="2"/>
    <s v="Bretford Rectangular Conference Table Tops"/>
    <n v="1053.164"/>
    <n v="4"/>
    <n v="-105.3164"/>
    <x v="2"/>
    <x v="1"/>
    <x v="5"/>
  </r>
  <r>
    <s v="CA-2015-108672"/>
    <d v="2015-09-10T00:00:00"/>
    <d v="2015-09-16T00:00:00"/>
    <x v="1"/>
    <s v="FA-14230"/>
    <s v="Frank Atkinson"/>
    <x v="1"/>
    <x v="2"/>
    <x v="2"/>
    <x v="1"/>
    <s v="FUR-FU-10003799"/>
    <s v="Furniture"/>
    <x v="3"/>
    <s v="Seth Thomas 13 1/2&quot; Wall Clock"/>
    <n v="106.68"/>
    <n v="6"/>
    <n v="33.070799999999998"/>
    <x v="6"/>
    <x v="1"/>
    <x v="4"/>
  </r>
  <r>
    <s v="US-2017-160836"/>
    <d v="2017-09-11T00:00:00"/>
    <d v="2017-09-16T00:00:00"/>
    <x v="1"/>
    <s v="CC-12475"/>
    <s v="Cindy Chapman"/>
    <x v="0"/>
    <x v="6"/>
    <x v="5"/>
    <x v="3"/>
    <s v="FUR-TA-10002855"/>
    <s v="Furniture"/>
    <x v="2"/>
    <s v="Bevis Round Conference Table Top &amp; Single Column Base"/>
    <n v="512.19000000000005"/>
    <n v="5"/>
    <n v="-65.852999999999994"/>
    <x v="2"/>
    <x v="3"/>
    <x v="4"/>
  </r>
  <r>
    <s v="CA-2017-121048"/>
    <d v="2017-07-14T00:00:00"/>
    <d v="2017-07-18T00:00:00"/>
    <x v="1"/>
    <s v="TC-21295"/>
    <s v="Toby Carlisle"/>
    <x v="0"/>
    <x v="327"/>
    <x v="2"/>
    <x v="1"/>
    <s v="FUR-FU-10003601"/>
    <s v="Furniture"/>
    <x v="3"/>
    <s v="Deflect-o RollaMat Studded, Beveled Mat for Medium Pile Carpeting"/>
    <n v="276.69"/>
    <n v="3"/>
    <n v="49.804200000000002"/>
    <x v="4"/>
    <x v="3"/>
    <x v="3"/>
  </r>
  <r>
    <s v="CA-2017-121048"/>
    <d v="2017-07-14T00:00:00"/>
    <d v="2017-07-18T00:00:00"/>
    <x v="1"/>
    <s v="TC-21295"/>
    <s v="Toby Carlisle"/>
    <x v="0"/>
    <x v="327"/>
    <x v="2"/>
    <x v="1"/>
    <s v="FUR-FU-10002960"/>
    <s v="Furniture"/>
    <x v="3"/>
    <s v="Eldon 200 Class Desk Accessories, Burgundy"/>
    <n v="18.84"/>
    <n v="3"/>
    <n v="7.9127999999999998"/>
    <x v="4"/>
    <x v="3"/>
    <x v="3"/>
  </r>
  <r>
    <s v="US-2017-161935"/>
    <d v="2017-07-14T00:00:00"/>
    <d v="2017-07-18T00:00:00"/>
    <x v="1"/>
    <s v="JL-15835"/>
    <s v="John Lee"/>
    <x v="0"/>
    <x v="29"/>
    <x v="15"/>
    <x v="2"/>
    <s v="FUR-FU-10002937"/>
    <s v="Furniture"/>
    <x v="3"/>
    <s v="GE 48&quot; Fluorescent Tube, Cool White Energy Saver, 34 Watts, 30/Box"/>
    <n v="396.92"/>
    <n v="5"/>
    <n v="148.845"/>
    <x v="4"/>
    <x v="3"/>
    <x v="3"/>
  </r>
  <r>
    <s v="CA-2016-162383"/>
    <d v="2016-09-05T00:00:00"/>
    <d v="2016-09-11T00:00:00"/>
    <x v="1"/>
    <s v="MD-17350"/>
    <s v="Maribeth Dona"/>
    <x v="0"/>
    <x v="68"/>
    <x v="15"/>
    <x v="2"/>
    <s v="FUR-CH-10004477"/>
    <s v="Furniture"/>
    <x v="1"/>
    <s v="Global Push Button Manager's Chair, Indigo"/>
    <n v="85.245999999999995"/>
    <n v="2"/>
    <n v="-1.2178"/>
    <x v="6"/>
    <x v="0"/>
    <x v="4"/>
  </r>
  <r>
    <s v="CA-2014-125731"/>
    <d v="2014-09-10T00:00:00"/>
    <d v="2014-09-16T00:00:00"/>
    <x v="1"/>
    <s v="CL-12565"/>
    <s v="Clay Ludtke"/>
    <x v="0"/>
    <x v="195"/>
    <x v="36"/>
    <x v="1"/>
    <s v="FUR-CH-10003973"/>
    <s v="Furniture"/>
    <x v="1"/>
    <s v="GuestStacker Chair with Chrome Finish Legs"/>
    <n v="1487.04"/>
    <n v="5"/>
    <n v="148.70400000000001"/>
    <x v="6"/>
    <x v="2"/>
    <x v="4"/>
  </r>
  <r>
    <s v="US-2017-106145"/>
    <d v="2017-09-26T00:00:00"/>
    <d v="2017-09-26T00:00:00"/>
    <x v="3"/>
    <s v="RA-19885"/>
    <s v="Ruben Ausman"/>
    <x v="1"/>
    <x v="28"/>
    <x v="2"/>
    <x v="1"/>
    <s v="FUR-FU-10003829"/>
    <s v="Furniture"/>
    <x v="3"/>
    <s v="Stackable Trays"/>
    <n v="9.24"/>
    <n v="3"/>
    <n v="2.9567999999999999"/>
    <x v="7"/>
    <x v="3"/>
    <x v="4"/>
  </r>
  <r>
    <s v="CA-2016-107146"/>
    <d v="2016-06-17T00:00:00"/>
    <d v="2016-06-19T00:00:00"/>
    <x v="2"/>
    <s v="LC-16885"/>
    <s v="Lena Creighton"/>
    <x v="0"/>
    <x v="328"/>
    <x v="12"/>
    <x v="1"/>
    <s v="FUR-FU-10002298"/>
    <s v="Furniture"/>
    <x v="3"/>
    <s v="Rubbermaid ClusterMat Chairmats, Mat Size- 66&quot; x 60&quot;, Lip 20&quot; x 11&quot; -90 Degree Angle"/>
    <n v="266.35199999999998"/>
    <n v="3"/>
    <n v="-13.317600000000001"/>
    <x v="3"/>
    <x v="0"/>
    <x v="2"/>
  </r>
  <r>
    <s v="CA-2016-107146"/>
    <d v="2016-06-17T00:00:00"/>
    <d v="2016-06-19T00:00:00"/>
    <x v="2"/>
    <s v="LC-16885"/>
    <s v="Lena Creighton"/>
    <x v="0"/>
    <x v="328"/>
    <x v="12"/>
    <x v="1"/>
    <s v="FUR-CH-10004853"/>
    <s v="Furniture"/>
    <x v="1"/>
    <s v="Global Manager's Adjustable Task Chair, Storm"/>
    <n v="483.13600000000002"/>
    <n v="4"/>
    <n v="54.352800000000002"/>
    <x v="3"/>
    <x v="0"/>
    <x v="2"/>
  </r>
  <r>
    <s v="US-2017-134642"/>
    <d v="2017-02-25T00:00:00"/>
    <d v="2017-03-01T00:00:00"/>
    <x v="1"/>
    <s v="SW-20245"/>
    <s v="Scot Wooten"/>
    <x v="0"/>
    <x v="329"/>
    <x v="30"/>
    <x v="0"/>
    <s v="FUR-CH-10002880"/>
    <s v="Furniture"/>
    <x v="1"/>
    <s v="Global High-Back Leather Tilter, Burgundy"/>
    <n v="196.78399999999999"/>
    <n v="2"/>
    <n v="-22.138200000000001"/>
    <x v="4"/>
    <x v="3"/>
    <x v="11"/>
  </r>
  <r>
    <s v="US-2017-134642"/>
    <d v="2017-02-25T00:00:00"/>
    <d v="2017-03-01T00:00:00"/>
    <x v="1"/>
    <s v="SW-20245"/>
    <s v="Scot Wooten"/>
    <x v="0"/>
    <x v="329"/>
    <x v="30"/>
    <x v="0"/>
    <s v="FUR-BO-10004709"/>
    <s v="Furniture"/>
    <x v="0"/>
    <s v="Bush Westfield Collection Bookcases, Medium Cherry Finish"/>
    <n v="231.92"/>
    <n v="5"/>
    <n v="5.798"/>
    <x v="4"/>
    <x v="3"/>
    <x v="11"/>
  </r>
  <r>
    <s v="CA-2017-103415"/>
    <d v="2017-12-03T00:00:00"/>
    <d v="2017-12-08T00:00:00"/>
    <x v="1"/>
    <s v="MV-17485"/>
    <s v="Mark Van Huff"/>
    <x v="0"/>
    <x v="6"/>
    <x v="5"/>
    <x v="3"/>
    <s v="FUR-FU-10000820"/>
    <s v="Furniture"/>
    <x v="3"/>
    <s v="Tensor Brushed Steel Torchiere Floor Lamp"/>
    <n v="13.592000000000001"/>
    <n v="2"/>
    <n v="-14.271599999999999"/>
    <x v="2"/>
    <x v="3"/>
    <x v="5"/>
  </r>
  <r>
    <s v="US-2017-112347"/>
    <d v="2017-12-02T00:00:00"/>
    <d v="2017-12-06T00:00:00"/>
    <x v="1"/>
    <s v="BS-11380"/>
    <s v="Bill Stewart"/>
    <x v="1"/>
    <x v="22"/>
    <x v="12"/>
    <x v="1"/>
    <s v="FUR-BO-10003546"/>
    <s v="Furniture"/>
    <x v="0"/>
    <s v="Hon 4-Shelf Metal Bookcases"/>
    <n v="242.352"/>
    <n v="8"/>
    <n v="-363.52800000000002"/>
    <x v="4"/>
    <x v="3"/>
    <x v="5"/>
  </r>
  <r>
    <s v="US-2017-112347"/>
    <d v="2017-12-02T00:00:00"/>
    <d v="2017-12-06T00:00:00"/>
    <x v="1"/>
    <s v="BS-11380"/>
    <s v="Bill Stewart"/>
    <x v="1"/>
    <x v="22"/>
    <x v="12"/>
    <x v="1"/>
    <s v="FUR-FU-10001488"/>
    <s v="Furniture"/>
    <x v="3"/>
    <s v="Tenex 46&quot; x 60&quot; Computer Anti-Static Chairmat, Rectangular Shaped"/>
    <n v="508.70400000000001"/>
    <n v="6"/>
    <n v="0"/>
    <x v="4"/>
    <x v="3"/>
    <x v="5"/>
  </r>
  <r>
    <s v="US-2017-112347"/>
    <d v="2017-12-02T00:00:00"/>
    <d v="2017-12-06T00:00:00"/>
    <x v="1"/>
    <s v="BS-11380"/>
    <s v="Bill Stewart"/>
    <x v="1"/>
    <x v="22"/>
    <x v="12"/>
    <x v="1"/>
    <s v="FUR-CH-10002335"/>
    <s v="Furniture"/>
    <x v="1"/>
    <s v="Hon GuestStacker Chair"/>
    <n v="906.68"/>
    <n v="5"/>
    <n v="68.001000000000005"/>
    <x v="4"/>
    <x v="3"/>
    <x v="5"/>
  </r>
  <r>
    <s v="CA-2016-136595"/>
    <d v="2016-09-05T00:00:00"/>
    <d v="2016-09-07T00:00:00"/>
    <x v="2"/>
    <s v="EM-13825"/>
    <s v="Elizabeth Moffitt"/>
    <x v="1"/>
    <x v="6"/>
    <x v="5"/>
    <x v="3"/>
    <s v="FUR-FU-10004671"/>
    <s v="Furniture"/>
    <x v="3"/>
    <s v="Executive Impressions 12&quot; Wall Clock"/>
    <n v="21.204000000000001"/>
    <n v="3"/>
    <n v="-11.6622"/>
    <x v="3"/>
    <x v="0"/>
    <x v="4"/>
  </r>
  <r>
    <s v="CA-2014-114181"/>
    <d v="2014-05-10T00:00:00"/>
    <d v="2014-05-14T00:00:00"/>
    <x v="0"/>
    <s v="AF-10885"/>
    <s v="Art Foster"/>
    <x v="0"/>
    <x v="3"/>
    <x v="3"/>
    <x v="2"/>
    <s v="FUR-BO-10004467"/>
    <s v="Furniture"/>
    <x v="0"/>
    <s v="Bestar Classic Bookcase"/>
    <n v="349.96499999999997"/>
    <n v="7"/>
    <n v="-216.97829999999999"/>
    <x v="4"/>
    <x v="2"/>
    <x v="7"/>
  </r>
  <r>
    <s v="US-2014-137155"/>
    <d v="2014-11-01T00:00:00"/>
    <d v="2014-11-05T00:00:00"/>
    <x v="1"/>
    <s v="DL-12925"/>
    <s v="Daniel Lacy"/>
    <x v="0"/>
    <x v="62"/>
    <x v="7"/>
    <x v="2"/>
    <s v="FUR-FU-10003142"/>
    <s v="Furniture"/>
    <x v="3"/>
    <s v="Master Big Foot Doorstop, Beige"/>
    <n v="31.68"/>
    <n v="6"/>
    <n v="9.8208000000000002"/>
    <x v="4"/>
    <x v="2"/>
    <x v="0"/>
  </r>
  <r>
    <s v="CA-2016-105746"/>
    <d v="2016-12-30T00:00:00"/>
    <d v="2017-01-01T00:00:00"/>
    <x v="2"/>
    <s v="BD-11605"/>
    <s v="Brian Dahlen"/>
    <x v="0"/>
    <x v="68"/>
    <x v="3"/>
    <x v="2"/>
    <s v="FUR-CH-10000454"/>
    <s v="Furniture"/>
    <x v="1"/>
    <s v="Hon Deluxe Fabric Upholstered Stacking Chairs, Rounded Back"/>
    <n v="170.786"/>
    <n v="1"/>
    <n v="0"/>
    <x v="3"/>
    <x v="0"/>
    <x v="5"/>
  </r>
  <r>
    <s v="US-2016-104815"/>
    <d v="2016-09-03T00:00:00"/>
    <d v="2016-09-07T00:00:00"/>
    <x v="1"/>
    <s v="RB-19570"/>
    <s v="Rob Beeghly"/>
    <x v="0"/>
    <x v="9"/>
    <x v="8"/>
    <x v="3"/>
    <s v="FUR-BO-10003894"/>
    <s v="Furniture"/>
    <x v="0"/>
    <s v="Safco Value Mate Steel Bookcase, Baked Enamel Finish on Steel, Black"/>
    <n v="198.744"/>
    <n v="4"/>
    <n v="0"/>
    <x v="4"/>
    <x v="0"/>
    <x v="4"/>
  </r>
  <r>
    <s v="US-2016-166660"/>
    <d v="2016-01-30T00:00:00"/>
    <d v="2016-02-01T00:00:00"/>
    <x v="0"/>
    <s v="TB-21250"/>
    <s v="Tim Brockman"/>
    <x v="0"/>
    <x v="15"/>
    <x v="13"/>
    <x v="1"/>
    <s v="FUR-CH-10001190"/>
    <s v="Furniture"/>
    <x v="1"/>
    <s v="Global Deluxe High-Back Office Chair in Storm"/>
    <n v="435.16800000000001"/>
    <n v="4"/>
    <n v="-59.835599999999999"/>
    <x v="3"/>
    <x v="0"/>
    <x v="8"/>
  </r>
  <r>
    <s v="US-2016-166660"/>
    <d v="2016-01-30T00:00:00"/>
    <d v="2016-02-01T00:00:00"/>
    <x v="0"/>
    <s v="TB-21250"/>
    <s v="Tim Brockman"/>
    <x v="0"/>
    <x v="15"/>
    <x v="13"/>
    <x v="1"/>
    <s v="FUR-BO-10000468"/>
    <s v="Furniture"/>
    <x v="0"/>
    <s v="O'Sullivan 2-Shelf Heavy-Duty Bookcases"/>
    <n v="48.58"/>
    <n v="1"/>
    <n v="7.7728000000000002"/>
    <x v="3"/>
    <x v="0"/>
    <x v="8"/>
  </r>
  <r>
    <s v="CA-2014-100916"/>
    <d v="2014-10-21T00:00:00"/>
    <d v="2014-10-26T00:00:00"/>
    <x v="1"/>
    <s v="FH-14275"/>
    <s v="Frank Hawley"/>
    <x v="1"/>
    <x v="330"/>
    <x v="25"/>
    <x v="0"/>
    <s v="FUR-TA-10004607"/>
    <s v="Furniture"/>
    <x v="2"/>
    <s v="Hon 2111 Invitation Series Straight Table"/>
    <n v="591.32000000000005"/>
    <n v="4"/>
    <n v="112.35080000000001"/>
    <x v="2"/>
    <x v="2"/>
    <x v="1"/>
  </r>
  <r>
    <s v="CA-2016-138597"/>
    <d v="2016-12-18T00:00:00"/>
    <d v="2016-12-21T00:00:00"/>
    <x v="2"/>
    <s v="PN-18775"/>
    <s v="Parhena Norris"/>
    <x v="2"/>
    <x v="70"/>
    <x v="27"/>
    <x v="3"/>
    <s v="FUR-CH-10004997"/>
    <s v="Furniture"/>
    <x v="1"/>
    <s v="Hon Every-Day Series Multi-Task Chairs"/>
    <n v="563.94000000000005"/>
    <n v="3"/>
    <n v="112.788"/>
    <x v="0"/>
    <x v="0"/>
    <x v="5"/>
  </r>
  <r>
    <s v="CA-2015-142734"/>
    <d v="2015-04-16T00:00:00"/>
    <d v="2015-04-21T00:00:00"/>
    <x v="1"/>
    <s v="DM-13345"/>
    <s v="Denise Monton"/>
    <x v="1"/>
    <x v="13"/>
    <x v="7"/>
    <x v="2"/>
    <s v="FUR-CH-10003968"/>
    <s v="Furniture"/>
    <x v="1"/>
    <s v="Novimex Turbo Task Chair"/>
    <n v="127.764"/>
    <n v="2"/>
    <n v="2.8391999999999999"/>
    <x v="2"/>
    <x v="1"/>
    <x v="6"/>
  </r>
  <r>
    <s v="CA-2017-122945"/>
    <d v="2017-11-16T00:00:00"/>
    <d v="2017-11-22T00:00:00"/>
    <x v="1"/>
    <s v="MB-18085"/>
    <s v="Mick Brown"/>
    <x v="0"/>
    <x v="18"/>
    <x v="2"/>
    <x v="1"/>
    <s v="FUR-FU-10001196"/>
    <s v="Furniture"/>
    <x v="3"/>
    <s v="DAX Cubicle Frames - 8x10"/>
    <n v="17.309999999999999"/>
    <n v="3"/>
    <n v="5.1929999999999996"/>
    <x v="6"/>
    <x v="3"/>
    <x v="0"/>
  </r>
  <r>
    <s v="CA-2016-158778"/>
    <d v="2016-09-05T00:00:00"/>
    <d v="2016-09-09T00:00:00"/>
    <x v="1"/>
    <s v="DB-13210"/>
    <s v="Dean Braden"/>
    <x v="0"/>
    <x v="3"/>
    <x v="3"/>
    <x v="2"/>
    <s v="FUR-FU-10000260"/>
    <s v="Furniture"/>
    <x v="3"/>
    <s v="6&quot; Cubicle Wall Clock, Black"/>
    <n v="58.247999999999998"/>
    <n v="9"/>
    <n v="11.6496"/>
    <x v="4"/>
    <x v="0"/>
    <x v="4"/>
  </r>
  <r>
    <s v="CA-2016-158778"/>
    <d v="2016-09-05T00:00:00"/>
    <d v="2016-09-09T00:00:00"/>
    <x v="1"/>
    <s v="DB-13210"/>
    <s v="Dean Braden"/>
    <x v="0"/>
    <x v="3"/>
    <x v="3"/>
    <x v="2"/>
    <s v="FUR-CH-10001146"/>
    <s v="Furniture"/>
    <x v="1"/>
    <s v="Global Task Chair, Black"/>
    <n v="71.245999999999995"/>
    <n v="2"/>
    <n v="-19.338200000000001"/>
    <x v="4"/>
    <x v="0"/>
    <x v="4"/>
  </r>
  <r>
    <s v="CA-2016-158778"/>
    <d v="2016-09-05T00:00:00"/>
    <d v="2016-09-09T00:00:00"/>
    <x v="1"/>
    <s v="DB-13210"/>
    <s v="Dean Braden"/>
    <x v="0"/>
    <x v="3"/>
    <x v="3"/>
    <x v="2"/>
    <s v="FUR-CH-10000309"/>
    <s v="Furniture"/>
    <x v="1"/>
    <s v="Global Comet Stacking Arm Chair"/>
    <n v="887.27099999999996"/>
    <n v="3"/>
    <n v="-63.3765"/>
    <x v="4"/>
    <x v="0"/>
    <x v="4"/>
  </r>
  <r>
    <s v="CA-2016-101791"/>
    <d v="2016-05-27T00:00:00"/>
    <d v="2016-05-31T00:00:00"/>
    <x v="1"/>
    <s v="BS-11665"/>
    <s v="Brian Stugart"/>
    <x v="0"/>
    <x v="9"/>
    <x v="8"/>
    <x v="3"/>
    <s v="FUR-FU-10003247"/>
    <s v="Furniture"/>
    <x v="3"/>
    <s v="36X48 HARDFLOOR CHAIRMAT"/>
    <n v="25.175999999999998"/>
    <n v="3"/>
    <n v="-33.358199999999997"/>
    <x v="4"/>
    <x v="0"/>
    <x v="7"/>
  </r>
  <r>
    <s v="CA-2016-101791"/>
    <d v="2016-05-27T00:00:00"/>
    <d v="2016-05-31T00:00:00"/>
    <x v="1"/>
    <s v="BS-11665"/>
    <s v="Brian Stugart"/>
    <x v="0"/>
    <x v="9"/>
    <x v="8"/>
    <x v="3"/>
    <s v="FUR-FU-10002191"/>
    <s v="Furniture"/>
    <x v="3"/>
    <s v="G.E. Halogen Desk Lamp Bulbs"/>
    <n v="5.5839999999999996"/>
    <n v="2"/>
    <n v="-1.6752"/>
    <x v="4"/>
    <x v="0"/>
    <x v="7"/>
  </r>
  <r>
    <s v="CA-2015-113740"/>
    <d v="2015-08-24T00:00:00"/>
    <d v="2015-08-28T00:00:00"/>
    <x v="0"/>
    <s v="SC-20380"/>
    <s v="Shahid Collister"/>
    <x v="0"/>
    <x v="13"/>
    <x v="7"/>
    <x v="2"/>
    <s v="FUR-FU-10000010"/>
    <s v="Furniture"/>
    <x v="3"/>
    <s v="DAX Value U-Channel Document Frames, Easel Back"/>
    <n v="14.91"/>
    <n v="3"/>
    <n v="4.6220999999999997"/>
    <x v="4"/>
    <x v="1"/>
    <x v="10"/>
  </r>
  <r>
    <s v="CA-2017-151225"/>
    <d v="2017-10-27T00:00:00"/>
    <d v="2017-10-29T00:00:00"/>
    <x v="2"/>
    <s v="JM-15655"/>
    <s v="Jim Mitchum"/>
    <x v="1"/>
    <x v="2"/>
    <x v="2"/>
    <x v="1"/>
    <s v="FUR-TA-10001539"/>
    <s v="Furniture"/>
    <x v="2"/>
    <s v="Chromcraft Rectangular Conference Tables"/>
    <n v="189.57599999999999"/>
    <n v="1"/>
    <n v="9.4787999999999997"/>
    <x v="3"/>
    <x v="3"/>
    <x v="1"/>
  </r>
  <r>
    <s v="US-2014-144078"/>
    <d v="2014-11-25T00:00:00"/>
    <d v="2014-11-29T00:00:00"/>
    <x v="1"/>
    <s v="RB-19435"/>
    <s v="Richard Bierner"/>
    <x v="0"/>
    <x v="2"/>
    <x v="2"/>
    <x v="1"/>
    <s v="FUR-CH-10002335"/>
    <s v="Furniture"/>
    <x v="1"/>
    <s v="Hon GuestStacker Chair"/>
    <n v="725.34400000000005"/>
    <n v="4"/>
    <n v="54.400799999999997"/>
    <x v="4"/>
    <x v="2"/>
    <x v="0"/>
  </r>
  <r>
    <s v="CA-2015-136805"/>
    <d v="2015-05-23T00:00:00"/>
    <d v="2015-05-27T00:00:00"/>
    <x v="0"/>
    <s v="NM-18445"/>
    <s v="Nathan Mautz"/>
    <x v="2"/>
    <x v="25"/>
    <x v="17"/>
    <x v="3"/>
    <s v="FUR-FU-10003724"/>
    <s v="Furniture"/>
    <x v="3"/>
    <s v="Westinghouse Clip-On Gooseneck Lamps"/>
    <n v="75.33"/>
    <n v="9"/>
    <n v="19.585799999999999"/>
    <x v="4"/>
    <x v="1"/>
    <x v="7"/>
  </r>
  <r>
    <s v="CA-2014-162089"/>
    <d v="2014-03-30T00:00:00"/>
    <d v="2014-04-01T00:00:00"/>
    <x v="2"/>
    <s v="MP-17470"/>
    <s v="Mark Packer"/>
    <x v="2"/>
    <x v="193"/>
    <x v="5"/>
    <x v="3"/>
    <s v="FUR-CH-10002304"/>
    <s v="Furniture"/>
    <x v="1"/>
    <s v="Global Stack Chair without Arms, Black"/>
    <n v="127.30200000000001"/>
    <n v="7"/>
    <n v="-9.093"/>
    <x v="3"/>
    <x v="2"/>
    <x v="9"/>
  </r>
  <r>
    <s v="US-2017-158526"/>
    <d v="2017-12-29T00:00:00"/>
    <d v="2018-01-01T00:00:00"/>
    <x v="0"/>
    <s v="KH-16360"/>
    <s v="Katherine Hughes"/>
    <x v="0"/>
    <x v="74"/>
    <x v="0"/>
    <x v="0"/>
    <s v="FUR-CH-10002602"/>
    <s v="Furniture"/>
    <x v="1"/>
    <s v="DMI Arturo Collection Mission-style Design Wood Chair"/>
    <n v="1207.8399999999999"/>
    <n v="8"/>
    <n v="314.03840000000002"/>
    <x v="0"/>
    <x v="3"/>
    <x v="5"/>
  </r>
  <r>
    <s v="US-2017-158526"/>
    <d v="2017-12-29T00:00:00"/>
    <d v="2018-01-01T00:00:00"/>
    <x v="0"/>
    <s v="KH-16360"/>
    <s v="Katherine Hughes"/>
    <x v="0"/>
    <x v="74"/>
    <x v="0"/>
    <x v="0"/>
    <s v="FUR-CH-10004495"/>
    <s v="Furniture"/>
    <x v="1"/>
    <s v="Global Leather and Oak Executive Chair, Black"/>
    <n v="300.98"/>
    <n v="1"/>
    <n v="87.284199999999998"/>
    <x v="0"/>
    <x v="3"/>
    <x v="5"/>
  </r>
  <r>
    <s v="US-2017-158526"/>
    <d v="2017-12-29T00:00:00"/>
    <d v="2018-01-01T00:00:00"/>
    <x v="0"/>
    <s v="KH-16360"/>
    <s v="Katherine Hughes"/>
    <x v="0"/>
    <x v="74"/>
    <x v="0"/>
    <x v="0"/>
    <s v="FUR-CH-10001270"/>
    <s v="Furniture"/>
    <x v="1"/>
    <s v="Harbour Creations Steel Folding Chair"/>
    <n v="258.75"/>
    <n v="3"/>
    <n v="77.625"/>
    <x v="0"/>
    <x v="3"/>
    <x v="5"/>
  </r>
  <r>
    <s v="CA-2017-104885"/>
    <d v="2017-03-02T00:00:00"/>
    <d v="2017-03-08T00:00:00"/>
    <x v="1"/>
    <s v="DB-13555"/>
    <s v="Dorothy Badders"/>
    <x v="1"/>
    <x v="19"/>
    <x v="14"/>
    <x v="2"/>
    <s v="FUR-BO-10003660"/>
    <s v="Furniture"/>
    <x v="0"/>
    <s v="Bush Cubix Collection Bookcases, Fully Assembled"/>
    <n v="441.96"/>
    <n v="2"/>
    <n v="101.6508"/>
    <x v="6"/>
    <x v="3"/>
    <x v="9"/>
  </r>
  <r>
    <s v="CA-2015-161452"/>
    <d v="2015-04-05T00:00:00"/>
    <d v="2015-04-11T00:00:00"/>
    <x v="1"/>
    <s v="CA-11965"/>
    <s v="Carol Adams"/>
    <x v="1"/>
    <x v="2"/>
    <x v="2"/>
    <x v="1"/>
    <s v="FUR-CH-10003973"/>
    <s v="Furniture"/>
    <x v="1"/>
    <s v="GuestStacker Chair with Chrome Finish Legs"/>
    <n v="892.22400000000005"/>
    <n v="3"/>
    <n v="89.222399999999993"/>
    <x v="6"/>
    <x v="1"/>
    <x v="6"/>
  </r>
  <r>
    <s v="CA-2016-138968"/>
    <d v="2016-03-15T00:00:00"/>
    <d v="2016-03-16T00:00:00"/>
    <x v="2"/>
    <s v="FC-14335"/>
    <s v="Fred Chung"/>
    <x v="1"/>
    <x v="28"/>
    <x v="2"/>
    <x v="1"/>
    <s v="FUR-CH-10000309"/>
    <s v="Furniture"/>
    <x v="1"/>
    <s v="Global Comet Stacking Arm Chair"/>
    <n v="1352.0319999999999"/>
    <n v="4"/>
    <n v="84.501999999999995"/>
    <x v="5"/>
    <x v="0"/>
    <x v="9"/>
  </r>
  <r>
    <s v="CA-2015-101889"/>
    <d v="2015-12-27T00:00:00"/>
    <d v="2015-12-31T00:00:00"/>
    <x v="1"/>
    <s v="DB-13120"/>
    <s v="David Bremer"/>
    <x v="1"/>
    <x v="149"/>
    <x v="15"/>
    <x v="2"/>
    <s v="FUR-TA-10004154"/>
    <s v="Furniture"/>
    <x v="2"/>
    <s v="Riverside Furniture Oval Coffee Table, Oval End Table, End Table with Drawer"/>
    <n v="1548.99"/>
    <n v="9"/>
    <n v="-464.697"/>
    <x v="4"/>
    <x v="1"/>
    <x v="5"/>
  </r>
  <r>
    <s v="CA-2015-107685"/>
    <d v="2015-11-30T00:00:00"/>
    <d v="2015-12-02T00:00:00"/>
    <x v="0"/>
    <s v="JM-15865"/>
    <s v="John Murray"/>
    <x v="0"/>
    <x v="205"/>
    <x v="34"/>
    <x v="1"/>
    <s v="FUR-FU-10002813"/>
    <s v="Furniture"/>
    <x v="3"/>
    <s v="DAX Contemporary Wood Frame with Silver Metal Mat, Desktop, 11 x 14 Size"/>
    <n v="80.959999999999994"/>
    <n v="4"/>
    <n v="29.145600000000002"/>
    <x v="3"/>
    <x v="1"/>
    <x v="0"/>
  </r>
  <r>
    <s v="US-2014-120740"/>
    <d v="2014-04-15T00:00:00"/>
    <d v="2014-04-15T00:00:00"/>
    <x v="3"/>
    <s v="PS-18970"/>
    <s v="Paul Stevenson"/>
    <x v="2"/>
    <x v="2"/>
    <x v="2"/>
    <x v="1"/>
    <s v="FUR-FU-10004091"/>
    <s v="Furniture"/>
    <x v="3"/>
    <s v="Howard Miller 13&quot; Diameter Goldtone Round Wall Clock"/>
    <n v="187.76"/>
    <n v="4"/>
    <n v="76.9816"/>
    <x v="7"/>
    <x v="2"/>
    <x v="6"/>
  </r>
  <r>
    <s v="CA-2014-105417"/>
    <d v="2014-01-07T00:00:00"/>
    <d v="2014-01-12T00:00:00"/>
    <x v="1"/>
    <s v="VS-21820"/>
    <s v="Vivek Sundaresam"/>
    <x v="0"/>
    <x v="156"/>
    <x v="5"/>
    <x v="3"/>
    <s v="FUR-FU-10004864"/>
    <s v="Furniture"/>
    <x v="3"/>
    <s v="Howard Miller 14-1/2&quot; Diameter Chrome Round Wall Clock"/>
    <n v="76.727999999999994"/>
    <n v="3"/>
    <n v="-53.709600000000002"/>
    <x v="2"/>
    <x v="2"/>
    <x v="8"/>
  </r>
  <r>
    <s v="CA-2014-151967"/>
    <d v="2014-10-22T00:00:00"/>
    <d v="2014-10-26T00:00:00"/>
    <x v="1"/>
    <s v="NB-18580"/>
    <s v="Nicole Brennan"/>
    <x v="1"/>
    <x v="331"/>
    <x v="35"/>
    <x v="0"/>
    <s v="FUR-FU-10000193"/>
    <s v="Furniture"/>
    <x v="3"/>
    <s v="Tenex Chairmats For Use with Hard Floors"/>
    <n v="129.91999999999999"/>
    <n v="4"/>
    <n v="10.393599999999999"/>
    <x v="4"/>
    <x v="2"/>
    <x v="1"/>
  </r>
  <r>
    <s v="CA-2015-130974"/>
    <d v="2015-11-27T00:00:00"/>
    <d v="2015-11-29T00:00:00"/>
    <x v="0"/>
    <s v="MA-17560"/>
    <s v="Matt Abelman"/>
    <x v="2"/>
    <x v="114"/>
    <x v="20"/>
    <x v="2"/>
    <s v="FUR-BO-10002916"/>
    <s v="Furniture"/>
    <x v="0"/>
    <s v="Rush Hierlooms Collection 1&quot; Thick Stackable Bookcases"/>
    <n v="170.98"/>
    <n v="1"/>
    <n v="32.486199999999997"/>
    <x v="3"/>
    <x v="1"/>
    <x v="0"/>
  </r>
  <r>
    <s v="CA-2015-130974"/>
    <d v="2015-11-27T00:00:00"/>
    <d v="2015-11-29T00:00:00"/>
    <x v="0"/>
    <s v="MA-17560"/>
    <s v="Matt Abelman"/>
    <x v="2"/>
    <x v="114"/>
    <x v="20"/>
    <x v="2"/>
    <s v="FUR-FU-10002506"/>
    <s v="Furniture"/>
    <x v="3"/>
    <s v="Tensor &quot;Hersey Kiss&quot; Styled Floor Lamp"/>
    <n v="38.97"/>
    <n v="3"/>
    <n v="4.6764000000000001"/>
    <x v="3"/>
    <x v="1"/>
    <x v="0"/>
  </r>
  <r>
    <s v="CA-2015-130974"/>
    <d v="2015-11-27T00:00:00"/>
    <d v="2015-11-29T00:00:00"/>
    <x v="0"/>
    <s v="MA-17560"/>
    <s v="Matt Abelman"/>
    <x v="2"/>
    <x v="114"/>
    <x v="20"/>
    <x v="2"/>
    <s v="FUR-TA-10004619"/>
    <s v="Furniture"/>
    <x v="2"/>
    <s v="Hon Non-Folding Utility Tables"/>
    <n v="446.06799999999998"/>
    <n v="4"/>
    <n v="0"/>
    <x v="3"/>
    <x v="1"/>
    <x v="0"/>
  </r>
  <r>
    <s v="CA-2014-133592"/>
    <d v="2014-12-31T00:00:00"/>
    <d v="2015-01-07T00:00:00"/>
    <x v="1"/>
    <s v="KM-16375"/>
    <s v="Katherine Murray"/>
    <x v="2"/>
    <x v="134"/>
    <x v="38"/>
    <x v="2"/>
    <s v="FUR-BO-10000362"/>
    <s v="Furniture"/>
    <x v="0"/>
    <s v="Sauder Inglewood Library Bookcases"/>
    <n v="341.96"/>
    <n v="2"/>
    <n v="78.650800000000004"/>
    <x v="1"/>
    <x v="2"/>
    <x v="5"/>
  </r>
  <r>
    <s v="CA-2014-133592"/>
    <d v="2014-12-31T00:00:00"/>
    <d v="2015-01-07T00:00:00"/>
    <x v="1"/>
    <s v="KM-16375"/>
    <s v="Katherine Murray"/>
    <x v="2"/>
    <x v="134"/>
    <x v="38"/>
    <x v="2"/>
    <s v="FUR-CH-10004218"/>
    <s v="Furniture"/>
    <x v="1"/>
    <s v="Global Fabric Manager's Chair, Dark Gray"/>
    <n v="605.88"/>
    <n v="6"/>
    <n v="151.47"/>
    <x v="1"/>
    <x v="2"/>
    <x v="5"/>
  </r>
  <r>
    <s v="CA-2016-169838"/>
    <d v="2016-11-25T00:00:00"/>
    <d v="2016-11-29T00:00:00"/>
    <x v="1"/>
    <s v="BB-11545"/>
    <s v="Brenda Bowman"/>
    <x v="1"/>
    <x v="38"/>
    <x v="17"/>
    <x v="3"/>
    <s v="FUR-TA-10001095"/>
    <s v="Furniture"/>
    <x v="2"/>
    <s v="Chromcraft Round Conference Tables"/>
    <n v="1568.61"/>
    <n v="9"/>
    <n v="329.40809999999999"/>
    <x v="4"/>
    <x v="0"/>
    <x v="0"/>
  </r>
  <r>
    <s v="US-2017-128951"/>
    <d v="2017-07-15T00:00:00"/>
    <d v="2017-07-17T00:00:00"/>
    <x v="2"/>
    <s v="RS-19420"/>
    <s v="Ricardo Sperren"/>
    <x v="1"/>
    <x v="122"/>
    <x v="25"/>
    <x v="0"/>
    <s v="FUR-TA-10004575"/>
    <s v="Furniture"/>
    <x v="2"/>
    <s v="Hon 5100 Series Wood Tables"/>
    <n v="872.94"/>
    <n v="3"/>
    <n v="157.1292"/>
    <x v="3"/>
    <x v="3"/>
    <x v="3"/>
  </r>
  <r>
    <s v="CA-2016-118899"/>
    <d v="2016-03-22T00:00:00"/>
    <d v="2016-03-22T00:00:00"/>
    <x v="3"/>
    <s v="MC-17275"/>
    <s v="Marc Crier"/>
    <x v="0"/>
    <x v="15"/>
    <x v="13"/>
    <x v="1"/>
    <s v="FUR-CH-10004754"/>
    <s v="Furniture"/>
    <x v="1"/>
    <s v="Global Stack Chair with Arms, Black"/>
    <n v="167.88800000000001"/>
    <n v="7"/>
    <n v="14.690200000000001"/>
    <x v="7"/>
    <x v="0"/>
    <x v="9"/>
  </r>
  <r>
    <s v="CA-2017-151799"/>
    <d v="2017-12-14T00:00:00"/>
    <d v="2017-12-18T00:00:00"/>
    <x v="1"/>
    <s v="BF-11170"/>
    <s v="Ben Ferrer"/>
    <x v="2"/>
    <x v="37"/>
    <x v="20"/>
    <x v="2"/>
    <s v="FUR-TA-10003473"/>
    <s v="Furniture"/>
    <x v="2"/>
    <s v="Bretford Rectangular Conference Table Tops"/>
    <n v="526.58199999999999"/>
    <n v="2"/>
    <n v="-52.658200000000001"/>
    <x v="4"/>
    <x v="3"/>
    <x v="5"/>
  </r>
  <r>
    <s v="CA-2016-114601"/>
    <d v="2016-08-26T00:00:00"/>
    <d v="2016-09-02T00:00:00"/>
    <x v="1"/>
    <s v="AA-10480"/>
    <s v="Andrew Allen"/>
    <x v="0"/>
    <x v="25"/>
    <x v="17"/>
    <x v="3"/>
    <s v="FUR-TA-10004147"/>
    <s v="Furniture"/>
    <x v="2"/>
    <s v="Hon 4060 Series Tables"/>
    <n v="447.84"/>
    <n v="4"/>
    <n v="98.524799999999999"/>
    <x v="1"/>
    <x v="0"/>
    <x v="10"/>
  </r>
  <r>
    <s v="CA-2017-139353"/>
    <d v="2017-10-28T00:00:00"/>
    <d v="2017-10-30T00:00:00"/>
    <x v="0"/>
    <s v="JM-15250"/>
    <s v="Janet Martin"/>
    <x v="0"/>
    <x v="160"/>
    <x v="30"/>
    <x v="0"/>
    <s v="FUR-FU-10001876"/>
    <s v="Furniture"/>
    <x v="3"/>
    <s v="Computer Room Manger, 14&quot;"/>
    <n v="77.951999999999998"/>
    <n v="3"/>
    <n v="15.590400000000001"/>
    <x v="3"/>
    <x v="3"/>
    <x v="1"/>
  </r>
  <r>
    <s v="CA-2015-139374"/>
    <d v="2015-09-10T00:00:00"/>
    <d v="2015-09-14T00:00:00"/>
    <x v="1"/>
    <s v="AR-10345"/>
    <s v="Alex Russell"/>
    <x v="1"/>
    <x v="198"/>
    <x v="5"/>
    <x v="3"/>
    <s v="FUR-CH-10003981"/>
    <s v="Furniture"/>
    <x v="1"/>
    <s v="Global Commerce Series Low-Back Swivel/Tilt Chairs"/>
    <n v="179.886"/>
    <n v="1"/>
    <n v="-2.5697999999999999"/>
    <x v="4"/>
    <x v="1"/>
    <x v="4"/>
  </r>
  <r>
    <s v="CA-2017-104850"/>
    <d v="2017-06-13T00:00:00"/>
    <d v="2017-06-19T00:00:00"/>
    <x v="1"/>
    <s v="TW-21025"/>
    <s v="Tamara Willingham"/>
    <x v="2"/>
    <x v="15"/>
    <x v="13"/>
    <x v="1"/>
    <s v="FUR-CH-10003774"/>
    <s v="Furniture"/>
    <x v="1"/>
    <s v="Global Wood Trimmed Manager's Task Chair, Khaki"/>
    <n v="291.13600000000002"/>
    <n v="4"/>
    <n v="-25.474399999999999"/>
    <x v="6"/>
    <x v="3"/>
    <x v="2"/>
  </r>
  <r>
    <s v="CA-2015-133242"/>
    <d v="2015-06-18T00:00:00"/>
    <d v="2015-06-24T00:00:00"/>
    <x v="1"/>
    <s v="KH-16510"/>
    <s v="Keith Herrera"/>
    <x v="0"/>
    <x v="58"/>
    <x v="25"/>
    <x v="0"/>
    <s v="FUR-FU-10003464"/>
    <s v="Furniture"/>
    <x v="3"/>
    <s v="Seth Thomas 8 1/2&quot; Cubicle Clock"/>
    <n v="60.84"/>
    <n v="3"/>
    <n v="19.468800000000002"/>
    <x v="6"/>
    <x v="1"/>
    <x v="2"/>
  </r>
  <r>
    <s v="CA-2015-158323"/>
    <d v="2015-11-30T00:00:00"/>
    <d v="2015-12-03T00:00:00"/>
    <x v="2"/>
    <s v="AB-10600"/>
    <s v="Ann Blume"/>
    <x v="1"/>
    <x v="51"/>
    <x v="30"/>
    <x v="0"/>
    <s v="FUR-FU-10001546"/>
    <s v="Furniture"/>
    <x v="3"/>
    <s v="Dana Swing-Arm Lamps"/>
    <n v="17.088000000000001"/>
    <n v="2"/>
    <n v="1.0680000000000001"/>
    <x v="0"/>
    <x v="1"/>
    <x v="0"/>
  </r>
  <r>
    <s v="CA-2017-112844"/>
    <d v="2017-11-13T00:00:00"/>
    <d v="2017-11-16T00:00:00"/>
    <x v="0"/>
    <s v="SP-20620"/>
    <s v="Stefania Perrino"/>
    <x v="1"/>
    <x v="252"/>
    <x v="7"/>
    <x v="2"/>
    <s v="FUR-FU-10004845"/>
    <s v="Furniture"/>
    <x v="3"/>
    <s v="Deflect-o EconoMat Nonstudded, No Bevel Mat"/>
    <n v="154.94999999999999"/>
    <n v="3"/>
    <n v="30.99"/>
    <x v="0"/>
    <x v="3"/>
    <x v="0"/>
  </r>
  <r>
    <s v="US-2017-118941"/>
    <d v="2017-08-12T00:00:00"/>
    <d v="2017-08-12T00:00:00"/>
    <x v="3"/>
    <s v="BB-11545"/>
    <s v="Brenda Bowman"/>
    <x v="1"/>
    <x v="11"/>
    <x v="32"/>
    <x v="2"/>
    <s v="FUR-CH-10002331"/>
    <s v="Furniture"/>
    <x v="1"/>
    <s v="Hon 4700 Series Mobuis Mid-Back Task Chairs with Adjustable Arms"/>
    <n v="1779.9"/>
    <n v="5"/>
    <n v="373.779"/>
    <x v="7"/>
    <x v="3"/>
    <x v="10"/>
  </r>
  <r>
    <s v="CA-2016-162236"/>
    <d v="2016-11-04T00:00:00"/>
    <d v="2016-11-06T00:00:00"/>
    <x v="0"/>
    <s v="ER-13855"/>
    <s v="Elpida Rittenbach"/>
    <x v="1"/>
    <x v="127"/>
    <x v="30"/>
    <x v="0"/>
    <s v="FUR-TA-10002533"/>
    <s v="Furniture"/>
    <x v="2"/>
    <s v="BPI Conference Tables"/>
    <n v="876.3"/>
    <n v="10"/>
    <n v="-292.10000000000002"/>
    <x v="3"/>
    <x v="0"/>
    <x v="0"/>
  </r>
  <r>
    <s v="US-2016-117037"/>
    <d v="2016-05-17T00:00:00"/>
    <d v="2016-05-20T00:00:00"/>
    <x v="2"/>
    <s v="LW-17215"/>
    <s v="Luke Weiss"/>
    <x v="0"/>
    <x v="9"/>
    <x v="8"/>
    <x v="3"/>
    <s v="FUR-FU-10004973"/>
    <s v="Furniture"/>
    <x v="3"/>
    <s v="Flat Face Poster Frame"/>
    <n v="22.608000000000001"/>
    <n v="3"/>
    <n v="-10.1736"/>
    <x v="0"/>
    <x v="0"/>
    <x v="7"/>
  </r>
  <r>
    <s v="CA-2017-166184"/>
    <d v="2017-03-24T00:00:00"/>
    <d v="2017-03-27T00:00:00"/>
    <x v="2"/>
    <s v="HR-14830"/>
    <s v="Harold Ryan"/>
    <x v="1"/>
    <x v="13"/>
    <x v="7"/>
    <x v="2"/>
    <s v="FUR-CH-10003396"/>
    <s v="Furniture"/>
    <x v="1"/>
    <s v="Global Deluxe Steno Chair"/>
    <n v="207.846"/>
    <n v="3"/>
    <n v="2.3094000000000001"/>
    <x v="0"/>
    <x v="3"/>
    <x v="9"/>
  </r>
  <r>
    <s v="CA-2014-143637"/>
    <d v="2014-03-24T00:00:00"/>
    <d v="2014-03-29T00:00:00"/>
    <x v="0"/>
    <s v="MS-17710"/>
    <s v="Maurice Satty"/>
    <x v="0"/>
    <x v="99"/>
    <x v="2"/>
    <x v="1"/>
    <s v="FUR-FU-10002813"/>
    <s v="Furniture"/>
    <x v="3"/>
    <s v="DAX Contemporary Wood Frame with Silver Metal Mat, Desktop, 11 x 14 Size"/>
    <n v="40.479999999999997"/>
    <n v="2"/>
    <n v="14.572800000000001"/>
    <x v="2"/>
    <x v="2"/>
    <x v="9"/>
  </r>
  <r>
    <s v="CA-2016-134334"/>
    <d v="2016-02-14T00:00:00"/>
    <d v="2016-02-15T00:00:00"/>
    <x v="2"/>
    <s v="DK-13090"/>
    <s v="Dave Kipp"/>
    <x v="0"/>
    <x v="218"/>
    <x v="32"/>
    <x v="2"/>
    <s v="FUR-TA-10002356"/>
    <s v="Furniture"/>
    <x v="2"/>
    <s v="Bevis Boat-Shaped Conference Table"/>
    <n v="550.43100000000004"/>
    <n v="3"/>
    <n v="-47.1798"/>
    <x v="5"/>
    <x v="0"/>
    <x v="11"/>
  </r>
  <r>
    <s v="CA-2016-134334"/>
    <d v="2016-02-14T00:00:00"/>
    <d v="2016-02-15T00:00:00"/>
    <x v="2"/>
    <s v="DK-13090"/>
    <s v="Dave Kipp"/>
    <x v="0"/>
    <x v="218"/>
    <x v="32"/>
    <x v="2"/>
    <s v="FUR-FU-10003274"/>
    <s v="Furniture"/>
    <x v="3"/>
    <s v="Regeneration Desk Collection"/>
    <n v="10.56"/>
    <n v="6"/>
    <n v="4.6463999999999999"/>
    <x v="5"/>
    <x v="0"/>
    <x v="11"/>
  </r>
  <r>
    <s v="US-2017-109316"/>
    <d v="2017-06-08T00:00:00"/>
    <d v="2017-06-10T00:00:00"/>
    <x v="2"/>
    <s v="MG-17680"/>
    <s v="Maureen Gastineau"/>
    <x v="2"/>
    <x v="2"/>
    <x v="2"/>
    <x v="1"/>
    <s v="FUR-BO-10004834"/>
    <s v="Furniture"/>
    <x v="0"/>
    <s v="Riverside Palais Royal Lawyers Bookcase, Royale Cherry Finish"/>
    <n v="1497.6659999999999"/>
    <n v="2"/>
    <n v="140.95679999999999"/>
    <x v="3"/>
    <x v="3"/>
    <x v="2"/>
  </r>
  <r>
    <s v="CA-2014-125150"/>
    <d v="2014-05-16T00:00:00"/>
    <d v="2014-05-23T00:00:00"/>
    <x v="1"/>
    <s v="PW-19030"/>
    <s v="Pauline Webber"/>
    <x v="1"/>
    <x v="2"/>
    <x v="2"/>
    <x v="1"/>
    <s v="FUR-CH-10002439"/>
    <s v="Furniture"/>
    <x v="1"/>
    <s v="Iceberg Nesting Folding Chair, 19w x 6d x 43h"/>
    <n v="232.88"/>
    <n v="5"/>
    <n v="17.466000000000001"/>
    <x v="1"/>
    <x v="2"/>
    <x v="7"/>
  </r>
  <r>
    <s v="CA-2015-127327"/>
    <d v="2015-02-03T00:00:00"/>
    <d v="2015-02-07T00:00:00"/>
    <x v="1"/>
    <s v="PW-19030"/>
    <s v="Pauline Webber"/>
    <x v="1"/>
    <x v="248"/>
    <x v="7"/>
    <x v="2"/>
    <s v="FUR-CH-10004218"/>
    <s v="Furniture"/>
    <x v="1"/>
    <s v="Global Fabric Manager's Chair, Dark Gray"/>
    <n v="90.882000000000005"/>
    <n v="1"/>
    <n v="15.147"/>
    <x v="4"/>
    <x v="1"/>
    <x v="11"/>
  </r>
  <r>
    <s v="CA-2015-137302"/>
    <d v="2015-04-26T00:00:00"/>
    <d v="2015-05-01T00:00:00"/>
    <x v="1"/>
    <s v="BW-11110"/>
    <s v="Bart Watters"/>
    <x v="1"/>
    <x v="53"/>
    <x v="2"/>
    <x v="1"/>
    <s v="FUR-CH-10002017"/>
    <s v="Furniture"/>
    <x v="1"/>
    <s v="SAFCO Optional Arm Kit for Workspace Cribbage Stacking Chair"/>
    <n v="63.936"/>
    <n v="3"/>
    <n v="6.3936000000000002"/>
    <x v="2"/>
    <x v="1"/>
    <x v="6"/>
  </r>
  <r>
    <s v="CA-2015-106257"/>
    <d v="2015-04-13T00:00:00"/>
    <d v="2015-04-17T00:00:00"/>
    <x v="0"/>
    <s v="EB-14110"/>
    <s v="Eugene Barchas"/>
    <x v="0"/>
    <x v="2"/>
    <x v="2"/>
    <x v="1"/>
    <s v="FUR-TA-10002530"/>
    <s v="Furniture"/>
    <x v="2"/>
    <s v="Iceberg OfficeWorks 42&quot; Round Tables"/>
    <n v="241.56800000000001"/>
    <n v="2"/>
    <n v="-15.098000000000001"/>
    <x v="4"/>
    <x v="1"/>
    <x v="6"/>
  </r>
  <r>
    <s v="CA-2015-149083"/>
    <d v="2015-09-25T00:00:00"/>
    <d v="2015-09-30T00:00:00"/>
    <x v="1"/>
    <s v="SH-19975"/>
    <s v="Sally Hughsby"/>
    <x v="1"/>
    <x v="15"/>
    <x v="13"/>
    <x v="1"/>
    <s v="FUR-CH-10004289"/>
    <s v="Furniture"/>
    <x v="1"/>
    <s v="Global Super Steno Chair"/>
    <n v="307.13600000000002"/>
    <n v="4"/>
    <n v="-11.5176"/>
    <x v="2"/>
    <x v="1"/>
    <x v="4"/>
  </r>
  <r>
    <s v="US-2014-137869"/>
    <d v="2014-03-28T00:00:00"/>
    <d v="2014-04-02T00:00:00"/>
    <x v="1"/>
    <s v="CV-12295"/>
    <s v="Christina VanderZanden"/>
    <x v="0"/>
    <x v="67"/>
    <x v="26"/>
    <x v="3"/>
    <s v="FUR-TA-10003954"/>
    <s v="Furniture"/>
    <x v="2"/>
    <s v="Hon 94000 Series Round Tables"/>
    <n v="1184.72"/>
    <n v="4"/>
    <n v="106.62479999999999"/>
    <x v="2"/>
    <x v="2"/>
    <x v="9"/>
  </r>
  <r>
    <s v="US-2017-123834"/>
    <d v="2017-07-21T00:00:00"/>
    <d v="2017-07-25T00:00:00"/>
    <x v="1"/>
    <s v="GM-14500"/>
    <s v="Gene McClure"/>
    <x v="0"/>
    <x v="191"/>
    <x v="5"/>
    <x v="3"/>
    <s v="FUR-TA-10001676"/>
    <s v="Furniture"/>
    <x v="2"/>
    <s v="Hon 61000 Series Interactive Training Tables"/>
    <n v="124.404"/>
    <n v="4"/>
    <n v="-21.3264"/>
    <x v="4"/>
    <x v="3"/>
    <x v="3"/>
  </r>
  <r>
    <s v="CA-2016-128706"/>
    <d v="2016-02-27T00:00:00"/>
    <d v="2016-03-02T00:00:00"/>
    <x v="1"/>
    <s v="DW-13540"/>
    <s v="Don Weiss"/>
    <x v="0"/>
    <x v="6"/>
    <x v="5"/>
    <x v="3"/>
    <s v="FUR-FU-10004053"/>
    <s v="Furniture"/>
    <x v="3"/>
    <s v="DAX Two-Tone Silver Metal Document Frame"/>
    <n v="16.192"/>
    <n v="2"/>
    <n v="-6.8815999999999997"/>
    <x v="4"/>
    <x v="0"/>
    <x v="11"/>
  </r>
  <r>
    <s v="CA-2015-143364"/>
    <d v="2015-07-14T00:00:00"/>
    <d v="2015-07-19T00:00:00"/>
    <x v="0"/>
    <s v="TG-21310"/>
    <s v="Toby Gnade"/>
    <x v="0"/>
    <x v="81"/>
    <x v="22"/>
    <x v="1"/>
    <s v="FUR-CH-10004287"/>
    <s v="Furniture"/>
    <x v="1"/>
    <s v="SAFCO Arco Folding Chair"/>
    <n v="441.92"/>
    <n v="2"/>
    <n v="49.716000000000001"/>
    <x v="2"/>
    <x v="1"/>
    <x v="3"/>
  </r>
  <r>
    <s v="CA-2015-143364"/>
    <d v="2015-07-14T00:00:00"/>
    <d v="2015-07-19T00:00:00"/>
    <x v="0"/>
    <s v="TG-21310"/>
    <s v="Toby Gnade"/>
    <x v="0"/>
    <x v="81"/>
    <x v="22"/>
    <x v="1"/>
    <s v="FUR-BO-10001608"/>
    <s v="Furniture"/>
    <x v="0"/>
    <s v="Hon Metal Bookcases, Black"/>
    <n v="127.764"/>
    <n v="6"/>
    <n v="-191.64599999999999"/>
    <x v="2"/>
    <x v="1"/>
    <x v="3"/>
  </r>
  <r>
    <s v="CA-2016-101672"/>
    <d v="2016-10-03T00:00:00"/>
    <d v="2016-10-07T00:00:00"/>
    <x v="1"/>
    <s v="DB-12910"/>
    <s v="Daniel Byrd"/>
    <x v="2"/>
    <x v="284"/>
    <x v="2"/>
    <x v="1"/>
    <s v="FUR-CH-10004063"/>
    <s v="Furniture"/>
    <x v="1"/>
    <s v="Global Deluxe High-Back Manager's Chair"/>
    <n v="915.13599999999997"/>
    <n v="4"/>
    <n v="102.9528"/>
    <x v="4"/>
    <x v="0"/>
    <x v="1"/>
  </r>
  <r>
    <s v="CA-2016-160241"/>
    <d v="2016-11-29T00:00:00"/>
    <d v="2016-12-04T00:00:00"/>
    <x v="0"/>
    <s v="DR-12940"/>
    <s v="Daniel Raglin"/>
    <x v="2"/>
    <x v="14"/>
    <x v="8"/>
    <x v="3"/>
    <s v="FUR-FU-10003806"/>
    <s v="Furniture"/>
    <x v="3"/>
    <s v="Tenex Chairmat w/ Average Lip, 45&quot; x 53&quot;"/>
    <n v="242.17599999999999"/>
    <n v="4"/>
    <n v="-302.72000000000003"/>
    <x v="2"/>
    <x v="0"/>
    <x v="0"/>
  </r>
  <r>
    <s v="CA-2016-155747"/>
    <d v="2016-06-14T00:00:00"/>
    <d v="2016-06-21T00:00:00"/>
    <x v="1"/>
    <s v="JS-15685"/>
    <s v="Jim Sink"/>
    <x v="1"/>
    <x v="3"/>
    <x v="3"/>
    <x v="2"/>
    <s v="FUR-TA-10003392"/>
    <s v="Furniture"/>
    <x v="2"/>
    <s v="Global Adaptabilities Conference Tables"/>
    <n v="337.17599999999999"/>
    <n v="2"/>
    <n v="-118.0116"/>
    <x v="1"/>
    <x v="0"/>
    <x v="2"/>
  </r>
  <r>
    <s v="CA-2017-118017"/>
    <d v="2017-12-03T00:00:00"/>
    <d v="2017-12-06T00:00:00"/>
    <x v="0"/>
    <s v="LC-16870"/>
    <s v="Lena Cacioppo"/>
    <x v="0"/>
    <x v="332"/>
    <x v="12"/>
    <x v="1"/>
    <s v="FUR-FU-10004351"/>
    <s v="Furniture"/>
    <x v="3"/>
    <s v="Staple-based wall hangings"/>
    <n v="23.376000000000001"/>
    <n v="3"/>
    <n v="7.0128000000000004"/>
    <x v="0"/>
    <x v="3"/>
    <x v="5"/>
  </r>
  <r>
    <s v="CA-2017-118017"/>
    <d v="2017-12-03T00:00:00"/>
    <d v="2017-12-06T00:00:00"/>
    <x v="0"/>
    <s v="LC-16870"/>
    <s v="Lena Cacioppo"/>
    <x v="0"/>
    <x v="332"/>
    <x v="12"/>
    <x v="1"/>
    <s v="FUR-FU-10004270"/>
    <s v="Furniture"/>
    <x v="3"/>
    <s v="Eldon Image Series Desk Accessories, Burgundy"/>
    <n v="16.72"/>
    <n v="5"/>
    <n v="3.3439999999999999"/>
    <x v="0"/>
    <x v="3"/>
    <x v="5"/>
  </r>
  <r>
    <s v="CA-2017-118017"/>
    <d v="2017-12-03T00:00:00"/>
    <d v="2017-12-06T00:00:00"/>
    <x v="0"/>
    <s v="LC-16870"/>
    <s v="Lena Cacioppo"/>
    <x v="0"/>
    <x v="332"/>
    <x v="12"/>
    <x v="1"/>
    <s v="FUR-FU-10004053"/>
    <s v="Furniture"/>
    <x v="3"/>
    <s v="DAX Two-Tone Silver Metal Document Frame"/>
    <n v="16.192"/>
    <n v="1"/>
    <n v="4.6551999999999998"/>
    <x v="0"/>
    <x v="3"/>
    <x v="5"/>
  </r>
  <r>
    <s v="CA-2016-148684"/>
    <d v="2016-12-25T00:00:00"/>
    <d v="2016-12-29T00:00:00"/>
    <x v="1"/>
    <s v="TS-21655"/>
    <s v="Trudy Schmidt"/>
    <x v="0"/>
    <x v="160"/>
    <x v="31"/>
    <x v="0"/>
    <s v="FUR-FU-10003553"/>
    <s v="Furniture"/>
    <x v="3"/>
    <s v="Howard Miller 13-1/2&quot; Diameter Rosebrook Wall Clock"/>
    <n v="343.85"/>
    <n v="5"/>
    <n v="137.54"/>
    <x v="4"/>
    <x v="0"/>
    <x v="5"/>
  </r>
  <r>
    <s v="CA-2017-128363"/>
    <d v="2017-08-13T00:00:00"/>
    <d v="2017-08-18T00:00:00"/>
    <x v="1"/>
    <s v="DC-12850"/>
    <s v="Dan Campbell"/>
    <x v="0"/>
    <x v="10"/>
    <x v="9"/>
    <x v="0"/>
    <s v="FUR-FU-10003268"/>
    <s v="Furniture"/>
    <x v="3"/>
    <s v="Eldon Radial Chair Mat for Low to Medium Pile Carpets"/>
    <n v="31.984000000000002"/>
    <n v="1"/>
    <n v="0"/>
    <x v="2"/>
    <x v="3"/>
    <x v="10"/>
  </r>
  <r>
    <s v="CA-2017-128363"/>
    <d v="2017-08-13T00:00:00"/>
    <d v="2017-08-18T00:00:00"/>
    <x v="1"/>
    <s v="DC-12850"/>
    <s v="Dan Campbell"/>
    <x v="0"/>
    <x v="10"/>
    <x v="9"/>
    <x v="0"/>
    <s v="FUR-CH-10002073"/>
    <s v="Furniture"/>
    <x v="1"/>
    <s v="Hon Olson Stacker Chairs"/>
    <n v="423.64800000000002"/>
    <n v="2"/>
    <n v="47.660400000000003"/>
    <x v="2"/>
    <x v="3"/>
    <x v="10"/>
  </r>
  <r>
    <s v="CA-2016-149762"/>
    <d v="2016-12-03T00:00:00"/>
    <d v="2016-12-07T00:00:00"/>
    <x v="1"/>
    <s v="RD-19720"/>
    <s v="Roger Demir"/>
    <x v="0"/>
    <x v="333"/>
    <x v="2"/>
    <x v="1"/>
    <s v="FUR-TA-10004147"/>
    <s v="Furniture"/>
    <x v="2"/>
    <s v="Hon 4060 Series Tables"/>
    <n v="268.70400000000001"/>
    <n v="3"/>
    <n v="6.7176"/>
    <x v="4"/>
    <x v="0"/>
    <x v="5"/>
  </r>
  <r>
    <s v="CA-2016-149762"/>
    <d v="2016-12-03T00:00:00"/>
    <d v="2016-12-07T00:00:00"/>
    <x v="1"/>
    <s v="RD-19720"/>
    <s v="Roger Demir"/>
    <x v="0"/>
    <x v="333"/>
    <x v="2"/>
    <x v="1"/>
    <s v="FUR-BO-10001337"/>
    <s v="Furniture"/>
    <x v="0"/>
    <s v="O'Sullivan Living Dimensions 2-Shelf Bookcases"/>
    <n v="205.666"/>
    <n v="2"/>
    <n v="-12.098000000000001"/>
    <x v="4"/>
    <x v="0"/>
    <x v="5"/>
  </r>
  <r>
    <s v="CA-2016-167605"/>
    <d v="2016-04-28T00:00:00"/>
    <d v="2016-04-30T00:00:00"/>
    <x v="0"/>
    <s v="RB-19570"/>
    <s v="Rob Beeghly"/>
    <x v="0"/>
    <x v="317"/>
    <x v="8"/>
    <x v="3"/>
    <s v="FUR-FU-10001602"/>
    <s v="Furniture"/>
    <x v="3"/>
    <s v="Eldon Delta Triangular Chair Mat, 52&quot; x 58&quot;, Clear"/>
    <n v="30.344000000000001"/>
    <n v="2"/>
    <n v="-31.8612"/>
    <x v="3"/>
    <x v="0"/>
    <x v="6"/>
  </r>
  <r>
    <s v="CA-2015-110891"/>
    <d v="2015-11-20T00:00:00"/>
    <d v="2015-11-24T00:00:00"/>
    <x v="1"/>
    <s v="PO-19195"/>
    <s v="Phillina Ober"/>
    <x v="2"/>
    <x v="3"/>
    <x v="3"/>
    <x v="2"/>
    <s v="FUR-CH-10002880"/>
    <s v="Furniture"/>
    <x v="1"/>
    <s v="Global High-Back Leather Tilter, Burgundy"/>
    <n v="344.37200000000001"/>
    <n v="4"/>
    <n v="-93.472399999999993"/>
    <x v="4"/>
    <x v="1"/>
    <x v="0"/>
  </r>
  <r>
    <s v="CA-2017-120404"/>
    <d v="2017-11-20T00:00:00"/>
    <d v="2017-11-24T00:00:00"/>
    <x v="0"/>
    <s v="KH-16330"/>
    <s v="Katharine Harms"/>
    <x v="1"/>
    <x v="13"/>
    <x v="7"/>
    <x v="2"/>
    <s v="FUR-FU-10000820"/>
    <s v="Furniture"/>
    <x v="3"/>
    <s v="Tensor Brushed Steel Torchiere Floor Lamp"/>
    <n v="50.97"/>
    <n v="3"/>
    <n v="9.1745999999999999"/>
    <x v="4"/>
    <x v="3"/>
    <x v="0"/>
  </r>
  <r>
    <s v="CA-2017-167549"/>
    <d v="2017-07-25T00:00:00"/>
    <d v="2017-07-27T00:00:00"/>
    <x v="2"/>
    <s v="EM-14200"/>
    <s v="Evan Minnotte"/>
    <x v="2"/>
    <x v="144"/>
    <x v="5"/>
    <x v="3"/>
    <s v="FUR-TA-10004767"/>
    <s v="Furniture"/>
    <x v="2"/>
    <s v="Safco Drafting Table"/>
    <n v="298.11599999999999"/>
    <n v="6"/>
    <n v="-4.2587999999999999"/>
    <x v="3"/>
    <x v="3"/>
    <x v="3"/>
  </r>
  <r>
    <s v="US-2016-168095"/>
    <d v="2016-07-15T00:00:00"/>
    <d v="2016-07-20T00:00:00"/>
    <x v="1"/>
    <s v="MC-17425"/>
    <s v="Mark Cousins"/>
    <x v="1"/>
    <x v="295"/>
    <x v="36"/>
    <x v="1"/>
    <s v="FUR-CH-10004886"/>
    <s v="Furniture"/>
    <x v="1"/>
    <s v="Bevis Steel Folding Chairs"/>
    <n v="230.28"/>
    <n v="3"/>
    <n v="23.027999999999999"/>
    <x v="2"/>
    <x v="0"/>
    <x v="3"/>
  </r>
  <r>
    <s v="CA-2016-146325"/>
    <d v="2016-12-14T00:00:00"/>
    <d v="2016-12-17T00:00:00"/>
    <x v="2"/>
    <s v="DS-13180"/>
    <s v="David Smith"/>
    <x v="1"/>
    <x v="53"/>
    <x v="2"/>
    <x v="1"/>
    <s v="FUR-CH-10001146"/>
    <s v="Furniture"/>
    <x v="1"/>
    <s v="Global Task Chair, Black"/>
    <n v="81.424000000000007"/>
    <n v="2"/>
    <n v="-9.1601999999999997"/>
    <x v="0"/>
    <x v="0"/>
    <x v="5"/>
  </r>
  <r>
    <s v="CA-2014-131009"/>
    <d v="2014-03-01T00:00:00"/>
    <d v="2014-03-05T00:00:00"/>
    <x v="1"/>
    <s v="SC-20380"/>
    <s v="Shahid Collister"/>
    <x v="0"/>
    <x v="116"/>
    <x v="5"/>
    <x v="3"/>
    <s v="FUR-CH-10001270"/>
    <s v="Furniture"/>
    <x v="1"/>
    <s v="Harbour Creations Steel Folding Chair"/>
    <n v="362.25"/>
    <n v="6"/>
    <n v="0"/>
    <x v="4"/>
    <x v="2"/>
    <x v="9"/>
  </r>
  <r>
    <s v="CA-2014-131009"/>
    <d v="2014-03-01T00:00:00"/>
    <d v="2014-03-05T00:00:00"/>
    <x v="1"/>
    <s v="SC-20380"/>
    <s v="Shahid Collister"/>
    <x v="0"/>
    <x v="116"/>
    <x v="5"/>
    <x v="3"/>
    <s v="FUR-FU-10001095"/>
    <s v="Furniture"/>
    <x v="3"/>
    <s v="DAX Black Cherry Wood-Tone Poster Frame"/>
    <n v="63.552"/>
    <n v="6"/>
    <n v="-34.953600000000002"/>
    <x v="4"/>
    <x v="2"/>
    <x v="9"/>
  </r>
  <r>
    <s v="CA-2017-131807"/>
    <d v="2017-10-05T00:00:00"/>
    <d v="2017-10-10T00:00:00"/>
    <x v="1"/>
    <s v="GG-14650"/>
    <s v="Greg Guthrie"/>
    <x v="1"/>
    <x v="297"/>
    <x v="2"/>
    <x v="1"/>
    <s v="FUR-CH-10001190"/>
    <s v="Furniture"/>
    <x v="1"/>
    <s v="Global Deluxe High-Back Office Chair in Storm"/>
    <n v="435.16800000000001"/>
    <n v="4"/>
    <n v="-59.835599999999999"/>
    <x v="2"/>
    <x v="3"/>
    <x v="1"/>
  </r>
  <r>
    <s v="CA-2017-131807"/>
    <d v="2017-10-05T00:00:00"/>
    <d v="2017-10-10T00:00:00"/>
    <x v="1"/>
    <s v="GG-14650"/>
    <s v="Greg Guthrie"/>
    <x v="1"/>
    <x v="297"/>
    <x v="2"/>
    <x v="1"/>
    <s v="FUR-FU-10004666"/>
    <s v="Furniture"/>
    <x v="3"/>
    <s v="DAX Clear Channel Poster Frame"/>
    <n v="72.900000000000006"/>
    <n v="5"/>
    <n v="26.972999999999999"/>
    <x v="2"/>
    <x v="3"/>
    <x v="1"/>
  </r>
  <r>
    <s v="CA-2017-131807"/>
    <d v="2017-10-05T00:00:00"/>
    <d v="2017-10-10T00:00:00"/>
    <x v="1"/>
    <s v="GG-14650"/>
    <s v="Greg Guthrie"/>
    <x v="1"/>
    <x v="297"/>
    <x v="2"/>
    <x v="1"/>
    <s v="FUR-TA-10004086"/>
    <s v="Furniture"/>
    <x v="2"/>
    <s v="KI Adjustable-Height Table"/>
    <n v="206.352"/>
    <n v="3"/>
    <n v="5.1588000000000003"/>
    <x v="2"/>
    <x v="3"/>
    <x v="1"/>
  </r>
  <r>
    <s v="CA-2016-157707"/>
    <d v="2016-10-10T00:00:00"/>
    <d v="2016-10-12T00:00:00"/>
    <x v="2"/>
    <s v="CC-12610"/>
    <s v="Corey Catlett"/>
    <x v="1"/>
    <x v="22"/>
    <x v="12"/>
    <x v="1"/>
    <s v="FUR-BO-10001567"/>
    <s v="Furniture"/>
    <x v="0"/>
    <s v="Bush Westfield Collection Bookcases, Dark Cherry Finish, Fully Assembled"/>
    <n v="90.882000000000005"/>
    <n v="3"/>
    <n v="-190.85220000000001"/>
    <x v="3"/>
    <x v="0"/>
    <x v="1"/>
  </r>
  <r>
    <s v="CA-2016-157707"/>
    <d v="2016-10-10T00:00:00"/>
    <d v="2016-10-12T00:00:00"/>
    <x v="2"/>
    <s v="CC-12610"/>
    <s v="Corey Catlett"/>
    <x v="1"/>
    <x v="22"/>
    <x v="12"/>
    <x v="1"/>
    <s v="FUR-CH-10004853"/>
    <s v="Furniture"/>
    <x v="1"/>
    <s v="Global Manager's Adjustable Task Chair, Storm"/>
    <n v="120.78400000000001"/>
    <n v="1"/>
    <n v="13.588200000000001"/>
    <x v="3"/>
    <x v="0"/>
    <x v="1"/>
  </r>
  <r>
    <s v="US-2015-126753"/>
    <d v="2015-08-16T00:00:00"/>
    <d v="2015-08-20T00:00:00"/>
    <x v="1"/>
    <s v="SP-20860"/>
    <s v="Sung Pak"/>
    <x v="1"/>
    <x v="3"/>
    <x v="3"/>
    <x v="2"/>
    <s v="FUR-FU-10001488"/>
    <s v="Furniture"/>
    <x v="3"/>
    <s v="Tenex 46&quot; x 60&quot; Computer Anti-Static Chairmat, Rectangular Shaped"/>
    <n v="254.352"/>
    <n v="3"/>
    <n v="0"/>
    <x v="4"/>
    <x v="1"/>
    <x v="10"/>
  </r>
  <r>
    <s v="CA-2014-113383"/>
    <d v="2014-09-10T00:00:00"/>
    <d v="2014-09-13T00:00:00"/>
    <x v="2"/>
    <s v="SF-20065"/>
    <s v="Sandra Flanagan"/>
    <x v="0"/>
    <x v="334"/>
    <x v="18"/>
    <x v="2"/>
    <s v="FUR-FU-10001986"/>
    <s v="Furniture"/>
    <x v="3"/>
    <s v="Dana Fluorescent Magnifying Lamp, White, 36&quot;"/>
    <n v="254.9"/>
    <n v="5"/>
    <n v="76.47"/>
    <x v="0"/>
    <x v="2"/>
    <x v="4"/>
  </r>
  <r>
    <s v="US-2015-165743"/>
    <d v="2015-11-20T00:00:00"/>
    <d v="2015-11-23T00:00:00"/>
    <x v="0"/>
    <s v="MM-18055"/>
    <s v="Michelle Moray"/>
    <x v="0"/>
    <x v="14"/>
    <x v="12"/>
    <x v="1"/>
    <s v="FUR-BO-10002268"/>
    <s v="Furniture"/>
    <x v="0"/>
    <s v="Sauder Barrister Bookcases"/>
    <n v="145.76400000000001"/>
    <n v="6"/>
    <n v="-247.7988"/>
    <x v="0"/>
    <x v="1"/>
    <x v="0"/>
  </r>
  <r>
    <s v="US-2017-105998"/>
    <d v="2017-11-03T00:00:00"/>
    <d v="2017-11-05T00:00:00"/>
    <x v="2"/>
    <s v="CR-12580"/>
    <s v="Clay Rozendal"/>
    <x v="2"/>
    <x v="53"/>
    <x v="2"/>
    <x v="1"/>
    <s v="FUR-TA-10001095"/>
    <s v="Furniture"/>
    <x v="2"/>
    <s v="Chromcraft Round Conference Tables"/>
    <n v="1673.184"/>
    <n v="12"/>
    <n v="20.9148"/>
    <x v="3"/>
    <x v="3"/>
    <x v="0"/>
  </r>
  <r>
    <s v="US-2014-148194"/>
    <d v="2014-05-04T00:00:00"/>
    <d v="2014-05-07T00:00:00"/>
    <x v="2"/>
    <s v="BS-11365"/>
    <s v="Bill Shonely"/>
    <x v="1"/>
    <x v="15"/>
    <x v="13"/>
    <x v="1"/>
    <s v="FUR-FU-10001852"/>
    <s v="Furniture"/>
    <x v="3"/>
    <s v="Eldon Regeneration Recycled Desk Accessories, Smoke"/>
    <n v="12.18"/>
    <n v="7"/>
    <n v="3.8976000000000002"/>
    <x v="0"/>
    <x v="2"/>
    <x v="7"/>
  </r>
  <r>
    <s v="CA-2014-143210"/>
    <d v="2014-12-01T00:00:00"/>
    <d v="2014-12-03T00:00:00"/>
    <x v="2"/>
    <s v="AA-10645"/>
    <s v="Anna Andreadi"/>
    <x v="0"/>
    <x v="172"/>
    <x v="20"/>
    <x v="2"/>
    <s v="FUR-FU-10003878"/>
    <s v="Furniture"/>
    <x v="3"/>
    <s v="Linden 10&quot; Round Wall Clock, Black"/>
    <n v="45.84"/>
    <n v="3"/>
    <n v="15.585599999999999"/>
    <x v="3"/>
    <x v="2"/>
    <x v="5"/>
  </r>
  <r>
    <s v="CA-2014-143210"/>
    <d v="2014-12-01T00:00:00"/>
    <d v="2014-12-03T00:00:00"/>
    <x v="2"/>
    <s v="AA-10645"/>
    <s v="Anna Andreadi"/>
    <x v="0"/>
    <x v="172"/>
    <x v="20"/>
    <x v="2"/>
    <s v="FUR-FU-10002268"/>
    <s v="Furniture"/>
    <x v="3"/>
    <s v="Ultra Door Push Plate"/>
    <n v="9.82"/>
    <n v="2"/>
    <n v="3.2406000000000001"/>
    <x v="3"/>
    <x v="2"/>
    <x v="5"/>
  </r>
  <r>
    <s v="CA-2015-110863"/>
    <d v="2015-11-17T00:00:00"/>
    <d v="2015-11-24T00:00:00"/>
    <x v="1"/>
    <s v="AA-10645"/>
    <s v="Anna Andreadi"/>
    <x v="0"/>
    <x v="258"/>
    <x v="37"/>
    <x v="3"/>
    <s v="FUR-CH-10002073"/>
    <s v="Furniture"/>
    <x v="1"/>
    <s v="Hon Olson Stacker Chairs"/>
    <n v="1323.9"/>
    <n v="5"/>
    <n v="383.93099999999998"/>
    <x v="1"/>
    <x v="1"/>
    <x v="0"/>
  </r>
  <r>
    <s v="CA-2017-120168"/>
    <d v="2017-05-25T00:00:00"/>
    <d v="2017-05-25T00:00:00"/>
    <x v="3"/>
    <s v="TB-21625"/>
    <s v="Trudy Brown"/>
    <x v="0"/>
    <x v="13"/>
    <x v="7"/>
    <x v="2"/>
    <s v="FUR-FU-10000732"/>
    <s v="Furniture"/>
    <x v="3"/>
    <s v="Eldon 200 Class Desk Accessories"/>
    <n v="18.84"/>
    <n v="3"/>
    <n v="6.0288000000000004"/>
    <x v="7"/>
    <x v="3"/>
    <x v="7"/>
  </r>
  <r>
    <s v="US-2014-131870"/>
    <d v="2014-09-09T00:00:00"/>
    <d v="2014-09-11T00:00:00"/>
    <x v="2"/>
    <s v="NF-18595"/>
    <s v="Nicole Fjeld"/>
    <x v="2"/>
    <x v="68"/>
    <x v="15"/>
    <x v="2"/>
    <s v="FUR-FU-10002501"/>
    <s v="Furniture"/>
    <x v="3"/>
    <s v="Nu-Dell Executive Frame"/>
    <n v="60.671999999999997"/>
    <n v="6"/>
    <n v="12.892799999999999"/>
    <x v="3"/>
    <x v="2"/>
    <x v="4"/>
  </r>
  <r>
    <s v="CA-2014-129189"/>
    <d v="2014-07-21T00:00:00"/>
    <d v="2014-07-25T00:00:00"/>
    <x v="1"/>
    <s v="HM-14860"/>
    <s v="Harry Marie"/>
    <x v="1"/>
    <x v="144"/>
    <x v="5"/>
    <x v="3"/>
    <s v="FUR-CH-10004997"/>
    <s v="Furniture"/>
    <x v="1"/>
    <s v="Hon Every-Day Series Multi-Task Chairs"/>
    <n v="657.93"/>
    <n v="5"/>
    <n v="-93.99"/>
    <x v="4"/>
    <x v="2"/>
    <x v="3"/>
  </r>
  <r>
    <s v="CA-2015-132465"/>
    <d v="2015-09-11T00:00:00"/>
    <d v="2015-09-15T00:00:00"/>
    <x v="0"/>
    <s v="DM-13525"/>
    <s v="Don Miller"/>
    <x v="1"/>
    <x v="13"/>
    <x v="7"/>
    <x v="2"/>
    <s v="FUR-FU-10000277"/>
    <s v="Furniture"/>
    <x v="3"/>
    <s v="Deflect-o DuraMat Antistatic Studded Beveled Mat for Medium Pile Carpeting"/>
    <n v="210.68"/>
    <n v="2"/>
    <n v="50.563200000000002"/>
    <x v="4"/>
    <x v="1"/>
    <x v="4"/>
  </r>
  <r>
    <s v="CA-2016-158806"/>
    <d v="2016-01-07T00:00:00"/>
    <d v="2016-01-11T00:00:00"/>
    <x v="1"/>
    <s v="NM-18520"/>
    <s v="Neoma Murray"/>
    <x v="0"/>
    <x v="45"/>
    <x v="5"/>
    <x v="3"/>
    <s v="FUR-FU-10004270"/>
    <s v="Furniture"/>
    <x v="3"/>
    <s v="Executive Impressions 13&quot; Clairmont Wall Clock"/>
    <n v="23.076000000000001"/>
    <n v="3"/>
    <n v="-10.9611"/>
    <x v="4"/>
    <x v="0"/>
    <x v="8"/>
  </r>
  <r>
    <s v="CA-2015-119690"/>
    <d v="2015-06-25T00:00:00"/>
    <d v="2015-06-28T00:00:00"/>
    <x v="2"/>
    <s v="MV-17485"/>
    <s v="Mark Van Huff"/>
    <x v="0"/>
    <x v="6"/>
    <x v="5"/>
    <x v="3"/>
    <s v="FUR-FU-10004587"/>
    <s v="Furniture"/>
    <x v="3"/>
    <s v="GE General Use Halogen Bulbs, 100 Watts, 1 Bulb per Pack"/>
    <n v="75.384"/>
    <n v="9"/>
    <n v="-20.730599999999999"/>
    <x v="0"/>
    <x v="1"/>
    <x v="2"/>
  </r>
  <r>
    <s v="CA-2017-109393"/>
    <d v="2017-06-30T00:00:00"/>
    <d v="2017-07-02T00:00:00"/>
    <x v="0"/>
    <s v="JC-15775"/>
    <s v="John Castell"/>
    <x v="0"/>
    <x v="2"/>
    <x v="2"/>
    <x v="1"/>
    <s v="FUR-BO-10003966"/>
    <s v="Furniture"/>
    <x v="0"/>
    <s v="Sauder Facets Collection Library, Sky Alder Finish"/>
    <n v="435.99900000000002"/>
    <n v="3"/>
    <n v="5.1294000000000004"/>
    <x v="3"/>
    <x v="3"/>
    <x v="2"/>
  </r>
  <r>
    <s v="CA-2017-121489"/>
    <d v="2017-08-21T00:00:00"/>
    <d v="2017-08-25T00:00:00"/>
    <x v="0"/>
    <s v="CM-11815"/>
    <s v="Candace McMahon"/>
    <x v="1"/>
    <x v="15"/>
    <x v="13"/>
    <x v="1"/>
    <s v="FUR-CH-10004698"/>
    <s v="Furniture"/>
    <x v="1"/>
    <s v="Padded Folding Chairs, Black, 4/Carton"/>
    <n v="388.70400000000001"/>
    <n v="6"/>
    <n v="38.870399999999997"/>
    <x v="4"/>
    <x v="3"/>
    <x v="10"/>
  </r>
  <r>
    <s v="US-2017-133081"/>
    <d v="2017-03-11T00:00:00"/>
    <d v="2017-03-15T00:00:00"/>
    <x v="1"/>
    <s v="PV-18985"/>
    <s v="Paul Van Hugh"/>
    <x v="2"/>
    <x v="335"/>
    <x v="20"/>
    <x v="2"/>
    <s v="FUR-FU-10001379"/>
    <s v="Furniture"/>
    <x v="3"/>
    <s v="Executive Impressions 16-1/2&quot; Circular Wall Clock"/>
    <n v="26.72"/>
    <n v="1"/>
    <n v="11.7568"/>
    <x v="4"/>
    <x v="3"/>
    <x v="9"/>
  </r>
  <r>
    <s v="CA-2014-144974"/>
    <d v="2014-09-26T00:00:00"/>
    <d v="2014-09-30T00:00:00"/>
    <x v="1"/>
    <s v="CM-12715"/>
    <s v="Craig Molinari"/>
    <x v="1"/>
    <x v="3"/>
    <x v="3"/>
    <x v="2"/>
    <s v="FUR-FU-10001095"/>
    <s v="Furniture"/>
    <x v="3"/>
    <s v="DAX Black Cherry Wood-Tone Poster Frame"/>
    <n v="21.184000000000001"/>
    <n v="1"/>
    <n v="4.7664"/>
    <x v="4"/>
    <x v="2"/>
    <x v="4"/>
  </r>
  <r>
    <s v="CA-2015-121188"/>
    <d v="2015-08-28T00:00:00"/>
    <d v="2015-09-04T00:00:00"/>
    <x v="1"/>
    <s v="CB-12025"/>
    <s v="Cassandra Brandow"/>
    <x v="0"/>
    <x v="2"/>
    <x v="2"/>
    <x v="1"/>
    <s v="FUR-BO-10004695"/>
    <s v="Furniture"/>
    <x v="0"/>
    <s v="O'Sullivan 2-Door Barrister Bookcase in Odessa Pine"/>
    <n v="307.666"/>
    <n v="2"/>
    <n v="28.956800000000001"/>
    <x v="1"/>
    <x v="1"/>
    <x v="10"/>
  </r>
  <r>
    <s v="CA-2015-121188"/>
    <d v="2015-08-28T00:00:00"/>
    <d v="2015-09-04T00:00:00"/>
    <x v="1"/>
    <s v="CB-12025"/>
    <s v="Cassandra Brandow"/>
    <x v="0"/>
    <x v="2"/>
    <x v="2"/>
    <x v="1"/>
    <s v="FUR-FU-10003981"/>
    <s v="Furniture"/>
    <x v="3"/>
    <s v="Eldon Wave Desk Accessories"/>
    <n v="4.16"/>
    <n v="2"/>
    <n v="1.7472000000000001"/>
    <x v="1"/>
    <x v="1"/>
    <x v="10"/>
  </r>
  <r>
    <s v="US-2015-160563"/>
    <d v="2015-10-20T00:00:00"/>
    <d v="2015-10-24T00:00:00"/>
    <x v="1"/>
    <s v="NS-18640"/>
    <s v="Noel Staavos"/>
    <x v="1"/>
    <x v="28"/>
    <x v="2"/>
    <x v="1"/>
    <s v="FUR-FU-10001731"/>
    <s v="Furniture"/>
    <x v="3"/>
    <s v="Acrylic Self-Standing Desk Frames"/>
    <n v="16.02"/>
    <n v="6"/>
    <n v="6.0876000000000001"/>
    <x v="4"/>
    <x v="1"/>
    <x v="1"/>
  </r>
  <r>
    <s v="CA-2017-151750"/>
    <d v="2017-01-01T00:00:00"/>
    <d v="2017-01-05T00:00:00"/>
    <x v="1"/>
    <s v="JM-15250"/>
    <s v="Janet Martin"/>
    <x v="0"/>
    <x v="156"/>
    <x v="5"/>
    <x v="3"/>
    <s v="FUR-FU-10002116"/>
    <s v="Furniture"/>
    <x v="3"/>
    <s v="Tenex Carpeted, Granite-Look or Clear Contemporary Contour Shape Chair Mats"/>
    <n v="141.41999999999999"/>
    <n v="5"/>
    <n v="-187.38149999999999"/>
    <x v="4"/>
    <x v="3"/>
    <x v="8"/>
  </r>
  <r>
    <s v="CA-2017-151750"/>
    <d v="2017-01-01T00:00:00"/>
    <d v="2017-01-05T00:00:00"/>
    <x v="1"/>
    <s v="JM-15250"/>
    <s v="Janet Martin"/>
    <x v="0"/>
    <x v="156"/>
    <x v="5"/>
    <x v="3"/>
    <s v="FUR-CH-10003199"/>
    <s v="Furniture"/>
    <x v="1"/>
    <s v="Office Star - Contemporary Task Swivel Chair"/>
    <n v="310.74400000000003"/>
    <n v="4"/>
    <n v="-26.635200000000001"/>
    <x v="4"/>
    <x v="3"/>
    <x v="8"/>
  </r>
  <r>
    <s v="CA-2015-106187"/>
    <d v="2015-06-23T00:00:00"/>
    <d v="2015-06-29T00:00:00"/>
    <x v="1"/>
    <s v="RF-19345"/>
    <s v="Randy Ferguson"/>
    <x v="1"/>
    <x v="336"/>
    <x v="24"/>
    <x v="0"/>
    <s v="FUR-FU-10000794"/>
    <s v="Furniture"/>
    <x v="3"/>
    <s v="Eldon Stackable Tray, Side-Load, Legal, Smoke"/>
    <n v="27.42"/>
    <n v="3"/>
    <n v="9.3228000000000009"/>
    <x v="6"/>
    <x v="1"/>
    <x v="2"/>
  </r>
  <r>
    <s v="CA-2016-105753"/>
    <d v="2016-10-20T00:00:00"/>
    <d v="2016-10-26T00:00:00"/>
    <x v="1"/>
    <s v="LC-16960"/>
    <s v="Lindsay Castell"/>
    <x v="2"/>
    <x v="58"/>
    <x v="25"/>
    <x v="0"/>
    <s v="FUR-FU-10000246"/>
    <s v="Furniture"/>
    <x v="3"/>
    <s v="Aluminum Document Frame"/>
    <n v="61.1"/>
    <n v="5"/>
    <n v="18.329999999999998"/>
    <x v="6"/>
    <x v="0"/>
    <x v="1"/>
  </r>
  <r>
    <s v="CA-2017-133046"/>
    <d v="2017-07-27T00:00:00"/>
    <d v="2017-08-01T00:00:00"/>
    <x v="0"/>
    <s v="DK-13375"/>
    <s v="Dennis Kane"/>
    <x v="0"/>
    <x v="15"/>
    <x v="13"/>
    <x v="1"/>
    <s v="FUR-FU-10001940"/>
    <s v="Furniture"/>
    <x v="3"/>
    <s v="Staple-based wall hangings"/>
    <n v="23.88"/>
    <n v="3"/>
    <n v="10.507199999999999"/>
    <x v="2"/>
    <x v="3"/>
    <x v="3"/>
  </r>
  <r>
    <s v="CA-2017-159149"/>
    <d v="2017-02-17T00:00:00"/>
    <d v="2017-02-19T00:00:00"/>
    <x v="2"/>
    <s v="CR-12820"/>
    <s v="Cyra Reiten"/>
    <x v="2"/>
    <x v="6"/>
    <x v="5"/>
    <x v="3"/>
    <s v="FUR-BO-10001601"/>
    <s v="Furniture"/>
    <x v="0"/>
    <s v="Sauder Mission Library with Doors, Fruitwood Finish"/>
    <n v="89.066400000000002"/>
    <n v="1"/>
    <n v="-17.0274"/>
    <x v="3"/>
    <x v="3"/>
    <x v="11"/>
  </r>
  <r>
    <s v="US-2017-167570"/>
    <d v="2017-12-08T00:00:00"/>
    <d v="2017-12-15T00:00:00"/>
    <x v="1"/>
    <s v="EG-13900"/>
    <s v="Emily Grady"/>
    <x v="0"/>
    <x v="3"/>
    <x v="3"/>
    <x v="2"/>
    <s v="FUR-CH-10003396"/>
    <s v="Furniture"/>
    <x v="1"/>
    <s v="Global Deluxe Steno Chair"/>
    <n v="215.54400000000001"/>
    <n v="4"/>
    <n v="-58.504800000000003"/>
    <x v="1"/>
    <x v="3"/>
    <x v="5"/>
  </r>
  <r>
    <s v="CA-2017-160122"/>
    <d v="2017-11-18T00:00:00"/>
    <d v="2017-11-23T00:00:00"/>
    <x v="1"/>
    <s v="RD-19930"/>
    <s v="Russell D'Ascenzo"/>
    <x v="0"/>
    <x v="9"/>
    <x v="8"/>
    <x v="3"/>
    <s v="FUR-CH-10000422"/>
    <s v="Furniture"/>
    <x v="1"/>
    <s v="Global Highback Leather Tilter in Burgundy"/>
    <n v="127.386"/>
    <n v="2"/>
    <n v="-25.4772"/>
    <x v="2"/>
    <x v="3"/>
    <x v="0"/>
  </r>
  <r>
    <s v="CA-2016-130393"/>
    <d v="2016-12-01T00:00:00"/>
    <d v="2016-12-03T00:00:00"/>
    <x v="0"/>
    <s v="JM-15865"/>
    <s v="John Murray"/>
    <x v="0"/>
    <x v="147"/>
    <x v="5"/>
    <x v="3"/>
    <s v="FUR-CH-10002647"/>
    <s v="Furniture"/>
    <x v="1"/>
    <s v="Situations Contoured Folding Chairs, 4/Set"/>
    <n v="248.43"/>
    <n v="5"/>
    <n v="-17.745000000000001"/>
    <x v="3"/>
    <x v="0"/>
    <x v="5"/>
  </r>
  <r>
    <s v="CA-2016-130393"/>
    <d v="2016-12-01T00:00:00"/>
    <d v="2016-12-03T00:00:00"/>
    <x v="0"/>
    <s v="JM-15865"/>
    <s v="John Murray"/>
    <x v="0"/>
    <x v="147"/>
    <x v="5"/>
    <x v="3"/>
    <s v="FUR-CH-10004477"/>
    <s v="Furniture"/>
    <x v="1"/>
    <s v="Global Push Button Manager's Chair, Indigo"/>
    <n v="85.245999999999995"/>
    <n v="2"/>
    <n v="-1.2178"/>
    <x v="3"/>
    <x v="0"/>
    <x v="5"/>
  </r>
  <r>
    <s v="CA-2017-101014"/>
    <d v="2017-08-29T00:00:00"/>
    <d v="2017-09-04T00:00:00"/>
    <x v="1"/>
    <s v="RW-19540"/>
    <s v="Rick Wilson"/>
    <x v="1"/>
    <x v="2"/>
    <x v="2"/>
    <x v="1"/>
    <s v="FUR-FU-10003374"/>
    <s v="Furniture"/>
    <x v="3"/>
    <s v="Electrix Fluorescent Magnifier Lamps &amp; Weighted Base"/>
    <n v="148.02000000000001"/>
    <n v="3"/>
    <n v="41.445599999999999"/>
    <x v="6"/>
    <x v="3"/>
    <x v="10"/>
  </r>
  <r>
    <s v="US-2017-106551"/>
    <d v="2017-07-22T00:00:00"/>
    <d v="2017-07-27T00:00:00"/>
    <x v="1"/>
    <s v="EB-13930"/>
    <s v="Eric Barreto"/>
    <x v="0"/>
    <x v="9"/>
    <x v="8"/>
    <x v="3"/>
    <s v="FUR-CH-10004997"/>
    <s v="Furniture"/>
    <x v="1"/>
    <s v="Hon Every-Day Series Multi-Task Chairs"/>
    <n v="526.34400000000005"/>
    <n v="4"/>
    <n v="-75.191999999999993"/>
    <x v="2"/>
    <x v="3"/>
    <x v="3"/>
  </r>
  <r>
    <s v="CA-2016-116722"/>
    <d v="2016-11-11T00:00:00"/>
    <d v="2016-11-16T00:00:00"/>
    <x v="1"/>
    <s v="LP-17080"/>
    <s v="Liz Pelletier"/>
    <x v="0"/>
    <x v="28"/>
    <x v="2"/>
    <x v="1"/>
    <s v="FUR-FU-10001934"/>
    <s v="Furniture"/>
    <x v="3"/>
    <s v="Magnifier Swing Arm Lamp"/>
    <n v="41.96"/>
    <n v="2"/>
    <n v="10.909599999999999"/>
    <x v="2"/>
    <x v="0"/>
    <x v="0"/>
  </r>
  <r>
    <s v="CA-2016-116722"/>
    <d v="2016-11-11T00:00:00"/>
    <d v="2016-11-16T00:00:00"/>
    <x v="1"/>
    <s v="LP-17080"/>
    <s v="Liz Pelletier"/>
    <x v="0"/>
    <x v="28"/>
    <x v="2"/>
    <x v="1"/>
    <s v="FUR-CH-10004997"/>
    <s v="Furniture"/>
    <x v="1"/>
    <s v="Hon Every-Day Series Multi-Task Chairs"/>
    <n v="451.15199999999999"/>
    <n v="3"/>
    <n v="0"/>
    <x v="2"/>
    <x v="0"/>
    <x v="0"/>
  </r>
  <r>
    <s v="US-2017-150070"/>
    <d v="2017-09-07T00:00:00"/>
    <d v="2017-09-12T00:00:00"/>
    <x v="1"/>
    <s v="JA-15970"/>
    <s v="Joseph Airdo"/>
    <x v="0"/>
    <x v="337"/>
    <x v="2"/>
    <x v="1"/>
    <s v="FUR-CH-10004860"/>
    <s v="Furniture"/>
    <x v="1"/>
    <s v="Global Low Back Tilter Chair"/>
    <n v="161.56800000000001"/>
    <n v="2"/>
    <n v="-28.2744"/>
    <x v="2"/>
    <x v="3"/>
    <x v="4"/>
  </r>
  <r>
    <s v="CA-2017-157350"/>
    <d v="2017-08-26T00:00:00"/>
    <d v="2017-09-01T00:00:00"/>
    <x v="1"/>
    <s v="DP-13000"/>
    <s v="Darren Powers"/>
    <x v="0"/>
    <x v="9"/>
    <x v="8"/>
    <x v="3"/>
    <s v="FUR-FU-10000222"/>
    <s v="Furniture"/>
    <x v="3"/>
    <s v="Seth Thomas 16&quot; Steel Case Clock"/>
    <n v="64.959999999999994"/>
    <n v="5"/>
    <n v="-43.847999999999999"/>
    <x v="6"/>
    <x v="3"/>
    <x v="10"/>
  </r>
  <r>
    <s v="CA-2015-131352"/>
    <d v="2015-10-08T00:00:00"/>
    <d v="2015-10-13T00:00:00"/>
    <x v="1"/>
    <s v="GH-14485"/>
    <s v="Gene Hale"/>
    <x v="1"/>
    <x v="144"/>
    <x v="5"/>
    <x v="3"/>
    <s v="FUR-FU-10003708"/>
    <s v="Furniture"/>
    <x v="3"/>
    <s v="Tenex Traditional Chairmats for Medium Pile Carpet, Standard Lip, 36&quot; x 48&quot;"/>
    <n v="72.78"/>
    <n v="3"/>
    <n v="-70.960499999999996"/>
    <x v="2"/>
    <x v="1"/>
    <x v="1"/>
  </r>
  <r>
    <s v="CA-2016-118073"/>
    <d v="2016-08-12T00:00:00"/>
    <d v="2016-08-16T00:00:00"/>
    <x v="1"/>
    <s v="CS-12490"/>
    <s v="Cindy Schnelling"/>
    <x v="1"/>
    <x v="49"/>
    <x v="1"/>
    <x v="0"/>
    <s v="FUR-TA-10002533"/>
    <s v="Furniture"/>
    <x v="2"/>
    <s v="BPI Conference Tables"/>
    <n v="562.29250000000002"/>
    <n v="7"/>
    <n v="-255.58750000000001"/>
    <x v="4"/>
    <x v="0"/>
    <x v="10"/>
  </r>
  <r>
    <s v="CA-2014-103219"/>
    <d v="2014-11-09T00:00:00"/>
    <d v="2014-11-13T00:00:00"/>
    <x v="1"/>
    <s v="BF-11215"/>
    <s v="Benjamin Farhat"/>
    <x v="2"/>
    <x v="13"/>
    <x v="7"/>
    <x v="2"/>
    <s v="FUR-FU-10004091"/>
    <s v="Furniture"/>
    <x v="3"/>
    <s v="Eldon 200 Class Desk Accessories, Black"/>
    <n v="56.52"/>
    <n v="9"/>
    <n v="21.477599999999999"/>
    <x v="4"/>
    <x v="2"/>
    <x v="0"/>
  </r>
  <r>
    <s v="CA-2016-100993"/>
    <d v="2016-02-05T00:00:00"/>
    <d v="2016-02-10T00:00:00"/>
    <x v="1"/>
    <s v="AZ-10750"/>
    <s v="Annie Zypern"/>
    <x v="0"/>
    <x v="53"/>
    <x v="2"/>
    <x v="1"/>
    <s v="FUR-TA-10001095"/>
    <s v="Furniture"/>
    <x v="2"/>
    <s v="Chromcraft Round Conference Tables"/>
    <n v="557.72799999999995"/>
    <n v="4"/>
    <n v="6.9715999999999996"/>
    <x v="2"/>
    <x v="0"/>
    <x v="11"/>
  </r>
  <r>
    <s v="CA-2014-167997"/>
    <d v="2014-01-26T00:00:00"/>
    <d v="2014-01-29T00:00:00"/>
    <x v="2"/>
    <s v="CA-11965"/>
    <s v="Carol Adams"/>
    <x v="1"/>
    <x v="338"/>
    <x v="40"/>
    <x v="3"/>
    <s v="FUR-BO-10004409"/>
    <s v="Furniture"/>
    <x v="0"/>
    <s v="Safco Value Mate Series Steel Bookcases, Baked Enamel Finish on Steel, Gray"/>
    <n v="141.96"/>
    <n v="2"/>
    <n v="39.748800000000003"/>
    <x v="0"/>
    <x v="2"/>
    <x v="8"/>
  </r>
  <r>
    <s v="CA-2016-131296"/>
    <d v="2016-10-04T00:00:00"/>
    <d v="2016-10-09T00:00:00"/>
    <x v="1"/>
    <s v="MS-17830"/>
    <s v="Melanie Seite"/>
    <x v="0"/>
    <x v="237"/>
    <x v="32"/>
    <x v="2"/>
    <s v="FUR-TA-10002622"/>
    <s v="Furniture"/>
    <x v="2"/>
    <s v="Bush Andora Conference Table, Maple/Graphite Gray Finish"/>
    <n v="239.37200000000001"/>
    <n v="2"/>
    <n v="-23.937200000000001"/>
    <x v="2"/>
    <x v="0"/>
    <x v="1"/>
  </r>
  <r>
    <s v="CA-2016-134138"/>
    <d v="2016-02-16T00:00:00"/>
    <d v="2016-02-20T00:00:00"/>
    <x v="1"/>
    <s v="JD-15790"/>
    <s v="John Dryer"/>
    <x v="0"/>
    <x v="31"/>
    <x v="18"/>
    <x v="2"/>
    <s v="FUR-CH-10001545"/>
    <s v="Furniture"/>
    <x v="1"/>
    <s v="Hon Comfortask Task/Swivel Chairs"/>
    <n v="227.96"/>
    <n v="2"/>
    <n v="36.473599999999998"/>
    <x v="4"/>
    <x v="0"/>
    <x v="11"/>
  </r>
  <r>
    <s v="CA-2015-168207"/>
    <d v="2015-11-02T00:00:00"/>
    <d v="2015-11-06T00:00:00"/>
    <x v="1"/>
    <s v="LT-17110"/>
    <s v="Liz Thompson"/>
    <x v="0"/>
    <x v="53"/>
    <x v="2"/>
    <x v="1"/>
    <s v="FUR-FU-10004909"/>
    <s v="Furniture"/>
    <x v="3"/>
    <s v="Contemporary Wood/Metal Frame"/>
    <n v="96.96"/>
    <n v="6"/>
    <n v="33.936"/>
    <x v="4"/>
    <x v="1"/>
    <x v="0"/>
  </r>
  <r>
    <s v="CA-2015-168207"/>
    <d v="2015-11-02T00:00:00"/>
    <d v="2015-11-06T00:00:00"/>
    <x v="1"/>
    <s v="LT-17110"/>
    <s v="Liz Thompson"/>
    <x v="0"/>
    <x v="53"/>
    <x v="2"/>
    <x v="1"/>
    <s v="FUR-BO-10004357"/>
    <s v="Furniture"/>
    <x v="0"/>
    <s v="O'Sullivan Living Dimensions 3-Shelf Bookcases"/>
    <n v="512.49900000000002"/>
    <n v="3"/>
    <n v="-30.146999999999998"/>
    <x v="4"/>
    <x v="1"/>
    <x v="0"/>
  </r>
  <r>
    <s v="CA-2016-144148"/>
    <d v="2016-07-31T00:00:00"/>
    <d v="2016-08-05T00:00:00"/>
    <x v="1"/>
    <s v="AH-10690"/>
    <s v="Anna HŠberlin"/>
    <x v="1"/>
    <x v="28"/>
    <x v="2"/>
    <x v="1"/>
    <s v="FUR-TA-10002774"/>
    <s v="Furniture"/>
    <x v="2"/>
    <s v="Laminate Occasional Tables"/>
    <n v="863.12800000000004"/>
    <n v="7"/>
    <n v="-32.3673"/>
    <x v="2"/>
    <x v="0"/>
    <x v="3"/>
  </r>
  <r>
    <s v="CA-2017-107174"/>
    <d v="2017-11-06T00:00:00"/>
    <d v="2017-11-13T00:00:00"/>
    <x v="1"/>
    <s v="AB-10060"/>
    <s v="Adam Bellavance"/>
    <x v="2"/>
    <x v="15"/>
    <x v="13"/>
    <x v="1"/>
    <s v="FUR-TA-10004575"/>
    <s v="Furniture"/>
    <x v="2"/>
    <s v="Hon 5100 Series Wood Tables"/>
    <n v="2036.86"/>
    <n v="7"/>
    <n v="366.63479999999998"/>
    <x v="1"/>
    <x v="3"/>
    <x v="0"/>
  </r>
  <r>
    <s v="CA-2017-107174"/>
    <d v="2017-11-06T00:00:00"/>
    <d v="2017-11-13T00:00:00"/>
    <x v="1"/>
    <s v="AB-10060"/>
    <s v="Adam Bellavance"/>
    <x v="2"/>
    <x v="15"/>
    <x v="13"/>
    <x v="1"/>
    <s v="FUR-CH-10003312"/>
    <s v="Furniture"/>
    <x v="1"/>
    <s v="Hon 2090 ÒPillow SoftÓ Series Mid Back Swivel/Tilt Chairs"/>
    <n v="449.56799999999998"/>
    <n v="2"/>
    <n v="-73.0548"/>
    <x v="1"/>
    <x v="3"/>
    <x v="0"/>
  </r>
  <r>
    <s v="CA-2015-112767"/>
    <d v="2015-08-02T00:00:00"/>
    <d v="2015-08-06T00:00:00"/>
    <x v="1"/>
    <s v="DK-12985"/>
    <s v="Darren Koutras"/>
    <x v="0"/>
    <x v="76"/>
    <x v="36"/>
    <x v="1"/>
    <s v="FUR-TA-10003469"/>
    <s v="Furniture"/>
    <x v="2"/>
    <s v="Balt Split Level Computer Training Table"/>
    <n v="277.5"/>
    <n v="4"/>
    <n v="-188.7"/>
    <x v="4"/>
    <x v="1"/>
    <x v="10"/>
  </r>
  <r>
    <s v="CA-2015-119879"/>
    <d v="2015-11-21T00:00:00"/>
    <d v="2015-11-25T00:00:00"/>
    <x v="1"/>
    <s v="SS-20410"/>
    <s v="Shahid Shariari"/>
    <x v="0"/>
    <x v="3"/>
    <x v="3"/>
    <x v="2"/>
    <s v="FUR-TA-10002958"/>
    <s v="Furniture"/>
    <x v="2"/>
    <s v="Bevis Oval Conference Table, Walnut"/>
    <n v="1252.704"/>
    <n v="8"/>
    <n v="-480.20319999999998"/>
    <x v="4"/>
    <x v="1"/>
    <x v="0"/>
  </r>
  <r>
    <s v="CA-2017-155642"/>
    <d v="2017-05-18T00:00:00"/>
    <d v="2017-05-22T00:00:00"/>
    <x v="1"/>
    <s v="BM-11575"/>
    <s v="Brendan Murry"/>
    <x v="1"/>
    <x v="9"/>
    <x v="8"/>
    <x v="3"/>
    <s v="FUR-FU-10004973"/>
    <s v="Furniture"/>
    <x v="3"/>
    <s v="Flat Face Poster Frame"/>
    <n v="22.608000000000001"/>
    <n v="3"/>
    <n v="-10.1736"/>
    <x v="4"/>
    <x v="3"/>
    <x v="7"/>
  </r>
  <r>
    <s v="CA-2017-155642"/>
    <d v="2017-05-18T00:00:00"/>
    <d v="2017-05-22T00:00:00"/>
    <x v="1"/>
    <s v="BM-11575"/>
    <s v="Brendan Murry"/>
    <x v="1"/>
    <x v="9"/>
    <x v="8"/>
    <x v="3"/>
    <s v="FUR-FU-10001918"/>
    <s v="Furniture"/>
    <x v="3"/>
    <s v="C-Line Cubicle Keepers Polyproplyene Holder With Velcro Backings"/>
    <n v="1.8919999999999999"/>
    <n v="1"/>
    <n v="-0.99329999999999996"/>
    <x v="4"/>
    <x v="3"/>
    <x v="7"/>
  </r>
  <r>
    <s v="CA-2015-136728"/>
    <d v="2015-09-13T00:00:00"/>
    <d v="2015-09-17T00:00:00"/>
    <x v="0"/>
    <s v="AG-10900"/>
    <s v="Arthur Gainer"/>
    <x v="0"/>
    <x v="9"/>
    <x v="8"/>
    <x v="3"/>
    <s v="FUR-CH-10003817"/>
    <s v="Furniture"/>
    <x v="1"/>
    <s v="Global Value Steno Chair, Gray"/>
    <n v="170.072"/>
    <n v="4"/>
    <n v="-12.148"/>
    <x v="4"/>
    <x v="1"/>
    <x v="4"/>
  </r>
  <r>
    <s v="US-2017-155866"/>
    <d v="2017-11-17T00:00:00"/>
    <d v="2017-11-21T00:00:00"/>
    <x v="1"/>
    <s v="CC-12370"/>
    <s v="Christopher Conant"/>
    <x v="0"/>
    <x v="13"/>
    <x v="7"/>
    <x v="2"/>
    <s v="FUR-FU-10004091"/>
    <s v="Furniture"/>
    <x v="3"/>
    <s v="Howard Miller 13&quot; Diameter Goldtone Round Wall Clock"/>
    <n v="187.76"/>
    <n v="4"/>
    <n v="76.9816"/>
    <x v="4"/>
    <x v="3"/>
    <x v="0"/>
  </r>
  <r>
    <s v="CA-2015-141327"/>
    <d v="2015-11-30T00:00:00"/>
    <d v="2015-12-03T00:00:00"/>
    <x v="2"/>
    <s v="LR-16915"/>
    <s v="Lena Radford"/>
    <x v="0"/>
    <x v="339"/>
    <x v="30"/>
    <x v="0"/>
    <s v="FUR-FU-10000576"/>
    <s v="Furniture"/>
    <x v="3"/>
    <s v="Luxo Professional Fluorescent Magnifier Lamp with Clamp-Mount Base"/>
    <n v="335.74400000000003"/>
    <n v="2"/>
    <n v="25.180800000000001"/>
    <x v="0"/>
    <x v="1"/>
    <x v="0"/>
  </r>
  <r>
    <s v="CA-2015-114811"/>
    <d v="2015-11-08T00:00:00"/>
    <d v="2015-11-08T00:00:00"/>
    <x v="3"/>
    <s v="KD-16495"/>
    <s v="Keith Dawkins"/>
    <x v="1"/>
    <x v="13"/>
    <x v="7"/>
    <x v="2"/>
    <s v="FUR-FU-10002240"/>
    <s v="Furniture"/>
    <x v="3"/>
    <s v="Nu-Dell EZ-Mount Plastic Wall Frames"/>
    <n v="11.82"/>
    <n v="3"/>
    <n v="4.7279999999999998"/>
    <x v="7"/>
    <x v="1"/>
    <x v="0"/>
  </r>
  <r>
    <s v="CA-2015-114811"/>
    <d v="2015-11-08T00:00:00"/>
    <d v="2015-11-08T00:00:00"/>
    <x v="3"/>
    <s v="KD-16495"/>
    <s v="Keith Dawkins"/>
    <x v="1"/>
    <x v="13"/>
    <x v="7"/>
    <x v="2"/>
    <s v="FUR-CH-10003746"/>
    <s v="Furniture"/>
    <x v="1"/>
    <s v="Hon 4070 Series Pagoda Round Back Stacking Chairs"/>
    <n v="577.76400000000001"/>
    <n v="2"/>
    <n v="115.5528"/>
    <x v="7"/>
    <x v="1"/>
    <x v="0"/>
  </r>
  <r>
    <s v="CA-2015-122266"/>
    <d v="2015-04-26T00:00:00"/>
    <d v="2015-04-30T00:00:00"/>
    <x v="1"/>
    <s v="SA-20830"/>
    <s v="Sue Ann Reed"/>
    <x v="0"/>
    <x v="340"/>
    <x v="1"/>
    <x v="0"/>
    <s v="FUR-TA-10000577"/>
    <s v="Furniture"/>
    <x v="2"/>
    <s v="Bretford CR4500 Series Slim Rectangular Table"/>
    <n v="191.5155"/>
    <n v="1"/>
    <n v="-76.606200000000001"/>
    <x v="4"/>
    <x v="1"/>
    <x v="6"/>
  </r>
  <r>
    <s v="CA-2016-116337"/>
    <d v="2016-11-07T00:00:00"/>
    <d v="2016-11-12T00:00:00"/>
    <x v="1"/>
    <s v="MC-17845"/>
    <s v="Michael Chen"/>
    <x v="0"/>
    <x v="144"/>
    <x v="5"/>
    <x v="3"/>
    <s v="FUR-FU-10002030"/>
    <s v="Furniture"/>
    <x v="3"/>
    <s v="Executive Impressions 14&quot; Contract Wall Clock with Quartz Movement"/>
    <n v="44.46"/>
    <n v="5"/>
    <n v="-17.783999999999999"/>
    <x v="2"/>
    <x v="0"/>
    <x v="0"/>
  </r>
  <r>
    <s v="CA-2014-120775"/>
    <d v="2014-10-03T00:00:00"/>
    <d v="2014-10-07T00:00:00"/>
    <x v="1"/>
    <s v="RD-19930"/>
    <s v="Russell D'Ascenzo"/>
    <x v="0"/>
    <x v="144"/>
    <x v="5"/>
    <x v="3"/>
    <s v="FUR-FU-10000758"/>
    <s v="Furniture"/>
    <x v="3"/>
    <s v="DAX Natural Wood-Tone Poster Frame"/>
    <n v="31.776"/>
    <n v="3"/>
    <n v="-19.0656"/>
    <x v="4"/>
    <x v="2"/>
    <x v="1"/>
  </r>
  <r>
    <s v="CA-2016-123050"/>
    <d v="2016-04-04T00:00:00"/>
    <d v="2016-04-08T00:00:00"/>
    <x v="0"/>
    <s v="BC-11125"/>
    <s v="Becky Castell"/>
    <x v="2"/>
    <x v="8"/>
    <x v="7"/>
    <x v="2"/>
    <s v="FUR-FU-10000723"/>
    <s v="Furniture"/>
    <x v="3"/>
    <s v="Deflect-o EconoMat Studded, No Bevel Mat for Low Pile Carpeting"/>
    <n v="82.64"/>
    <n v="2"/>
    <n v="7.4375999999999998"/>
    <x v="4"/>
    <x v="0"/>
    <x v="6"/>
  </r>
  <r>
    <s v="CA-2016-162355"/>
    <d v="2016-06-30T00:00:00"/>
    <d v="2016-07-02T00:00:00"/>
    <x v="0"/>
    <s v="PF-19165"/>
    <s v="Philip Fox"/>
    <x v="0"/>
    <x v="244"/>
    <x v="24"/>
    <x v="0"/>
    <s v="FUR-BO-10004695"/>
    <s v="Furniture"/>
    <x v="0"/>
    <s v="O'Sullivan 2-Door Barrister Bookcase in Odessa Pine"/>
    <n v="1266.8599999999999"/>
    <n v="7"/>
    <n v="291.37779999999998"/>
    <x v="3"/>
    <x v="0"/>
    <x v="2"/>
  </r>
  <r>
    <s v="CA-2017-102204"/>
    <d v="2017-05-01T00:00:00"/>
    <d v="2017-05-06T00:00:00"/>
    <x v="1"/>
    <s v="CJ-12010"/>
    <s v="Caroline Jumper"/>
    <x v="0"/>
    <x v="51"/>
    <x v="1"/>
    <x v="0"/>
    <s v="FUR-TA-10001889"/>
    <s v="Furniture"/>
    <x v="2"/>
    <s v="Bush Advantage Collection Racetrack Conference Table"/>
    <n v="933.26199999999994"/>
    <n v="4"/>
    <n v="-458.14679999999998"/>
    <x v="2"/>
    <x v="3"/>
    <x v="7"/>
  </r>
  <r>
    <s v="CA-2017-102204"/>
    <d v="2017-05-01T00:00:00"/>
    <d v="2017-05-06T00:00:00"/>
    <x v="1"/>
    <s v="CJ-12010"/>
    <s v="Caroline Jumper"/>
    <x v="0"/>
    <x v="51"/>
    <x v="1"/>
    <x v="0"/>
    <s v="FUR-CH-10002024"/>
    <s v="Furniture"/>
    <x v="1"/>
    <s v="HON 5400 Series Task Chairs for Big and Tall"/>
    <n v="2803.92"/>
    <n v="5"/>
    <n v="0"/>
    <x v="2"/>
    <x v="3"/>
    <x v="7"/>
  </r>
  <r>
    <s v="CA-2017-103065"/>
    <d v="2017-10-20T00:00:00"/>
    <d v="2017-10-20T00:00:00"/>
    <x v="3"/>
    <s v="PT-19090"/>
    <s v="Pete Takahito"/>
    <x v="0"/>
    <x v="51"/>
    <x v="1"/>
    <x v="0"/>
    <s v="FUR-FU-10000175"/>
    <s v="Furniture"/>
    <x v="3"/>
    <s v="DAX Wood Document Frame."/>
    <n v="43.936"/>
    <n v="4"/>
    <n v="6.0411999999999999"/>
    <x v="7"/>
    <x v="3"/>
    <x v="1"/>
  </r>
  <r>
    <s v="CA-2014-109897"/>
    <d v="2014-08-12T00:00:00"/>
    <d v="2014-08-16T00:00:00"/>
    <x v="1"/>
    <s v="BW-11200"/>
    <s v="Ben Wallace"/>
    <x v="0"/>
    <x v="28"/>
    <x v="2"/>
    <x v="1"/>
    <s v="FUR-FU-10002878"/>
    <s v="Furniture"/>
    <x v="3"/>
    <s v="Seth Thomas 14&quot; Day/Date Wall Clock"/>
    <n v="85.44"/>
    <n v="3"/>
    <n v="31.6128"/>
    <x v="4"/>
    <x v="2"/>
    <x v="10"/>
  </r>
  <r>
    <s v="CA-2015-140221"/>
    <d v="2015-03-05T00:00:00"/>
    <d v="2015-03-09T00:00:00"/>
    <x v="0"/>
    <s v="MS-17365"/>
    <s v="Maribeth Schnelling"/>
    <x v="0"/>
    <x v="9"/>
    <x v="8"/>
    <x v="3"/>
    <s v="FUR-FU-10000023"/>
    <s v="Furniture"/>
    <x v="3"/>
    <s v="Eldon Wave Desk Accessories"/>
    <n v="4.7119999999999997"/>
    <n v="2"/>
    <n v="-1.8848"/>
    <x v="4"/>
    <x v="1"/>
    <x v="9"/>
  </r>
  <r>
    <s v="CA-2017-121790"/>
    <d v="2017-01-30T00:00:00"/>
    <d v="2017-02-06T00:00:00"/>
    <x v="1"/>
    <s v="LP-17095"/>
    <s v="Liz Preis"/>
    <x v="0"/>
    <x v="14"/>
    <x v="8"/>
    <x v="3"/>
    <s v="FUR-TA-10003469"/>
    <s v="Furniture"/>
    <x v="2"/>
    <s v="Balt Split Level Computer Training Table"/>
    <n v="69.375"/>
    <n v="1"/>
    <n v="-47.174999999999997"/>
    <x v="1"/>
    <x v="3"/>
    <x v="8"/>
  </r>
  <r>
    <s v="CA-2016-169670"/>
    <d v="2016-12-25T00:00:00"/>
    <d v="2016-12-31T00:00:00"/>
    <x v="1"/>
    <s v="JE-15715"/>
    <s v="Joe Elijah"/>
    <x v="0"/>
    <x v="13"/>
    <x v="7"/>
    <x v="2"/>
    <s v="FUR-CH-10002331"/>
    <s v="Furniture"/>
    <x v="1"/>
    <s v="Hon 4700 Series Mobuis Mid-Back Task Chairs with Adjustable Arms"/>
    <n v="2563.056"/>
    <n v="8"/>
    <n v="313.26240000000001"/>
    <x v="6"/>
    <x v="0"/>
    <x v="5"/>
  </r>
  <r>
    <s v="CA-2016-139549"/>
    <d v="2016-10-20T00:00:00"/>
    <d v="2016-10-25T00:00:00"/>
    <x v="1"/>
    <s v="MY-18295"/>
    <s v="Muhammed Yedwab"/>
    <x v="1"/>
    <x v="311"/>
    <x v="2"/>
    <x v="1"/>
    <s v="FUR-CH-10001802"/>
    <s v="Furniture"/>
    <x v="1"/>
    <s v="Hon Every-Day Chair Series Swivel Task Chairs"/>
    <n v="387.13600000000002"/>
    <n v="4"/>
    <n v="4.8391999999999999"/>
    <x v="2"/>
    <x v="0"/>
    <x v="1"/>
  </r>
  <r>
    <s v="CA-2017-134810"/>
    <d v="2017-05-09T00:00:00"/>
    <d v="2017-05-10T00:00:00"/>
    <x v="2"/>
    <s v="MC-17605"/>
    <s v="Matt Connell"/>
    <x v="1"/>
    <x v="51"/>
    <x v="30"/>
    <x v="0"/>
    <s v="FUR-CH-10001270"/>
    <s v="Furniture"/>
    <x v="1"/>
    <s v="Harbour Creations Steel Folding Chair"/>
    <n v="207"/>
    <n v="3"/>
    <n v="25.875"/>
    <x v="5"/>
    <x v="3"/>
    <x v="7"/>
  </r>
  <r>
    <s v="CA-2015-154284"/>
    <d v="2015-12-21T00:00:00"/>
    <d v="2015-12-26T00:00:00"/>
    <x v="0"/>
    <s v="SZ-20035"/>
    <s v="Sam Zeldin"/>
    <x v="2"/>
    <x v="317"/>
    <x v="8"/>
    <x v="3"/>
    <s v="FUR-FU-10003039"/>
    <s v="Furniture"/>
    <x v="3"/>
    <s v="Howard Miller 11-1/2&quot; Diameter Grantwood Wall Clock"/>
    <n v="51.756"/>
    <n v="3"/>
    <n v="-33.641399999999997"/>
    <x v="2"/>
    <x v="1"/>
    <x v="5"/>
  </r>
  <r>
    <s v="US-2015-158911"/>
    <d v="2015-07-05T00:00:00"/>
    <d v="2015-07-11T00:00:00"/>
    <x v="1"/>
    <s v="RS-19765"/>
    <s v="Roland Schwarz"/>
    <x v="1"/>
    <x v="127"/>
    <x v="30"/>
    <x v="0"/>
    <s v="FUR-FU-10003829"/>
    <s v="Furniture"/>
    <x v="3"/>
    <s v="Stackable Trays"/>
    <n v="4.9279999999999999"/>
    <n v="2"/>
    <n v="0.73919999999999997"/>
    <x v="6"/>
    <x v="1"/>
    <x v="3"/>
  </r>
  <r>
    <s v="US-2017-167318"/>
    <d v="2017-07-26T00:00:00"/>
    <d v="2017-08-01T00:00:00"/>
    <x v="1"/>
    <s v="GZ-14545"/>
    <s v="George Zrebassa"/>
    <x v="1"/>
    <x v="2"/>
    <x v="2"/>
    <x v="1"/>
    <s v="FUR-CH-10000665"/>
    <s v="Furniture"/>
    <x v="1"/>
    <s v="Global Airflow Leather Mesh Back Chair, Black"/>
    <n v="362.35199999999998"/>
    <n v="3"/>
    <n v="45.293999999999997"/>
    <x v="6"/>
    <x v="3"/>
    <x v="3"/>
  </r>
  <r>
    <s v="CA-2017-135419"/>
    <d v="2017-11-03T00:00:00"/>
    <d v="2017-11-09T00:00:00"/>
    <x v="1"/>
    <s v="BG-11740"/>
    <s v="Bruce Geld"/>
    <x v="0"/>
    <x v="175"/>
    <x v="2"/>
    <x v="1"/>
    <s v="FUR-TA-10001086"/>
    <s v="Furniture"/>
    <x v="2"/>
    <s v="SAFCO PlanMaster Boards, 60w x 37-1/2d, White Melamine"/>
    <n v="486.36799999999999"/>
    <n v="4"/>
    <n v="36.477600000000002"/>
    <x v="6"/>
    <x v="3"/>
    <x v="0"/>
  </r>
  <r>
    <s v="CA-2014-168312"/>
    <d v="2014-03-01T00:00:00"/>
    <d v="2014-03-07T00:00:00"/>
    <x v="1"/>
    <s v="GW-14605"/>
    <s v="Giulietta Weimer"/>
    <x v="0"/>
    <x v="6"/>
    <x v="5"/>
    <x v="3"/>
    <s v="FUR-TA-10001866"/>
    <s v="Furniture"/>
    <x v="2"/>
    <s v="Bevis Round Conference Room Tables and Bases"/>
    <n v="376.50900000000001"/>
    <n v="3"/>
    <n v="-43.029600000000002"/>
    <x v="6"/>
    <x v="2"/>
    <x v="9"/>
  </r>
  <r>
    <s v="US-2017-105935"/>
    <d v="2017-01-26T00:00:00"/>
    <d v="2017-01-31T00:00:00"/>
    <x v="1"/>
    <s v="BD-11500"/>
    <s v="Bradley Drucker"/>
    <x v="0"/>
    <x v="29"/>
    <x v="24"/>
    <x v="0"/>
    <s v="FUR-FU-10002157"/>
    <s v="Furniture"/>
    <x v="3"/>
    <s v="Artistic Insta-Plaque"/>
    <n v="62.72"/>
    <n v="4"/>
    <n v="24.460799999999999"/>
    <x v="2"/>
    <x v="3"/>
    <x v="8"/>
  </r>
  <r>
    <s v="CA-2014-161508"/>
    <d v="2014-07-12T00:00:00"/>
    <d v="2014-07-16T00:00:00"/>
    <x v="1"/>
    <s v="PV-18985"/>
    <s v="Paul Van Hugh"/>
    <x v="2"/>
    <x v="256"/>
    <x v="5"/>
    <x v="3"/>
    <s v="FUR-CH-10002126"/>
    <s v="Furniture"/>
    <x v="1"/>
    <s v="Hon Deluxe Fabric Upholstered Stacking Chairs"/>
    <n v="512.35799999999995"/>
    <n v="3"/>
    <n v="-14.6388"/>
    <x v="4"/>
    <x v="2"/>
    <x v="3"/>
  </r>
  <r>
    <s v="CA-2016-153269"/>
    <d v="2016-03-09T00:00:00"/>
    <d v="2016-03-12T00:00:00"/>
    <x v="2"/>
    <s v="PS-18760"/>
    <s v="Pamela Stobb"/>
    <x v="0"/>
    <x v="341"/>
    <x v="20"/>
    <x v="2"/>
    <s v="FUR-CH-10002647"/>
    <s v="Furniture"/>
    <x v="1"/>
    <s v="Situations Contoured Folding Chairs, 4/Set"/>
    <n v="354.9"/>
    <n v="5"/>
    <n v="88.724999999999994"/>
    <x v="0"/>
    <x v="0"/>
    <x v="9"/>
  </r>
  <r>
    <s v="CA-2017-135076"/>
    <d v="2017-04-13T00:00:00"/>
    <d v="2017-04-17T00:00:00"/>
    <x v="1"/>
    <s v="YS-21880"/>
    <s v="Yana Sorensen"/>
    <x v="1"/>
    <x v="170"/>
    <x v="2"/>
    <x v="1"/>
    <s v="FUR-CH-10003774"/>
    <s v="Furniture"/>
    <x v="1"/>
    <s v="Global Wood Trimmed Manager's Task Chair, Khaki"/>
    <n v="436.70400000000001"/>
    <n v="6"/>
    <n v="-38.211599999999997"/>
    <x v="4"/>
    <x v="3"/>
    <x v="6"/>
  </r>
  <r>
    <s v="US-2014-155544"/>
    <d v="2014-03-21T00:00:00"/>
    <d v="2014-03-25T00:00:00"/>
    <x v="1"/>
    <s v="GM-14440"/>
    <s v="Gary McGarr"/>
    <x v="0"/>
    <x v="270"/>
    <x v="9"/>
    <x v="0"/>
    <s v="FUR-FU-10001473"/>
    <s v="Furniture"/>
    <x v="3"/>
    <s v="DAX Wood Document Frame"/>
    <n v="32.951999999999998"/>
    <n v="3"/>
    <n v="6.5903999999999998"/>
    <x v="4"/>
    <x v="2"/>
    <x v="9"/>
  </r>
  <r>
    <s v="US-2014-155544"/>
    <d v="2014-03-21T00:00:00"/>
    <d v="2014-03-25T00:00:00"/>
    <x v="1"/>
    <s v="GM-14440"/>
    <s v="Gary McGarr"/>
    <x v="0"/>
    <x v="270"/>
    <x v="9"/>
    <x v="0"/>
    <s v="FUR-CH-10000422"/>
    <s v="Furniture"/>
    <x v="1"/>
    <s v="Global Highback Leather Tilter in Burgundy"/>
    <n v="218.376"/>
    <n v="3"/>
    <n v="-10.918799999999999"/>
    <x v="4"/>
    <x v="2"/>
    <x v="9"/>
  </r>
  <r>
    <s v="US-2015-115238"/>
    <d v="2015-04-30T00:00:00"/>
    <d v="2015-05-04T00:00:00"/>
    <x v="1"/>
    <s v="JW-15220"/>
    <s v="Jane Waco"/>
    <x v="1"/>
    <x v="37"/>
    <x v="20"/>
    <x v="2"/>
    <s v="FUR-FU-10002960"/>
    <s v="Furniture"/>
    <x v="3"/>
    <s v="Eldon 200 Class Desk Accessories, Burgundy"/>
    <n v="31.4"/>
    <n v="5"/>
    <n v="13.188000000000001"/>
    <x v="4"/>
    <x v="1"/>
    <x v="6"/>
  </r>
  <r>
    <s v="US-2015-115238"/>
    <d v="2015-04-30T00:00:00"/>
    <d v="2015-05-04T00:00:00"/>
    <x v="1"/>
    <s v="JW-15220"/>
    <s v="Jane Waco"/>
    <x v="1"/>
    <x v="37"/>
    <x v="20"/>
    <x v="2"/>
    <s v="FUR-FU-10002445"/>
    <s v="Furniture"/>
    <x v="3"/>
    <s v="DAX Two-Tone Rosewood/Black Document Frame, Desktop, 5 x 7"/>
    <n v="9.48"/>
    <n v="1"/>
    <n v="3.7919999999999998"/>
    <x v="4"/>
    <x v="1"/>
    <x v="6"/>
  </r>
  <r>
    <s v="US-2015-115238"/>
    <d v="2015-04-30T00:00:00"/>
    <d v="2015-05-04T00:00:00"/>
    <x v="1"/>
    <s v="JW-15220"/>
    <s v="Jane Waco"/>
    <x v="1"/>
    <x v="37"/>
    <x v="20"/>
    <x v="2"/>
    <s v="FUR-FU-10001025"/>
    <s v="Furniture"/>
    <x v="3"/>
    <s v="Eldon Imˆge Series Desk Accessories, Clear"/>
    <n v="24.3"/>
    <n v="5"/>
    <n v="10.449"/>
    <x v="4"/>
    <x v="1"/>
    <x v="6"/>
  </r>
  <r>
    <s v="CA-2017-132199"/>
    <d v="2017-05-03T00:00:00"/>
    <d v="2017-05-08T00:00:00"/>
    <x v="1"/>
    <s v="BO-11350"/>
    <s v="Bill Overfelt"/>
    <x v="1"/>
    <x v="3"/>
    <x v="3"/>
    <x v="2"/>
    <s v="FUR-FU-10004245"/>
    <s v="Furniture"/>
    <x v="3"/>
    <s v="Career Cubicle Clock, 8 1/4&quot;, Black"/>
    <n v="32.448"/>
    <n v="2"/>
    <n v="7.3007999999999997"/>
    <x v="2"/>
    <x v="3"/>
    <x v="7"/>
  </r>
  <r>
    <s v="CA-2017-132199"/>
    <d v="2017-05-03T00:00:00"/>
    <d v="2017-05-08T00:00:00"/>
    <x v="1"/>
    <s v="BO-11350"/>
    <s v="Bill Overfelt"/>
    <x v="1"/>
    <x v="3"/>
    <x v="3"/>
    <x v="2"/>
    <s v="FUR-TA-10003748"/>
    <s v="Furniture"/>
    <x v="2"/>
    <s v="Bevis 36 x 72 Conference Tables"/>
    <n v="373.47"/>
    <n v="5"/>
    <n v="-112.041"/>
    <x v="2"/>
    <x v="3"/>
    <x v="7"/>
  </r>
  <r>
    <s v="CA-2016-163174"/>
    <d v="2016-08-26T00:00:00"/>
    <d v="2016-08-30T00:00:00"/>
    <x v="1"/>
    <s v="XP-21865"/>
    <s v="Xylona Preis"/>
    <x v="0"/>
    <x v="342"/>
    <x v="24"/>
    <x v="0"/>
    <s v="FUR-FU-10000308"/>
    <s v="Furniture"/>
    <x v="3"/>
    <s v="Deflect-o Glass Clear Studded Chair Mats"/>
    <n v="186.54"/>
    <n v="3"/>
    <n v="41.038800000000002"/>
    <x v="4"/>
    <x v="0"/>
    <x v="10"/>
  </r>
  <r>
    <s v="CA-2017-147207"/>
    <d v="2017-01-02T00:00:00"/>
    <d v="2017-01-04T00:00:00"/>
    <x v="0"/>
    <s v="TS-21655"/>
    <s v="Trudy Schmidt"/>
    <x v="0"/>
    <x v="116"/>
    <x v="5"/>
    <x v="3"/>
    <s v="FUR-TA-10002958"/>
    <s v="Furniture"/>
    <x v="2"/>
    <s v="Bevis Oval Conference Table, Walnut"/>
    <n v="913.43"/>
    <n v="5"/>
    <n v="-169.637"/>
    <x v="3"/>
    <x v="3"/>
    <x v="8"/>
  </r>
  <r>
    <s v="CA-2016-118745"/>
    <d v="2016-06-11T00:00:00"/>
    <d v="2016-06-16T00:00:00"/>
    <x v="1"/>
    <s v="SV-20365"/>
    <s v="Seth Vernon"/>
    <x v="0"/>
    <x v="2"/>
    <x v="2"/>
    <x v="1"/>
    <s v="FUR-TA-10003473"/>
    <s v="Furniture"/>
    <x v="2"/>
    <s v="Bretford Rectangular Conference Table Tops"/>
    <n v="902.71199999999999"/>
    <n v="3"/>
    <n v="33.851700000000001"/>
    <x v="2"/>
    <x v="0"/>
    <x v="2"/>
  </r>
  <r>
    <s v="CA-2016-163972"/>
    <d v="2016-10-17T00:00:00"/>
    <d v="2016-10-21T00:00:00"/>
    <x v="1"/>
    <s v="MG-17890"/>
    <s v="Michael Granlund"/>
    <x v="2"/>
    <x v="99"/>
    <x v="2"/>
    <x v="1"/>
    <s v="FUR-BO-10003894"/>
    <s v="Furniture"/>
    <x v="0"/>
    <s v="Safco Value Mate Steel Bookcase, Baked Enamel Finish on Steel, Black"/>
    <n v="120.666"/>
    <n v="2"/>
    <n v="21.294"/>
    <x v="4"/>
    <x v="0"/>
    <x v="1"/>
  </r>
  <r>
    <s v="CA-2016-113726"/>
    <d v="2016-11-24T00:00:00"/>
    <d v="2016-12-01T00:00:00"/>
    <x v="1"/>
    <s v="SC-20680"/>
    <s v="Steve Carroll"/>
    <x v="2"/>
    <x v="15"/>
    <x v="13"/>
    <x v="1"/>
    <s v="FUR-FU-10003535"/>
    <s v="Furniture"/>
    <x v="3"/>
    <s v="Howard Miller Distant Time Traveler Alarm Clock"/>
    <n v="82.26"/>
    <n v="3"/>
    <n v="33.726599999999998"/>
    <x v="1"/>
    <x v="0"/>
    <x v="0"/>
  </r>
  <r>
    <s v="CA-2016-163048"/>
    <d v="2016-02-08T00:00:00"/>
    <d v="2016-02-15T00:00:00"/>
    <x v="1"/>
    <s v="MH-17440"/>
    <s v="Mark Haberlin"/>
    <x v="1"/>
    <x v="6"/>
    <x v="5"/>
    <x v="3"/>
    <s v="FUR-CH-10001270"/>
    <s v="Furniture"/>
    <x v="1"/>
    <s v="Harbour Creations Steel Folding Chair"/>
    <n v="241.5"/>
    <n v="4"/>
    <n v="0"/>
    <x v="1"/>
    <x v="0"/>
    <x v="11"/>
  </r>
  <r>
    <s v="CA-2017-110625"/>
    <d v="2017-12-23T00:00:00"/>
    <d v="2017-12-30T00:00:00"/>
    <x v="1"/>
    <s v="JB-16045"/>
    <s v="Julia Barnett"/>
    <x v="2"/>
    <x v="343"/>
    <x v="19"/>
    <x v="2"/>
    <s v="FUR-FU-10001473"/>
    <s v="Furniture"/>
    <x v="3"/>
    <s v="DAX Wood Document Frame"/>
    <n v="27.46"/>
    <n v="2"/>
    <n v="9.8856000000000002"/>
    <x v="1"/>
    <x v="3"/>
    <x v="5"/>
  </r>
  <r>
    <s v="CA-2016-142594"/>
    <d v="2016-12-01T00:00:00"/>
    <d v="2016-12-06T00:00:00"/>
    <x v="0"/>
    <s v="EJ-14155"/>
    <s v="Eva Jacobs"/>
    <x v="0"/>
    <x v="20"/>
    <x v="20"/>
    <x v="2"/>
    <s v="FUR-FU-10002045"/>
    <s v="Furniture"/>
    <x v="3"/>
    <s v="Executive Impressions 14&quot;"/>
    <n v="111.15"/>
    <n v="5"/>
    <n v="48.905999999999999"/>
    <x v="2"/>
    <x v="0"/>
    <x v="5"/>
  </r>
  <r>
    <s v="CA-2016-142594"/>
    <d v="2016-12-01T00:00:00"/>
    <d v="2016-12-06T00:00:00"/>
    <x v="0"/>
    <s v="EJ-14155"/>
    <s v="Eva Jacobs"/>
    <x v="0"/>
    <x v="20"/>
    <x v="20"/>
    <x v="2"/>
    <s v="FUR-TA-10001095"/>
    <s v="Furniture"/>
    <x v="2"/>
    <s v="Chromcraft Round Conference Tables"/>
    <n v="366.00900000000001"/>
    <n v="3"/>
    <n v="-47.058300000000003"/>
    <x v="2"/>
    <x v="0"/>
    <x v="5"/>
  </r>
  <r>
    <s v="CA-2017-120061"/>
    <d v="2017-11-02T00:00:00"/>
    <d v="2017-11-07T00:00:00"/>
    <x v="0"/>
    <s v="SR-20425"/>
    <s v="Sharelle Roach"/>
    <x v="2"/>
    <x v="76"/>
    <x v="15"/>
    <x v="2"/>
    <s v="FUR-CH-10001973"/>
    <s v="Furniture"/>
    <x v="1"/>
    <s v="Office Star Flex Back Scooter Chair with White Frame"/>
    <n v="155.37200000000001"/>
    <n v="2"/>
    <n v="-35.513599999999997"/>
    <x v="2"/>
    <x v="3"/>
    <x v="0"/>
  </r>
  <r>
    <s v="CA-2015-110814"/>
    <d v="2015-12-05T00:00:00"/>
    <d v="2015-12-09T00:00:00"/>
    <x v="0"/>
    <s v="BD-11635"/>
    <s v="Brian Derr"/>
    <x v="0"/>
    <x v="13"/>
    <x v="7"/>
    <x v="2"/>
    <s v="FUR-CH-10003535"/>
    <s v="Furniture"/>
    <x v="1"/>
    <s v="Global Armless Task Chair, Royal Blue"/>
    <n v="164.64599999999999"/>
    <n v="3"/>
    <n v="12.8058"/>
    <x v="4"/>
    <x v="1"/>
    <x v="5"/>
  </r>
  <r>
    <s v="CA-2017-140480"/>
    <d v="2017-07-08T00:00:00"/>
    <d v="2017-07-12T00:00:00"/>
    <x v="1"/>
    <s v="HE-14800"/>
    <s v="Harold Engle"/>
    <x v="1"/>
    <x v="19"/>
    <x v="14"/>
    <x v="2"/>
    <s v="FUR-FU-10003247"/>
    <s v="Furniture"/>
    <x v="3"/>
    <s v="36X48 HARDFLOOR CHAIRMAT"/>
    <n v="83.92"/>
    <n v="4"/>
    <n v="5.8743999999999996"/>
    <x v="4"/>
    <x v="3"/>
    <x v="3"/>
  </r>
  <r>
    <s v="CA-2017-140480"/>
    <d v="2017-07-08T00:00:00"/>
    <d v="2017-07-12T00:00:00"/>
    <x v="1"/>
    <s v="HE-14800"/>
    <s v="Harold Engle"/>
    <x v="1"/>
    <x v="19"/>
    <x v="14"/>
    <x v="2"/>
    <s v="FUR-FU-10001057"/>
    <s v="Furniture"/>
    <x v="3"/>
    <s v="Tensor Track Tree Floor Lamp"/>
    <n v="39.979999999999997"/>
    <n v="2"/>
    <n v="9.1953999999999994"/>
    <x v="4"/>
    <x v="3"/>
    <x v="3"/>
  </r>
  <r>
    <s v="CA-2016-130820"/>
    <d v="2016-11-15T00:00:00"/>
    <d v="2016-11-15T00:00:00"/>
    <x v="3"/>
    <s v="ON-18715"/>
    <s v="Odella Nelson"/>
    <x v="1"/>
    <x v="259"/>
    <x v="30"/>
    <x v="0"/>
    <s v="FUR-TA-10001768"/>
    <s v="Furniture"/>
    <x v="2"/>
    <s v="Hon Racetrack Conference Tables"/>
    <n v="630.024"/>
    <n v="4"/>
    <n v="-199.5076"/>
    <x v="7"/>
    <x v="0"/>
    <x v="0"/>
  </r>
  <r>
    <s v="CA-2017-132290"/>
    <d v="2017-03-10T00:00:00"/>
    <d v="2017-03-14T00:00:00"/>
    <x v="1"/>
    <s v="MD-17350"/>
    <s v="Maribeth Dona"/>
    <x v="0"/>
    <x v="144"/>
    <x v="5"/>
    <x v="3"/>
    <s v="FUR-TA-10002228"/>
    <s v="Furniture"/>
    <x v="2"/>
    <s v="Bevis Traditional Conference Table Top, Plinth Base"/>
    <n v="933.40800000000002"/>
    <n v="4"/>
    <n v="-173.34719999999999"/>
    <x v="4"/>
    <x v="3"/>
    <x v="9"/>
  </r>
  <r>
    <s v="CA-2017-118199"/>
    <d v="2017-05-09T00:00:00"/>
    <d v="2017-05-11T00:00:00"/>
    <x v="2"/>
    <s v="LB-16795"/>
    <s v="Laurel Beltran"/>
    <x v="2"/>
    <x v="15"/>
    <x v="13"/>
    <x v="1"/>
    <s v="FUR-TA-10004154"/>
    <s v="Furniture"/>
    <x v="2"/>
    <s v="Riverside Furniture Oval Coffee Table, Oval End Table, End Table with Drawer"/>
    <n v="286.85000000000002"/>
    <n v="1"/>
    <n v="63.106999999999999"/>
    <x v="3"/>
    <x v="3"/>
    <x v="7"/>
  </r>
  <r>
    <s v="CA-2017-150091"/>
    <d v="2017-10-12T00:00:00"/>
    <d v="2017-10-16T00:00:00"/>
    <x v="1"/>
    <s v="NP-18670"/>
    <s v="Nora Paige"/>
    <x v="0"/>
    <x v="174"/>
    <x v="18"/>
    <x v="2"/>
    <s v="FUR-FU-10004053"/>
    <s v="Furniture"/>
    <x v="3"/>
    <s v="DAX Two-Tone Silver Metal Document Frame"/>
    <n v="40.479999999999997"/>
    <n v="2"/>
    <n v="17.406400000000001"/>
    <x v="4"/>
    <x v="3"/>
    <x v="1"/>
  </r>
  <r>
    <s v="CA-2017-150091"/>
    <d v="2017-10-12T00:00:00"/>
    <d v="2017-10-16T00:00:00"/>
    <x v="1"/>
    <s v="NP-18670"/>
    <s v="Nora Paige"/>
    <x v="0"/>
    <x v="174"/>
    <x v="18"/>
    <x v="2"/>
    <s v="FUR-BO-10003404"/>
    <s v="Furniture"/>
    <x v="0"/>
    <s v="Global Adaptabilites Bookcase, Cherry/Storm Gray Finish"/>
    <n v="2154.9"/>
    <n v="5"/>
    <n v="129.29400000000001"/>
    <x v="4"/>
    <x v="3"/>
    <x v="1"/>
  </r>
  <r>
    <s v="CA-2016-118129"/>
    <d v="2016-12-19T00:00:00"/>
    <d v="2016-12-21T00:00:00"/>
    <x v="0"/>
    <s v="CL-12565"/>
    <s v="Clay Ludtke"/>
    <x v="0"/>
    <x v="288"/>
    <x v="3"/>
    <x v="2"/>
    <s v="FUR-FU-10004904"/>
    <s v="Furniture"/>
    <x v="3"/>
    <s v="Eldon &quot;L&quot; Workstation Diamond Chairmat"/>
    <n v="303.92"/>
    <n v="5"/>
    <n v="-30.391999999999999"/>
    <x v="3"/>
    <x v="0"/>
    <x v="5"/>
  </r>
  <r>
    <s v="CA-2017-155621"/>
    <d v="2017-11-08T00:00:00"/>
    <d v="2017-11-13T00:00:00"/>
    <x v="1"/>
    <s v="KN-16450"/>
    <s v="Kean Nguyen"/>
    <x v="1"/>
    <x v="237"/>
    <x v="32"/>
    <x v="2"/>
    <s v="FUR-FU-10003535"/>
    <s v="Furniture"/>
    <x v="3"/>
    <s v="Howard Miller Distant Time Traveler Alarm Clock"/>
    <n v="274.2"/>
    <n v="10"/>
    <n v="112.422"/>
    <x v="2"/>
    <x v="3"/>
    <x v="0"/>
  </r>
  <r>
    <s v="US-2014-127635"/>
    <d v="2014-09-14T00:00:00"/>
    <d v="2014-09-18T00:00:00"/>
    <x v="0"/>
    <s v="SC-20260"/>
    <s v="Scott Cohen"/>
    <x v="1"/>
    <x v="177"/>
    <x v="5"/>
    <x v="3"/>
    <s v="FUR-FU-10000550"/>
    <s v="Furniture"/>
    <x v="3"/>
    <s v="Stacking Trays by OIC"/>
    <n v="9.9600000000000009"/>
    <n v="5"/>
    <n v="-6.7229999999999999"/>
    <x v="4"/>
    <x v="2"/>
    <x v="4"/>
  </r>
  <r>
    <s v="CA-2017-125451"/>
    <d v="2017-10-23T00:00:00"/>
    <d v="2017-10-24T00:00:00"/>
    <x v="2"/>
    <s v="AH-10075"/>
    <s v="Adam Hart"/>
    <x v="1"/>
    <x v="236"/>
    <x v="38"/>
    <x v="2"/>
    <s v="FUR-TA-10001039"/>
    <s v="Furniture"/>
    <x v="2"/>
    <s v="KI Adjustable-Height Table"/>
    <n v="240.744"/>
    <n v="4"/>
    <n v="-13.7568"/>
    <x v="5"/>
    <x v="3"/>
    <x v="1"/>
  </r>
  <r>
    <s v="CA-2017-125451"/>
    <d v="2017-10-23T00:00:00"/>
    <d v="2017-10-24T00:00:00"/>
    <x v="2"/>
    <s v="AH-10075"/>
    <s v="Adam Hart"/>
    <x v="1"/>
    <x v="236"/>
    <x v="38"/>
    <x v="2"/>
    <s v="FUR-FU-10004963"/>
    <s v="Furniture"/>
    <x v="3"/>
    <s v="Eldon 400 Class Desk Accessories, Black Carbon"/>
    <n v="35"/>
    <n v="4"/>
    <n v="14.7"/>
    <x v="5"/>
    <x v="3"/>
    <x v="1"/>
  </r>
  <r>
    <s v="CA-2017-125451"/>
    <d v="2017-10-23T00:00:00"/>
    <d v="2017-10-24T00:00:00"/>
    <x v="2"/>
    <s v="AH-10075"/>
    <s v="Adam Hart"/>
    <x v="1"/>
    <x v="236"/>
    <x v="38"/>
    <x v="2"/>
    <s v="FUR-FU-10000277"/>
    <s v="Furniture"/>
    <x v="3"/>
    <s v="Deflect-o DuraMat Antistatic Studded Beveled Mat for Medium Pile Carpeting"/>
    <n v="210.68"/>
    <n v="2"/>
    <n v="50.563200000000002"/>
    <x v="5"/>
    <x v="3"/>
    <x v="1"/>
  </r>
  <r>
    <s v="CA-2017-125451"/>
    <d v="2017-10-23T00:00:00"/>
    <d v="2017-10-24T00:00:00"/>
    <x v="2"/>
    <s v="AH-10075"/>
    <s v="Adam Hart"/>
    <x v="1"/>
    <x v="236"/>
    <x v="38"/>
    <x v="2"/>
    <s v="FUR-TA-10004915"/>
    <s v="Furniture"/>
    <x v="2"/>
    <s v="Office Impressions End Table, 20-1/2&quot;H x 24&quot;W x 20&quot;D"/>
    <n v="637.89599999999996"/>
    <n v="3"/>
    <n v="-127.5792"/>
    <x v="5"/>
    <x v="3"/>
    <x v="1"/>
  </r>
  <r>
    <s v="CA-2016-125087"/>
    <d v="2016-04-18T00:00:00"/>
    <d v="2016-04-23T00:00:00"/>
    <x v="1"/>
    <s v="TH-21115"/>
    <s v="Thea Hudgings"/>
    <x v="1"/>
    <x v="6"/>
    <x v="5"/>
    <x v="3"/>
    <s v="FUR-CH-10002880"/>
    <s v="Furniture"/>
    <x v="1"/>
    <s v="Global High-Back Leather Tilter, Burgundy"/>
    <n v="344.37200000000001"/>
    <n v="4"/>
    <n v="-93.472399999999993"/>
    <x v="2"/>
    <x v="0"/>
    <x v="6"/>
  </r>
  <r>
    <s v="CA-2016-125087"/>
    <d v="2016-04-18T00:00:00"/>
    <d v="2016-04-23T00:00:00"/>
    <x v="1"/>
    <s v="TH-21115"/>
    <s v="Thea Hudgings"/>
    <x v="1"/>
    <x v="6"/>
    <x v="5"/>
    <x v="3"/>
    <s v="FUR-FU-10004748"/>
    <s v="Furniture"/>
    <x v="3"/>
    <s v="Howard Miller 16&quot; Diameter Gallery Wall Clock"/>
    <n v="127.88"/>
    <n v="5"/>
    <n v="-67.137"/>
    <x v="2"/>
    <x v="0"/>
    <x v="6"/>
  </r>
  <r>
    <s v="US-2017-118556"/>
    <d v="2017-05-28T00:00:00"/>
    <d v="2017-06-02T00:00:00"/>
    <x v="0"/>
    <s v="TH-21235"/>
    <s v="Tiffany House"/>
    <x v="1"/>
    <x v="9"/>
    <x v="8"/>
    <x v="3"/>
    <s v="FUR-CH-10001146"/>
    <s v="Furniture"/>
    <x v="1"/>
    <s v="Global Task Chair, Black"/>
    <n v="106.869"/>
    <n v="3"/>
    <n v="-29.007300000000001"/>
    <x v="2"/>
    <x v="3"/>
    <x v="7"/>
  </r>
  <r>
    <s v="US-2016-164196"/>
    <d v="2016-11-11T00:00:00"/>
    <d v="2016-11-17T00:00:00"/>
    <x v="1"/>
    <s v="AS-10285"/>
    <s v="Alejandro Savely"/>
    <x v="1"/>
    <x v="344"/>
    <x v="6"/>
    <x v="3"/>
    <s v="FUR-TA-10001950"/>
    <s v="Furniture"/>
    <x v="2"/>
    <s v="Balt Solid Wood Round Tables"/>
    <n v="2678.94"/>
    <n v="6"/>
    <n v="241.1046"/>
    <x v="6"/>
    <x v="0"/>
    <x v="0"/>
  </r>
  <r>
    <s v="US-2017-132031"/>
    <d v="2017-04-23T00:00:00"/>
    <d v="2017-04-27T00:00:00"/>
    <x v="1"/>
    <s v="PN-18775"/>
    <s v="Parhena Norris"/>
    <x v="2"/>
    <x v="345"/>
    <x v="9"/>
    <x v="0"/>
    <s v="FUR-BO-10001972"/>
    <s v="Furniture"/>
    <x v="0"/>
    <s v="O'Sullivan 4-Shelf Bookcase in Odessa Pine"/>
    <n v="387.13600000000002"/>
    <n v="4"/>
    <n v="-14.5176"/>
    <x v="4"/>
    <x v="3"/>
    <x v="6"/>
  </r>
  <r>
    <s v="US-2017-132031"/>
    <d v="2017-04-23T00:00:00"/>
    <d v="2017-04-27T00:00:00"/>
    <x v="1"/>
    <s v="PN-18775"/>
    <s v="Parhena Norris"/>
    <x v="2"/>
    <x v="345"/>
    <x v="9"/>
    <x v="0"/>
    <s v="FUR-FU-10000193"/>
    <s v="Furniture"/>
    <x v="3"/>
    <s v="Tenex Chairmats For Use with Hard Floors"/>
    <n v="77.951999999999998"/>
    <n v="3"/>
    <n v="-11.6928"/>
    <x v="4"/>
    <x v="3"/>
    <x v="6"/>
  </r>
  <r>
    <s v="CA-2017-142391"/>
    <d v="2017-09-24T00:00:00"/>
    <d v="2017-09-24T00:00:00"/>
    <x v="3"/>
    <s v="PB-19150"/>
    <s v="Philip Brown"/>
    <x v="0"/>
    <x v="15"/>
    <x v="13"/>
    <x v="1"/>
    <s v="FUR-FU-10002759"/>
    <s v="Furniture"/>
    <x v="3"/>
    <s v="12-1/2 Diameter Round Wall Clock"/>
    <n v="199.8"/>
    <n v="10"/>
    <n v="71.927999999999997"/>
    <x v="7"/>
    <x v="3"/>
    <x v="4"/>
  </r>
  <r>
    <s v="CA-2016-158841"/>
    <d v="2016-02-02T00:00:00"/>
    <d v="2016-02-04T00:00:00"/>
    <x v="0"/>
    <s v="SE-20110"/>
    <s v="Sanjit Engle"/>
    <x v="0"/>
    <x v="58"/>
    <x v="25"/>
    <x v="0"/>
    <s v="FUR-FU-10001731"/>
    <s v="Furniture"/>
    <x v="3"/>
    <s v="Acrylic Self-Standing Desk Frames"/>
    <n v="18.690000000000001"/>
    <n v="7"/>
    <n v="7.1021999999999998"/>
    <x v="3"/>
    <x v="0"/>
    <x v="11"/>
  </r>
  <r>
    <s v="CA-2015-102316"/>
    <d v="2015-03-01T00:00:00"/>
    <d v="2015-03-03T00:00:00"/>
    <x v="0"/>
    <s v="DH-13075"/>
    <s v="Dave Hallsten"/>
    <x v="1"/>
    <x v="2"/>
    <x v="2"/>
    <x v="1"/>
    <s v="FUR-CH-10003396"/>
    <s v="Furniture"/>
    <x v="1"/>
    <s v="Global Deluxe Steno Chair"/>
    <n v="184.75200000000001"/>
    <n v="3"/>
    <n v="-20.784600000000001"/>
    <x v="3"/>
    <x v="1"/>
    <x v="9"/>
  </r>
  <r>
    <s v="CA-2016-109400"/>
    <d v="2016-05-02T00:00:00"/>
    <d v="2016-05-06T00:00:00"/>
    <x v="1"/>
    <s v="NR-18550"/>
    <s v="Nick Radford"/>
    <x v="0"/>
    <x v="45"/>
    <x v="5"/>
    <x v="3"/>
    <s v="FUR-CH-10003298"/>
    <s v="Furniture"/>
    <x v="1"/>
    <s v="Office Star - Contemporary Task Swivel chair with Loop Arms, Charcoal"/>
    <n v="366.74400000000003"/>
    <n v="4"/>
    <n v="-110.0232"/>
    <x v="4"/>
    <x v="0"/>
    <x v="7"/>
  </r>
  <r>
    <s v="CA-2016-144645"/>
    <d v="2016-02-02T00:00:00"/>
    <d v="2016-02-08T00:00:00"/>
    <x v="1"/>
    <s v="NS-18640"/>
    <s v="Noel Staavos"/>
    <x v="1"/>
    <x v="6"/>
    <x v="5"/>
    <x v="3"/>
    <s v="FUR-FU-10003601"/>
    <s v="Furniture"/>
    <x v="3"/>
    <s v="Deflect-o RollaMat Studded, Beveled Mat for Medium Pile Carpeting"/>
    <n v="73.784000000000006"/>
    <n v="2"/>
    <n v="-77.473200000000006"/>
    <x v="6"/>
    <x v="0"/>
    <x v="11"/>
  </r>
  <r>
    <s v="CA-2017-149720"/>
    <d v="2017-06-04T00:00:00"/>
    <d v="2017-06-07T00:00:00"/>
    <x v="0"/>
    <s v="EM-14065"/>
    <s v="Erin Mull"/>
    <x v="0"/>
    <x v="346"/>
    <x v="5"/>
    <x v="3"/>
    <s v="FUR-FU-10002501"/>
    <s v="Furniture"/>
    <x v="3"/>
    <s v="Nu-Dell Executive Frame"/>
    <n v="30.335999999999999"/>
    <n v="6"/>
    <n v="-17.443200000000001"/>
    <x v="0"/>
    <x v="3"/>
    <x v="2"/>
  </r>
  <r>
    <s v="CA-2017-118003"/>
    <d v="2017-12-04T00:00:00"/>
    <d v="2017-12-10T00:00:00"/>
    <x v="1"/>
    <s v="DO-13645"/>
    <s v="Doug O'Connell"/>
    <x v="0"/>
    <x v="309"/>
    <x v="18"/>
    <x v="2"/>
    <s v="FUR-FU-10002506"/>
    <s v="Furniture"/>
    <x v="3"/>
    <s v="Tensor &quot;Hersey Kiss&quot; Styled Floor Lamp"/>
    <n v="12.99"/>
    <n v="1"/>
    <n v="1.5588"/>
    <x v="6"/>
    <x v="3"/>
    <x v="5"/>
  </r>
  <r>
    <s v="CA-2017-118003"/>
    <d v="2017-12-04T00:00:00"/>
    <d v="2017-12-10T00:00:00"/>
    <x v="1"/>
    <s v="DO-13645"/>
    <s v="Doug O'Connell"/>
    <x v="0"/>
    <x v="309"/>
    <x v="18"/>
    <x v="2"/>
    <s v="FUR-CH-10003817"/>
    <s v="Furniture"/>
    <x v="1"/>
    <s v="Global Value Steno Chair, Gray"/>
    <n v="182.22"/>
    <n v="3"/>
    <n v="45.555"/>
    <x v="6"/>
    <x v="3"/>
    <x v="5"/>
  </r>
  <r>
    <s v="CA-2017-118003"/>
    <d v="2017-12-04T00:00:00"/>
    <d v="2017-12-10T00:00:00"/>
    <x v="1"/>
    <s v="DO-13645"/>
    <s v="Doug O'Connell"/>
    <x v="0"/>
    <x v="309"/>
    <x v="18"/>
    <x v="2"/>
    <s v="FUR-CH-10004860"/>
    <s v="Furniture"/>
    <x v="1"/>
    <s v="Global Low Back Tilter Chair"/>
    <n v="302.94"/>
    <n v="3"/>
    <n v="18.176400000000001"/>
    <x v="6"/>
    <x v="3"/>
    <x v="5"/>
  </r>
  <r>
    <s v="CA-2016-141887"/>
    <d v="2016-01-11T00:00:00"/>
    <d v="2016-01-15T00:00:00"/>
    <x v="1"/>
    <s v="MP-17470"/>
    <s v="Mark Packer"/>
    <x v="2"/>
    <x v="29"/>
    <x v="15"/>
    <x v="2"/>
    <s v="FUR-FU-10002268"/>
    <s v="Furniture"/>
    <x v="3"/>
    <s v="Ultra Door Push Plate"/>
    <n v="54.991999999999997"/>
    <n v="14"/>
    <n v="8.9361999999999995"/>
    <x v="4"/>
    <x v="0"/>
    <x v="8"/>
  </r>
  <r>
    <s v="CA-2017-161172"/>
    <d v="2017-03-16T00:00:00"/>
    <d v="2017-03-16T00:00:00"/>
    <x v="3"/>
    <s v="SP-20920"/>
    <s v="Susan Pistek"/>
    <x v="0"/>
    <x v="29"/>
    <x v="15"/>
    <x v="2"/>
    <s v="FUR-FU-10003424"/>
    <s v="Furniture"/>
    <x v="3"/>
    <s v="Nu-Dell Oak Frame"/>
    <n v="51.264000000000003"/>
    <n v="6"/>
    <n v="7.6896000000000004"/>
    <x v="7"/>
    <x v="3"/>
    <x v="9"/>
  </r>
  <r>
    <s v="CA-2017-137624"/>
    <d v="2017-11-10T00:00:00"/>
    <d v="2017-11-17T00:00:00"/>
    <x v="1"/>
    <s v="ME-17320"/>
    <s v="Maria Etezadi"/>
    <x v="2"/>
    <x v="2"/>
    <x v="2"/>
    <x v="1"/>
    <s v="FUR-CH-10001714"/>
    <s v="Furniture"/>
    <x v="1"/>
    <s v="Global Leather &amp; Oak Executive Chair, Burgundy"/>
    <n v="241.42400000000001"/>
    <n v="2"/>
    <n v="-36.2136"/>
    <x v="1"/>
    <x v="3"/>
    <x v="0"/>
  </r>
  <r>
    <s v="CA-2016-156748"/>
    <d v="2016-11-30T00:00:00"/>
    <d v="2016-12-06T00:00:00"/>
    <x v="1"/>
    <s v="BS-11755"/>
    <s v="Bruce Stewart"/>
    <x v="0"/>
    <x v="25"/>
    <x v="17"/>
    <x v="3"/>
    <s v="FUR-CH-10000513"/>
    <s v="Furniture"/>
    <x v="1"/>
    <s v="High-Back Leather Manager's Chair"/>
    <n v="389.97"/>
    <n v="3"/>
    <n v="35.097299999999997"/>
    <x v="6"/>
    <x v="0"/>
    <x v="0"/>
  </r>
  <r>
    <s v="CA-2015-157287"/>
    <d v="2015-12-22T00:00:00"/>
    <d v="2015-12-23T00:00:00"/>
    <x v="2"/>
    <s v="HR-14830"/>
    <s v="Harold Ryan"/>
    <x v="1"/>
    <x v="3"/>
    <x v="3"/>
    <x v="2"/>
    <s v="FUR-CH-10001270"/>
    <s v="Furniture"/>
    <x v="1"/>
    <s v="Harbour Creations Steel Folding Chair"/>
    <n v="422.625"/>
    <n v="7"/>
    <n v="0"/>
    <x v="5"/>
    <x v="1"/>
    <x v="5"/>
  </r>
  <r>
    <s v="CA-2016-119074"/>
    <d v="2016-03-27T00:00:00"/>
    <d v="2016-03-31T00:00:00"/>
    <x v="1"/>
    <s v="DS-13180"/>
    <s v="David Smith"/>
    <x v="1"/>
    <x v="29"/>
    <x v="24"/>
    <x v="0"/>
    <s v="FUR-FU-10004053"/>
    <s v="Furniture"/>
    <x v="3"/>
    <s v="DAX Two-Tone Silver Metal Document Frame"/>
    <n v="20.239999999999998"/>
    <n v="1"/>
    <n v="8.7032000000000007"/>
    <x v="4"/>
    <x v="0"/>
    <x v="9"/>
  </r>
  <r>
    <s v="CA-2016-119074"/>
    <d v="2016-03-27T00:00:00"/>
    <d v="2016-03-31T00:00:00"/>
    <x v="1"/>
    <s v="DS-13180"/>
    <s v="David Smith"/>
    <x v="1"/>
    <x v="29"/>
    <x v="24"/>
    <x v="0"/>
    <s v="FUR-FU-10003731"/>
    <s v="Furniture"/>
    <x v="3"/>
    <s v="Eldon Expressions Wood and Plastic Desk Accessories, Oak"/>
    <n v="39.92"/>
    <n v="4"/>
    <n v="11.1776"/>
    <x v="4"/>
    <x v="0"/>
    <x v="9"/>
  </r>
  <r>
    <s v="CA-2015-126186"/>
    <d v="2015-09-11T00:00:00"/>
    <d v="2015-09-12T00:00:00"/>
    <x v="2"/>
    <s v="GB-14530"/>
    <s v="George Bell"/>
    <x v="1"/>
    <x v="14"/>
    <x v="12"/>
    <x v="1"/>
    <s v="FUR-FU-10000073"/>
    <s v="Furniture"/>
    <x v="3"/>
    <s v="Deflect-O Glasstique Clear Desk Accessories"/>
    <n v="24.64"/>
    <n v="4"/>
    <n v="4.0039999999999996"/>
    <x v="5"/>
    <x v="1"/>
    <x v="4"/>
  </r>
  <r>
    <s v="CA-2016-102092"/>
    <d v="2016-12-09T00:00:00"/>
    <d v="2016-12-11T00:00:00"/>
    <x v="2"/>
    <s v="PM-18940"/>
    <s v="Paul MacIntyre"/>
    <x v="0"/>
    <x v="76"/>
    <x v="25"/>
    <x v="0"/>
    <s v="FUR-TA-10002530"/>
    <s v="Furniture"/>
    <x v="2"/>
    <s v="Iceberg OfficeWorks 42&quot; Round Tables"/>
    <n v="1056.8599999999999"/>
    <n v="7"/>
    <n v="158.529"/>
    <x v="3"/>
    <x v="0"/>
    <x v="5"/>
  </r>
  <r>
    <s v="CA-2016-132829"/>
    <d v="2016-12-23T00:00:00"/>
    <d v="2016-12-26T00:00:00"/>
    <x v="0"/>
    <s v="LA-16780"/>
    <s v="Laura Armstrong"/>
    <x v="1"/>
    <x v="6"/>
    <x v="5"/>
    <x v="3"/>
    <s v="FUR-FU-10000206"/>
    <s v="Furniture"/>
    <x v="3"/>
    <s v="GE General Purpose, Extra Long Life, Showcase &amp; Floodlight Incandescent Bulbs"/>
    <n v="2.3279999999999998"/>
    <n v="2"/>
    <n v="-0.75660000000000005"/>
    <x v="0"/>
    <x v="0"/>
    <x v="5"/>
  </r>
  <r>
    <s v="CA-2016-123540"/>
    <d v="2016-04-02T00:00:00"/>
    <d v="2016-04-06T00:00:00"/>
    <x v="0"/>
    <s v="DJ-13420"/>
    <s v="Denny Joy"/>
    <x v="1"/>
    <x v="79"/>
    <x v="16"/>
    <x v="3"/>
    <s v="FUR-CH-10000847"/>
    <s v="Furniture"/>
    <x v="1"/>
    <s v="Global Executive Mid-Back Manager's Chair"/>
    <n v="1454.9"/>
    <n v="5"/>
    <n v="378.274"/>
    <x v="4"/>
    <x v="0"/>
    <x v="6"/>
  </r>
  <r>
    <s v="US-2017-108315"/>
    <d v="2017-04-30T00:00:00"/>
    <d v="2017-05-04T00:00:00"/>
    <x v="1"/>
    <s v="MH-18115"/>
    <s v="Mick Hernandez"/>
    <x v="2"/>
    <x v="347"/>
    <x v="1"/>
    <x v="0"/>
    <s v="FUR-FU-10000747"/>
    <s v="Furniture"/>
    <x v="3"/>
    <s v="Tenex B1-RE Series Chair Mats for Low Pile Carpets"/>
    <n v="220.70400000000001"/>
    <n v="6"/>
    <n v="-8.2764000000000006"/>
    <x v="4"/>
    <x v="3"/>
    <x v="6"/>
  </r>
  <r>
    <s v="CA-2017-106747"/>
    <d v="2017-07-03T00:00:00"/>
    <d v="2017-07-04T00:00:00"/>
    <x v="2"/>
    <s v="TS-21505"/>
    <s v="Tony Sayre"/>
    <x v="0"/>
    <x v="41"/>
    <x v="28"/>
    <x v="2"/>
    <s v="FUR-FU-10004188"/>
    <s v="Furniture"/>
    <x v="3"/>
    <s v="Luxo Professional Combination Clamp-On Lamps"/>
    <n v="102.3"/>
    <n v="1"/>
    <n v="26.597999999999999"/>
    <x v="5"/>
    <x v="3"/>
    <x v="3"/>
  </r>
  <r>
    <s v="CA-2017-146164"/>
    <d v="2017-12-22T00:00:00"/>
    <d v="2017-12-26T00:00:00"/>
    <x v="1"/>
    <s v="CM-12190"/>
    <s v="Charlotte Melton"/>
    <x v="0"/>
    <x v="77"/>
    <x v="11"/>
    <x v="3"/>
    <s v="FUR-TA-10004915"/>
    <s v="Furniture"/>
    <x v="2"/>
    <s v="Office Impressions End Table, 20-1/2&quot;H x 24&quot;W x 20&quot;D"/>
    <n v="607.52"/>
    <n v="2"/>
    <n v="97.203199999999995"/>
    <x v="4"/>
    <x v="3"/>
    <x v="5"/>
  </r>
  <r>
    <s v="CA-2014-130673"/>
    <d v="2014-05-20T00:00:00"/>
    <d v="2014-05-22T00:00:00"/>
    <x v="0"/>
    <s v="MC-17590"/>
    <s v="Matt Collister"/>
    <x v="1"/>
    <x v="348"/>
    <x v="5"/>
    <x v="3"/>
    <s v="FUR-FU-10003489"/>
    <s v="Furniture"/>
    <x v="3"/>
    <s v="Contemporary Borderless Frame"/>
    <n v="10.332000000000001"/>
    <n v="3"/>
    <n v="-5.9409000000000001"/>
    <x v="3"/>
    <x v="2"/>
    <x v="7"/>
  </r>
  <r>
    <s v="CA-2017-101700"/>
    <d v="2017-04-23T00:00:00"/>
    <d v="2017-04-26T00:00:00"/>
    <x v="2"/>
    <s v="SO-20335"/>
    <s v="Sean O'Donnell"/>
    <x v="0"/>
    <x v="349"/>
    <x v="12"/>
    <x v="1"/>
    <s v="FUR-FU-10001025"/>
    <s v="Furniture"/>
    <x v="3"/>
    <s v="Eldon Imˆge Series Desk Accessories, Clear"/>
    <n v="11.664"/>
    <n v="3"/>
    <n v="3.3534000000000002"/>
    <x v="0"/>
    <x v="3"/>
    <x v="6"/>
  </r>
  <r>
    <s v="CA-2014-151946"/>
    <d v="2014-06-04T00:00:00"/>
    <d v="2014-06-09T00:00:00"/>
    <x v="1"/>
    <s v="BT-11440"/>
    <s v="Bobby Trafton"/>
    <x v="0"/>
    <x v="13"/>
    <x v="7"/>
    <x v="2"/>
    <s v="FUR-FU-10002878"/>
    <s v="Furniture"/>
    <x v="3"/>
    <s v="Seth Thomas 14&quot; Day/Date Wall Clock"/>
    <n v="56.96"/>
    <n v="2"/>
    <n v="21.075199999999999"/>
    <x v="2"/>
    <x v="2"/>
    <x v="2"/>
  </r>
  <r>
    <s v="CA-2014-151946"/>
    <d v="2014-06-04T00:00:00"/>
    <d v="2014-06-09T00:00:00"/>
    <x v="1"/>
    <s v="BT-11440"/>
    <s v="Bobby Trafton"/>
    <x v="0"/>
    <x v="13"/>
    <x v="7"/>
    <x v="2"/>
    <s v="FUR-BO-10003272"/>
    <s v="Furniture"/>
    <x v="0"/>
    <s v="O'Sullivan Living Dimensions 5-Shelf Bookcases"/>
    <n v="353.56799999999998"/>
    <n v="2"/>
    <n v="-44.195999999999998"/>
    <x v="2"/>
    <x v="2"/>
    <x v="2"/>
  </r>
  <r>
    <s v="CA-2014-151946"/>
    <d v="2014-06-04T00:00:00"/>
    <d v="2014-06-09T00:00:00"/>
    <x v="1"/>
    <s v="BT-11440"/>
    <s v="Bobby Trafton"/>
    <x v="0"/>
    <x v="13"/>
    <x v="7"/>
    <x v="2"/>
    <s v="FUR-FU-10002191"/>
    <s v="Furniture"/>
    <x v="3"/>
    <s v="G.E. Halogen Desk Lamp Bulbs"/>
    <n v="13.96"/>
    <n v="2"/>
    <n v="6.7008000000000001"/>
    <x v="2"/>
    <x v="2"/>
    <x v="2"/>
  </r>
  <r>
    <s v="CA-2017-117513"/>
    <d v="2017-03-03T00:00:00"/>
    <d v="2017-03-08T00:00:00"/>
    <x v="1"/>
    <s v="BT-11395"/>
    <s v="Bill Tyler"/>
    <x v="1"/>
    <x v="2"/>
    <x v="2"/>
    <x v="1"/>
    <s v="FUR-TA-10001520"/>
    <s v="Furniture"/>
    <x v="2"/>
    <s v="Lesro Sheffield Collection Coffee Table, End Table, Center Table, Corner Table"/>
    <n v="399.67200000000003"/>
    <n v="7"/>
    <n v="-14.9877"/>
    <x v="2"/>
    <x v="3"/>
    <x v="9"/>
  </r>
  <r>
    <s v="US-2017-119319"/>
    <d v="2017-11-06T00:00:00"/>
    <d v="2017-11-09T00:00:00"/>
    <x v="0"/>
    <s v="LC-17050"/>
    <s v="Liz Carlisle"/>
    <x v="0"/>
    <x v="144"/>
    <x v="5"/>
    <x v="3"/>
    <s v="FUR-FU-10003878"/>
    <s v="Furniture"/>
    <x v="3"/>
    <s v="Linden 10&quot; Round Wall Clock, Black"/>
    <n v="30.56"/>
    <n v="5"/>
    <n v="-19.864000000000001"/>
    <x v="0"/>
    <x v="3"/>
    <x v="0"/>
  </r>
  <r>
    <s v="CA-2015-164084"/>
    <d v="2015-09-07T00:00:00"/>
    <d v="2015-09-12T00:00:00"/>
    <x v="1"/>
    <s v="AG-10525"/>
    <s v="Andy Gerbode"/>
    <x v="1"/>
    <x v="13"/>
    <x v="7"/>
    <x v="2"/>
    <s v="FUR-TA-10003569"/>
    <s v="Furniture"/>
    <x v="2"/>
    <s v="Bretford CR8500 Series Meeting Room Furniture"/>
    <n v="481.17599999999999"/>
    <n v="2"/>
    <n v="-120.294"/>
    <x v="2"/>
    <x v="1"/>
    <x v="4"/>
  </r>
  <r>
    <s v="CA-2016-107783"/>
    <d v="2016-07-28T00:00:00"/>
    <d v="2016-07-29T00:00:00"/>
    <x v="2"/>
    <s v="OT-18730"/>
    <s v="Olvera Toch"/>
    <x v="0"/>
    <x v="268"/>
    <x v="3"/>
    <x v="2"/>
    <s v="FUR-BO-10004409"/>
    <s v="Furniture"/>
    <x v="0"/>
    <s v="Safco Value Mate Series Steel Bookcases, Baked Enamel Finish on Steel, Gray"/>
    <n v="177.45"/>
    <n v="5"/>
    <n v="-78.078000000000003"/>
    <x v="5"/>
    <x v="0"/>
    <x v="3"/>
  </r>
  <r>
    <s v="CA-2017-159793"/>
    <d v="2017-08-25T00:00:00"/>
    <d v="2017-08-29T00:00:00"/>
    <x v="1"/>
    <s v="SV-20365"/>
    <s v="Seth Vernon"/>
    <x v="0"/>
    <x v="3"/>
    <x v="3"/>
    <x v="2"/>
    <s v="FUR-BO-10001798"/>
    <s v="Furniture"/>
    <x v="0"/>
    <s v="Bush Somerset Collection Bookcase"/>
    <n v="130.97999999999999"/>
    <n v="2"/>
    <n v="-89.066400000000002"/>
    <x v="4"/>
    <x v="3"/>
    <x v="10"/>
  </r>
  <r>
    <s v="CA-2017-151281"/>
    <d v="2017-04-27T00:00:00"/>
    <d v="2017-05-02T00:00:00"/>
    <x v="1"/>
    <s v="HM-14980"/>
    <s v="Henry MacAllister"/>
    <x v="0"/>
    <x v="15"/>
    <x v="13"/>
    <x v="1"/>
    <s v="FUR-FU-10000397"/>
    <s v="Furniture"/>
    <x v="3"/>
    <s v="Luxo Economy Swing Arm Lamp"/>
    <n v="139.58000000000001"/>
    <n v="7"/>
    <n v="39.0824"/>
    <x v="2"/>
    <x v="3"/>
    <x v="6"/>
  </r>
  <r>
    <s v="CA-2015-108259"/>
    <d v="2015-11-08T00:00:00"/>
    <d v="2015-11-15T00:00:00"/>
    <x v="1"/>
    <s v="NS-18640"/>
    <s v="Noel Staavos"/>
    <x v="1"/>
    <x v="51"/>
    <x v="30"/>
    <x v="0"/>
    <s v="FUR-FU-10000023"/>
    <s v="Furniture"/>
    <x v="3"/>
    <s v="Eldon Wave Desk Accessories"/>
    <n v="4.7119999999999997"/>
    <n v="1"/>
    <n v="1.4136"/>
    <x v="1"/>
    <x v="1"/>
    <x v="0"/>
  </r>
  <r>
    <s v="CA-2016-113341"/>
    <d v="2016-11-25T00:00:00"/>
    <d v="2016-11-29T00:00:00"/>
    <x v="1"/>
    <s v="MH-17455"/>
    <s v="Mark Hamilton"/>
    <x v="0"/>
    <x v="2"/>
    <x v="2"/>
    <x v="1"/>
    <s v="FUR-CH-10004698"/>
    <s v="Furniture"/>
    <x v="1"/>
    <s v="Padded Folding Chairs, Black, 4/Carton"/>
    <n v="194.352"/>
    <n v="3"/>
    <n v="19.435199999999998"/>
    <x v="4"/>
    <x v="0"/>
    <x v="0"/>
  </r>
  <r>
    <s v="US-2015-131842"/>
    <d v="2015-12-05T00:00:00"/>
    <d v="2015-12-08T00:00:00"/>
    <x v="2"/>
    <s v="RR-19525"/>
    <s v="Rick Reed"/>
    <x v="1"/>
    <x v="228"/>
    <x v="9"/>
    <x v="0"/>
    <s v="FUR-CH-10004477"/>
    <s v="Furniture"/>
    <x v="1"/>
    <s v="Global Push Button Manager's Chair, Indigo"/>
    <n v="97.424000000000007"/>
    <n v="2"/>
    <n v="10.9602"/>
    <x v="0"/>
    <x v="1"/>
    <x v="5"/>
  </r>
  <r>
    <s v="CA-2014-142769"/>
    <d v="2014-09-13T00:00:00"/>
    <d v="2014-09-13T00:00:00"/>
    <x v="3"/>
    <s v="RP-19390"/>
    <s v="Resi Pšlking"/>
    <x v="0"/>
    <x v="15"/>
    <x v="13"/>
    <x v="1"/>
    <s v="FUR-FU-10001918"/>
    <s v="Furniture"/>
    <x v="3"/>
    <s v="C-Line Cubicle Keepers Polyproplyene Holder With Velcro Backings"/>
    <n v="14.19"/>
    <n v="3"/>
    <n v="5.5340999999999996"/>
    <x v="7"/>
    <x v="2"/>
    <x v="4"/>
  </r>
  <r>
    <s v="CA-2017-124765"/>
    <d v="2017-11-25T00:00:00"/>
    <d v="2017-11-30T00:00:00"/>
    <x v="1"/>
    <s v="HZ-14950"/>
    <s v="Henia Zydlo"/>
    <x v="0"/>
    <x v="1"/>
    <x v="1"/>
    <x v="0"/>
    <s v="FUR-BO-10003965"/>
    <s v="Furniture"/>
    <x v="0"/>
    <s v="O'Sullivan Manor Hill 2-Door Library in Brianna Oak"/>
    <n v="723.92"/>
    <n v="5"/>
    <n v="-81.441000000000003"/>
    <x v="2"/>
    <x v="3"/>
    <x v="0"/>
  </r>
  <r>
    <s v="CA-2015-131856"/>
    <d v="2015-05-12T00:00:00"/>
    <d v="2015-05-17T00:00:00"/>
    <x v="1"/>
    <s v="JG-15160"/>
    <s v="James Galang"/>
    <x v="0"/>
    <x v="6"/>
    <x v="5"/>
    <x v="3"/>
    <s v="FUR-FU-10000175"/>
    <s v="Furniture"/>
    <x v="3"/>
    <s v="DAX Wood Document Frame."/>
    <n v="21.968"/>
    <n v="4"/>
    <n v="-15.9268"/>
    <x v="2"/>
    <x v="1"/>
    <x v="7"/>
  </r>
  <r>
    <s v="CA-2017-126634"/>
    <d v="2017-03-30T00:00:00"/>
    <d v="2017-04-01T00:00:00"/>
    <x v="0"/>
    <s v="AB-10165"/>
    <s v="Alan Barnes"/>
    <x v="0"/>
    <x v="174"/>
    <x v="2"/>
    <x v="1"/>
    <s v="FUR-FU-10004973"/>
    <s v="Furniture"/>
    <x v="3"/>
    <s v="Flat Face Poster Frame"/>
    <n v="94.2"/>
    <n v="5"/>
    <n v="39.564"/>
    <x v="3"/>
    <x v="3"/>
    <x v="9"/>
  </r>
  <r>
    <s v="US-2014-159611"/>
    <d v="2014-12-27T00:00:00"/>
    <d v="2015-01-01T00:00:00"/>
    <x v="0"/>
    <s v="KB-16315"/>
    <s v="Karl Braun"/>
    <x v="0"/>
    <x v="59"/>
    <x v="15"/>
    <x v="2"/>
    <s v="FUR-FU-10004904"/>
    <s v="Furniture"/>
    <x v="3"/>
    <s v="Eldon &quot;L&quot; Workstation Diamond Chairmat"/>
    <n v="182.352"/>
    <n v="3"/>
    <n v="-18.235199999999999"/>
    <x v="2"/>
    <x v="2"/>
    <x v="5"/>
  </r>
  <r>
    <s v="CA-2017-163265"/>
    <d v="2017-02-16T00:00:00"/>
    <d v="2017-02-21T00:00:00"/>
    <x v="1"/>
    <s v="JS-16030"/>
    <s v="Joy Smith"/>
    <x v="0"/>
    <x v="42"/>
    <x v="8"/>
    <x v="3"/>
    <s v="FUR-CH-10004063"/>
    <s v="Furniture"/>
    <x v="1"/>
    <s v="Global Deluxe High-Back Manager's Chair"/>
    <n v="600.55799999999999"/>
    <n v="3"/>
    <n v="-8.5793999999999997"/>
    <x v="2"/>
    <x v="3"/>
    <x v="11"/>
  </r>
  <r>
    <s v="CA-2017-163265"/>
    <d v="2017-02-16T00:00:00"/>
    <d v="2017-02-21T00:00:00"/>
    <x v="1"/>
    <s v="JS-16030"/>
    <s v="Joy Smith"/>
    <x v="0"/>
    <x v="42"/>
    <x v="8"/>
    <x v="3"/>
    <s v="FUR-FU-10004270"/>
    <s v="Furniture"/>
    <x v="3"/>
    <s v="Executive Impressions 13&quot; Clairmont Wall Clock"/>
    <n v="7.6920000000000002"/>
    <n v="1"/>
    <n v="-3.6537000000000002"/>
    <x v="2"/>
    <x v="3"/>
    <x v="11"/>
  </r>
  <r>
    <s v="CA-2017-141705"/>
    <d v="2017-10-24T00:00:00"/>
    <d v="2017-10-26T00:00:00"/>
    <x v="2"/>
    <s v="PO-18850"/>
    <s v="Patrick O'Brill"/>
    <x v="0"/>
    <x v="350"/>
    <x v="5"/>
    <x v="3"/>
    <s v="FUR-TA-10004607"/>
    <s v="Furniture"/>
    <x v="2"/>
    <s v="Hon 2111 Invitation Series Straight Table"/>
    <n v="517.40499999999997"/>
    <n v="5"/>
    <n v="-81.3065"/>
    <x v="3"/>
    <x v="3"/>
    <x v="1"/>
  </r>
  <r>
    <s v="CA-2017-127096"/>
    <d v="2017-09-15T00:00:00"/>
    <d v="2017-09-17T00:00:00"/>
    <x v="0"/>
    <s v="CS-12400"/>
    <s v="Christopher Schild"/>
    <x v="2"/>
    <x v="28"/>
    <x v="2"/>
    <x v="1"/>
    <s v="FUR-TA-10003473"/>
    <s v="Furniture"/>
    <x v="2"/>
    <s v="Bretford Rectangular Conference Table Tops"/>
    <n v="300.904"/>
    <n v="1"/>
    <n v="11.283899999999999"/>
    <x v="3"/>
    <x v="3"/>
    <x v="4"/>
  </r>
  <r>
    <s v="CA-2017-119284"/>
    <d v="2017-06-15T00:00:00"/>
    <d v="2017-06-20T00:00:00"/>
    <x v="1"/>
    <s v="TS-21205"/>
    <s v="Thomas Seio"/>
    <x v="1"/>
    <x v="228"/>
    <x v="9"/>
    <x v="0"/>
    <s v="FUR-FU-10004351"/>
    <s v="Furniture"/>
    <x v="3"/>
    <s v="Staple-based wall hangings"/>
    <n v="31.167999999999999"/>
    <n v="4"/>
    <n v="9.3504000000000005"/>
    <x v="2"/>
    <x v="3"/>
    <x v="2"/>
  </r>
  <r>
    <s v="CA-2017-119284"/>
    <d v="2017-06-15T00:00:00"/>
    <d v="2017-06-20T00:00:00"/>
    <x v="1"/>
    <s v="TS-21205"/>
    <s v="Thomas Seio"/>
    <x v="1"/>
    <x v="228"/>
    <x v="9"/>
    <x v="0"/>
    <s v="FUR-TA-10004152"/>
    <s v="Furniture"/>
    <x v="2"/>
    <s v="Barricks 18&quot; x 48&quot; Non-Folding Utility Table with Bottom Storage Shelf"/>
    <n v="120.96"/>
    <n v="2"/>
    <n v="-28.224"/>
    <x v="2"/>
    <x v="3"/>
    <x v="2"/>
  </r>
  <r>
    <s v="CA-2014-146815"/>
    <d v="2014-09-08T00:00:00"/>
    <d v="2014-09-13T00:00:00"/>
    <x v="1"/>
    <s v="PP-18955"/>
    <s v="Paul Prost"/>
    <x v="2"/>
    <x v="13"/>
    <x v="7"/>
    <x v="2"/>
    <s v="FUR-CH-10004289"/>
    <s v="Furniture"/>
    <x v="1"/>
    <s v="Global Super Steno Chair"/>
    <n v="172.76400000000001"/>
    <n v="2"/>
    <n v="13.437200000000001"/>
    <x v="2"/>
    <x v="2"/>
    <x v="4"/>
  </r>
  <r>
    <s v="CA-2014-119144"/>
    <d v="2014-11-16T00:00:00"/>
    <d v="2014-11-18T00:00:00"/>
    <x v="2"/>
    <s v="JD-16150"/>
    <s v="Justin Deggeller"/>
    <x v="1"/>
    <x v="2"/>
    <x v="2"/>
    <x v="1"/>
    <s v="FUR-BO-10004015"/>
    <s v="Furniture"/>
    <x v="0"/>
    <s v="Bush Andora Bookcase, Maple/Graphite Gray Finish"/>
    <n v="305.97449999999998"/>
    <n v="3"/>
    <n v="25.197900000000001"/>
    <x v="3"/>
    <x v="2"/>
    <x v="0"/>
  </r>
  <r>
    <s v="CA-2014-105648"/>
    <d v="2014-03-03T00:00:00"/>
    <d v="2014-03-07T00:00:00"/>
    <x v="1"/>
    <s v="EJ-14155"/>
    <s v="Eva Jacobs"/>
    <x v="0"/>
    <x v="53"/>
    <x v="2"/>
    <x v="1"/>
    <s v="FUR-TA-10002958"/>
    <s v="Furniture"/>
    <x v="2"/>
    <s v="Bevis Oval Conference Table, Walnut"/>
    <n v="626.35199999999998"/>
    <n v="3"/>
    <n v="-23.488199999999999"/>
    <x v="4"/>
    <x v="2"/>
    <x v="9"/>
  </r>
  <r>
    <s v="US-2015-145422"/>
    <d v="2015-12-03T00:00:00"/>
    <d v="2015-12-07T00:00:00"/>
    <x v="1"/>
    <s v="PW-19240"/>
    <s v="Pierre Wener"/>
    <x v="0"/>
    <x v="28"/>
    <x v="2"/>
    <x v="1"/>
    <s v="FUR-BO-10002213"/>
    <s v="Furniture"/>
    <x v="0"/>
    <s v="Sauder Forest Hills Library, Woodland Oak Finish"/>
    <n v="359.49900000000002"/>
    <n v="3"/>
    <n v="-29.605799999999999"/>
    <x v="4"/>
    <x v="1"/>
    <x v="5"/>
  </r>
  <r>
    <s v="CA-2016-120824"/>
    <d v="2016-06-12T00:00:00"/>
    <d v="2016-06-16T00:00:00"/>
    <x v="0"/>
    <s v="AW-10930"/>
    <s v="Arthur Wiediger"/>
    <x v="2"/>
    <x v="6"/>
    <x v="5"/>
    <x v="3"/>
    <s v="FUR-FU-10001424"/>
    <s v="Furniture"/>
    <x v="3"/>
    <s v="Dax Clear Box Frame"/>
    <n v="6.984"/>
    <n v="2"/>
    <n v="-4.5396000000000001"/>
    <x v="4"/>
    <x v="0"/>
    <x v="2"/>
  </r>
  <r>
    <s v="CA-2016-120824"/>
    <d v="2016-06-12T00:00:00"/>
    <d v="2016-06-16T00:00:00"/>
    <x v="0"/>
    <s v="AW-10930"/>
    <s v="Arthur Wiediger"/>
    <x v="2"/>
    <x v="6"/>
    <x v="5"/>
    <x v="3"/>
    <s v="FUR-CH-10000229"/>
    <s v="Furniture"/>
    <x v="1"/>
    <s v="Global Enterprise Series Seating High-Back Swivel/Tilt Chairs"/>
    <n v="379.37200000000001"/>
    <n v="2"/>
    <n v="-119.2312"/>
    <x v="4"/>
    <x v="0"/>
    <x v="2"/>
  </r>
  <r>
    <s v="CA-2015-103870"/>
    <d v="2015-12-27T00:00:00"/>
    <d v="2015-12-31T00:00:00"/>
    <x v="1"/>
    <s v="SP-20860"/>
    <s v="Sung Pak"/>
    <x v="1"/>
    <x v="34"/>
    <x v="9"/>
    <x v="0"/>
    <s v="FUR-FU-10002030"/>
    <s v="Furniture"/>
    <x v="3"/>
    <s v="Executive Impressions 14&quot; Contract Wall Clock with Quartz Movement"/>
    <n v="53.351999999999997"/>
    <n v="3"/>
    <n v="16.005600000000001"/>
    <x v="4"/>
    <x v="1"/>
    <x v="5"/>
  </r>
  <r>
    <s v="CA-2015-103870"/>
    <d v="2015-12-27T00:00:00"/>
    <d v="2015-12-31T00:00:00"/>
    <x v="1"/>
    <s v="SP-20860"/>
    <s v="Sung Pak"/>
    <x v="1"/>
    <x v="34"/>
    <x v="9"/>
    <x v="0"/>
    <s v="FUR-BO-10002853"/>
    <s v="Furniture"/>
    <x v="0"/>
    <s v="O'Sullivan 5-Shelf Heavy-Duty Bookcases"/>
    <n v="131.10400000000001"/>
    <n v="2"/>
    <n v="8.1940000000000008"/>
    <x v="4"/>
    <x v="1"/>
    <x v="5"/>
  </r>
  <r>
    <s v="CA-2017-116988"/>
    <d v="2017-06-27T00:00:00"/>
    <d v="2017-06-29T00:00:00"/>
    <x v="0"/>
    <s v="PW-19030"/>
    <s v="Pauline Webber"/>
    <x v="1"/>
    <x v="15"/>
    <x v="13"/>
    <x v="1"/>
    <s v="FUR-FU-10001290"/>
    <s v="Furniture"/>
    <x v="3"/>
    <s v="Executive Impressions Supervisor Wall Clock"/>
    <n v="126.3"/>
    <n v="3"/>
    <n v="40.415999999999997"/>
    <x v="3"/>
    <x v="3"/>
    <x v="2"/>
  </r>
  <r>
    <s v="US-2015-144771"/>
    <d v="2015-10-02T00:00:00"/>
    <d v="2015-10-04T00:00:00"/>
    <x v="2"/>
    <s v="CK-12205"/>
    <s v="Chloris Kastensmidt"/>
    <x v="0"/>
    <x v="351"/>
    <x v="36"/>
    <x v="1"/>
    <s v="FUR-FU-10000629"/>
    <s v="Furniture"/>
    <x v="3"/>
    <s v="9-3/4 Diameter Round Wall Clock"/>
    <n v="11.032"/>
    <n v="1"/>
    <n v="3.0337999999999998"/>
    <x v="3"/>
    <x v="1"/>
    <x v="1"/>
  </r>
  <r>
    <s v="CA-2017-128076"/>
    <d v="2017-02-02T00:00:00"/>
    <d v="2017-02-07T00:00:00"/>
    <x v="1"/>
    <s v="BO-11350"/>
    <s v="Bill Overfelt"/>
    <x v="1"/>
    <x v="53"/>
    <x v="2"/>
    <x v="1"/>
    <s v="FUR-FU-10000293"/>
    <s v="Furniture"/>
    <x v="3"/>
    <s v="Eldon Antistatic Chair Mats for Low to Medium Pile Carpets"/>
    <n v="210.58"/>
    <n v="2"/>
    <n v="12.6348"/>
    <x v="2"/>
    <x v="3"/>
    <x v="11"/>
  </r>
  <r>
    <s v="CA-2016-114307"/>
    <d v="2016-07-22T00:00:00"/>
    <d v="2016-07-26T00:00:00"/>
    <x v="1"/>
    <s v="MF-17665"/>
    <s v="Maureen Fritzler"/>
    <x v="1"/>
    <x v="11"/>
    <x v="32"/>
    <x v="2"/>
    <s v="FUR-FU-10000794"/>
    <s v="Furniture"/>
    <x v="3"/>
    <s v="Eldon Stackable Tray, Side-Load, Legal, Smoke"/>
    <n v="27.42"/>
    <n v="3"/>
    <n v="9.3228000000000009"/>
    <x v="4"/>
    <x v="0"/>
    <x v="3"/>
  </r>
  <r>
    <s v="CA-2016-151148"/>
    <d v="2016-09-12T00:00:00"/>
    <d v="2016-09-13T00:00:00"/>
    <x v="3"/>
    <s v="PO-19180"/>
    <s v="Philisse Overcash"/>
    <x v="2"/>
    <x v="74"/>
    <x v="12"/>
    <x v="1"/>
    <s v="FUR-CH-10002304"/>
    <s v="Furniture"/>
    <x v="1"/>
    <s v="Global Stack Chair without Arms, Black"/>
    <n v="83.135999999999996"/>
    <n v="4"/>
    <n v="5.1959999999999997"/>
    <x v="5"/>
    <x v="0"/>
    <x v="4"/>
  </r>
  <r>
    <s v="CA-2016-102813"/>
    <d v="2016-07-02T00:00:00"/>
    <d v="2016-07-03T00:00:00"/>
    <x v="2"/>
    <s v="EA-14035"/>
    <s v="Erin Ashbrook"/>
    <x v="1"/>
    <x v="156"/>
    <x v="5"/>
    <x v="3"/>
    <s v="FUR-CH-10000665"/>
    <s v="Furniture"/>
    <x v="1"/>
    <s v="Global Airflow Leather Mesh Back Chair, Black"/>
    <n v="528.42999999999995"/>
    <n v="5"/>
    <n v="0"/>
    <x v="5"/>
    <x v="0"/>
    <x v="3"/>
  </r>
  <r>
    <s v="CA-2017-135377"/>
    <d v="2017-12-13T00:00:00"/>
    <d v="2017-12-18T00:00:00"/>
    <x v="1"/>
    <s v="BP-11095"/>
    <s v="Bart Pistole"/>
    <x v="1"/>
    <x v="13"/>
    <x v="7"/>
    <x v="2"/>
    <s v="FUR-BO-10004015"/>
    <s v="Furniture"/>
    <x v="0"/>
    <s v="Bush Andora Bookcase, Maple/Graphite Gray Finish"/>
    <n v="287.976"/>
    <n v="3"/>
    <n v="7.1993999999999998"/>
    <x v="2"/>
    <x v="3"/>
    <x v="5"/>
  </r>
  <r>
    <s v="CA-2015-133585"/>
    <d v="2015-03-01T00:00:00"/>
    <d v="2015-03-04T00:00:00"/>
    <x v="2"/>
    <s v="CM-12715"/>
    <s v="Craig Molinari"/>
    <x v="1"/>
    <x v="6"/>
    <x v="5"/>
    <x v="3"/>
    <s v="FUR-BO-10001811"/>
    <s v="Furniture"/>
    <x v="0"/>
    <s v="Atlantic Metals Mobile 5-Shelf Bookcases, Custom Colors"/>
    <n v="1227.9983999999999"/>
    <n v="6"/>
    <n v="-36.117600000000003"/>
    <x v="0"/>
    <x v="1"/>
    <x v="9"/>
  </r>
  <r>
    <s v="CA-2016-116911"/>
    <d v="2016-09-15T00:00:00"/>
    <d v="2016-09-20T00:00:00"/>
    <x v="1"/>
    <s v="JD-16150"/>
    <s v="Justin Deggeller"/>
    <x v="1"/>
    <x v="352"/>
    <x v="42"/>
    <x v="1"/>
    <s v="FUR-TA-10003473"/>
    <s v="Furniture"/>
    <x v="2"/>
    <s v="Bretford Rectangular Conference Table Tops"/>
    <n v="1128.3900000000001"/>
    <n v="3"/>
    <n v="259.52969999999999"/>
    <x v="2"/>
    <x v="0"/>
    <x v="4"/>
  </r>
  <r>
    <s v="CA-2017-126914"/>
    <d v="2017-06-15T00:00:00"/>
    <d v="2017-06-19T00:00:00"/>
    <x v="1"/>
    <s v="JE-15715"/>
    <s v="Joe Elijah"/>
    <x v="0"/>
    <x v="91"/>
    <x v="30"/>
    <x v="0"/>
    <s v="FUR-CH-10000847"/>
    <s v="Furniture"/>
    <x v="1"/>
    <s v="Global Executive Mid-Back Manager's Chair"/>
    <n v="698.35199999999998"/>
    <n v="3"/>
    <n v="52.376399999999997"/>
    <x v="4"/>
    <x v="3"/>
    <x v="2"/>
  </r>
  <r>
    <s v="CA-2017-126914"/>
    <d v="2017-06-15T00:00:00"/>
    <d v="2017-06-19T00:00:00"/>
    <x v="1"/>
    <s v="JE-15715"/>
    <s v="Joe Elijah"/>
    <x v="0"/>
    <x v="91"/>
    <x v="30"/>
    <x v="0"/>
    <s v="FUR-BO-10000468"/>
    <s v="Furniture"/>
    <x v="0"/>
    <s v="O'Sullivan 2-Shelf Heavy-Duty Bookcases"/>
    <n v="77.727999999999994"/>
    <n v="2"/>
    <n v="-3.8864000000000001"/>
    <x v="4"/>
    <x v="3"/>
    <x v="2"/>
  </r>
  <r>
    <s v="CA-2016-140935"/>
    <d v="2016-11-10T00:00:00"/>
    <d v="2016-11-12T00:00:00"/>
    <x v="2"/>
    <s v="AB-10015"/>
    <s v="Aaron Bergman"/>
    <x v="0"/>
    <x v="258"/>
    <x v="37"/>
    <x v="3"/>
    <s v="FUR-BO-10003966"/>
    <s v="Furniture"/>
    <x v="0"/>
    <s v="Sauder Facets Collection Library, Sky Alder Finish"/>
    <n v="341.96"/>
    <n v="2"/>
    <n v="54.7136"/>
    <x v="3"/>
    <x v="0"/>
    <x v="0"/>
  </r>
  <r>
    <s v="CA-2016-113082"/>
    <d v="2016-09-12T00:00:00"/>
    <d v="2016-09-16T00:00:00"/>
    <x v="1"/>
    <s v="MC-17590"/>
    <s v="Matt Collister"/>
    <x v="1"/>
    <x v="353"/>
    <x v="7"/>
    <x v="2"/>
    <s v="FUR-FU-10002813"/>
    <s v="Furniture"/>
    <x v="3"/>
    <s v="DAX Contemporary Wood Frame with Silver Metal Mat, Desktop, 11 x 14 Size"/>
    <n v="40.479999999999997"/>
    <n v="2"/>
    <n v="14.572800000000001"/>
    <x v="4"/>
    <x v="0"/>
    <x v="4"/>
  </r>
  <r>
    <s v="CA-2015-127754"/>
    <d v="2015-07-26T00:00:00"/>
    <d v="2015-07-31T00:00:00"/>
    <x v="1"/>
    <s v="CK-12760"/>
    <s v="Cyma Kinney"/>
    <x v="1"/>
    <x v="110"/>
    <x v="22"/>
    <x v="1"/>
    <s v="FUR-CH-10003199"/>
    <s v="Furniture"/>
    <x v="1"/>
    <s v="Office Star - Contemporary Task Swivel Chair"/>
    <n v="266.35199999999998"/>
    <n v="3"/>
    <n v="13.317600000000001"/>
    <x v="2"/>
    <x v="1"/>
    <x v="3"/>
  </r>
  <r>
    <s v="CA-2015-145324"/>
    <d v="2015-11-15T00:00:00"/>
    <d v="2015-11-19T00:00:00"/>
    <x v="1"/>
    <s v="DH-13675"/>
    <s v="Duane Huffman"/>
    <x v="2"/>
    <x v="95"/>
    <x v="25"/>
    <x v="0"/>
    <s v="FUR-FU-10002759"/>
    <s v="Furniture"/>
    <x v="3"/>
    <s v="12-1/2 Diameter Round Wall Clock"/>
    <n v="39.96"/>
    <n v="2"/>
    <n v="14.3856"/>
    <x v="4"/>
    <x v="1"/>
    <x v="0"/>
  </r>
  <r>
    <s v="CA-2015-140718"/>
    <d v="2015-07-02T00:00:00"/>
    <d v="2015-07-04T00:00:00"/>
    <x v="2"/>
    <s v="FA-14230"/>
    <s v="Frank Atkinson"/>
    <x v="1"/>
    <x v="168"/>
    <x v="30"/>
    <x v="0"/>
    <s v="FUR-FU-10000076"/>
    <s v="Furniture"/>
    <x v="3"/>
    <s v="24-Hour Round Wall Clock"/>
    <n v="159.84"/>
    <n v="10"/>
    <n v="45.954000000000001"/>
    <x v="3"/>
    <x v="1"/>
    <x v="3"/>
  </r>
  <r>
    <s v="CA-2015-125934"/>
    <d v="2015-09-11T00:00:00"/>
    <d v="2015-09-18T00:00:00"/>
    <x v="1"/>
    <s v="SN-20560"/>
    <s v="Skye Norling"/>
    <x v="2"/>
    <x v="309"/>
    <x v="18"/>
    <x v="2"/>
    <s v="FUR-FU-10002107"/>
    <s v="Furniture"/>
    <x v="3"/>
    <s v="Eldon Pizzaz Desk Accessories"/>
    <n v="8.92"/>
    <n v="4"/>
    <n v="3.9247999999999998"/>
    <x v="1"/>
    <x v="1"/>
    <x v="4"/>
  </r>
  <r>
    <s v="CA-2014-120411"/>
    <d v="2014-09-20T00:00:00"/>
    <d v="2014-09-23T00:00:00"/>
    <x v="2"/>
    <s v="SB-20185"/>
    <s v="Sarah Brown"/>
    <x v="0"/>
    <x v="9"/>
    <x v="8"/>
    <x v="3"/>
    <s v="FUR-BO-10004218"/>
    <s v="Furniture"/>
    <x v="0"/>
    <s v="Bush Heritage Pine Collection 5-Shelf Bookcase, Albany Pine Finish, *Special Order"/>
    <n v="493.43"/>
    <n v="5"/>
    <n v="-70.489999999999995"/>
    <x v="0"/>
    <x v="2"/>
    <x v="4"/>
  </r>
  <r>
    <s v="CA-2017-101805"/>
    <d v="2017-12-01T00:00:00"/>
    <d v="2017-12-06T00:00:00"/>
    <x v="1"/>
    <s v="SH-19975"/>
    <s v="Sally Hughsby"/>
    <x v="1"/>
    <x v="15"/>
    <x v="13"/>
    <x v="1"/>
    <s v="FUR-FU-10000023"/>
    <s v="Furniture"/>
    <x v="3"/>
    <s v="Eldon Wave Desk Accessories"/>
    <n v="70.680000000000007"/>
    <n v="12"/>
    <n v="31.0992"/>
    <x v="2"/>
    <x v="3"/>
    <x v="5"/>
  </r>
  <r>
    <s v="CA-2017-103968"/>
    <d v="2017-12-01T00:00:00"/>
    <d v="2017-12-07T00:00:00"/>
    <x v="1"/>
    <s v="ML-17755"/>
    <s v="Max Ludwig"/>
    <x v="2"/>
    <x v="354"/>
    <x v="2"/>
    <x v="1"/>
    <s v="FUR-FU-10003394"/>
    <s v="Furniture"/>
    <x v="3"/>
    <s v="Tenex &quot;The Solids&quot; Textured Chair Mats"/>
    <n v="629.64"/>
    <n v="9"/>
    <n v="107.03879999999999"/>
    <x v="6"/>
    <x v="3"/>
    <x v="5"/>
  </r>
  <r>
    <s v="CA-2016-162159"/>
    <d v="2016-09-16T00:00:00"/>
    <d v="2016-09-18T00:00:00"/>
    <x v="2"/>
    <s v="CR-12625"/>
    <s v="Corey Roper"/>
    <x v="2"/>
    <x v="29"/>
    <x v="24"/>
    <x v="0"/>
    <s v="FUR-CH-10001146"/>
    <s v="Furniture"/>
    <x v="1"/>
    <s v="Global Value Mid-Back Manager's Chair, Gray"/>
    <n v="121.78"/>
    <n v="2"/>
    <n v="30.445"/>
    <x v="3"/>
    <x v="0"/>
    <x v="4"/>
  </r>
  <r>
    <s v="CA-2015-111038"/>
    <d v="2015-12-01T00:00:00"/>
    <d v="2015-12-06T00:00:00"/>
    <x v="1"/>
    <s v="LC-16960"/>
    <s v="Lindsay Castell"/>
    <x v="2"/>
    <x v="53"/>
    <x v="2"/>
    <x v="1"/>
    <s v="FUR-CH-10003973"/>
    <s v="Furniture"/>
    <x v="1"/>
    <s v="GuestStacker Chair with Chrome Finish Legs"/>
    <n v="2676.672"/>
    <n v="9"/>
    <n v="267.66719999999998"/>
    <x v="2"/>
    <x v="1"/>
    <x v="5"/>
  </r>
  <r>
    <s v="CA-2014-124723"/>
    <d v="2014-08-05T00:00:00"/>
    <d v="2014-08-12T00:00:00"/>
    <x v="1"/>
    <s v="GZ-14470"/>
    <s v="Gary Zandusky"/>
    <x v="0"/>
    <x v="303"/>
    <x v="5"/>
    <x v="3"/>
    <s v="FUR-TA-10001307"/>
    <s v="Furniture"/>
    <x v="2"/>
    <s v="SAFCO PlanMaster Heigh-Adjustable Drafting Table Base, 43w x 30d x 30-37h, Black"/>
    <n v="489.23"/>
    <n v="2"/>
    <n v="41.933999999999997"/>
    <x v="1"/>
    <x v="2"/>
    <x v="10"/>
  </r>
  <r>
    <s v="CA-2016-167241"/>
    <d v="2016-08-15T00:00:00"/>
    <d v="2016-08-22T00:00:00"/>
    <x v="1"/>
    <s v="BD-11320"/>
    <s v="Bill Donatelli"/>
    <x v="0"/>
    <x v="2"/>
    <x v="2"/>
    <x v="1"/>
    <s v="FUR-FU-10004071"/>
    <s v="Furniture"/>
    <x v="3"/>
    <s v="Luxo Professional Magnifying Clamp-On Fluorescent Lamps"/>
    <n v="312.02999999999997"/>
    <n v="3"/>
    <n v="43.684199999999997"/>
    <x v="1"/>
    <x v="0"/>
    <x v="10"/>
  </r>
  <r>
    <s v="CA-2016-150483"/>
    <d v="2016-05-31T00:00:00"/>
    <d v="2016-06-04T00:00:00"/>
    <x v="1"/>
    <s v="BP-11290"/>
    <s v="Beth Paige"/>
    <x v="0"/>
    <x v="42"/>
    <x v="8"/>
    <x v="3"/>
    <s v="FUR-FU-10001379"/>
    <s v="Furniture"/>
    <x v="3"/>
    <s v="Executive Impressions 16-1/2&quot; Circular Wall Clock"/>
    <n v="32.064"/>
    <n v="3"/>
    <n v="-12.8256"/>
    <x v="4"/>
    <x v="0"/>
    <x v="7"/>
  </r>
  <r>
    <s v="CA-2016-150483"/>
    <d v="2016-05-31T00:00:00"/>
    <d v="2016-06-04T00:00:00"/>
    <x v="1"/>
    <s v="BP-11290"/>
    <s v="Beth Paige"/>
    <x v="0"/>
    <x v="42"/>
    <x v="8"/>
    <x v="3"/>
    <s v="FUR-CH-10000422"/>
    <s v="Furniture"/>
    <x v="1"/>
    <s v="Global Highback Leather Tilter in Burgundy"/>
    <n v="191.07900000000001"/>
    <n v="3"/>
    <n v="-38.215800000000002"/>
    <x v="4"/>
    <x v="0"/>
    <x v="7"/>
  </r>
  <r>
    <s v="CA-2014-160276"/>
    <d v="2014-04-02T00:00:00"/>
    <d v="2014-04-08T00:00:00"/>
    <x v="1"/>
    <s v="AH-10690"/>
    <s v="Anna HŠberlin"/>
    <x v="1"/>
    <x v="304"/>
    <x v="25"/>
    <x v="0"/>
    <s v="FUR-FU-10003192"/>
    <s v="Furniture"/>
    <x v="3"/>
    <s v="Luxo Adjustable Task Clamp Lamp"/>
    <n v="177.68"/>
    <n v="2"/>
    <n v="46.196800000000003"/>
    <x v="6"/>
    <x v="2"/>
    <x v="6"/>
  </r>
  <r>
    <s v="CA-2016-145709"/>
    <d v="2016-10-04T00:00:00"/>
    <d v="2016-10-08T00:00:00"/>
    <x v="1"/>
    <s v="AH-10690"/>
    <s v="Anna HŠberlin"/>
    <x v="1"/>
    <x v="355"/>
    <x v="1"/>
    <x v="0"/>
    <s v="FUR-FU-10002885"/>
    <s v="Furniture"/>
    <x v="3"/>
    <s v="Magna Visual Magnetic Picture Hangers"/>
    <n v="11.568"/>
    <n v="3"/>
    <n v="2.6027999999999998"/>
    <x v="4"/>
    <x v="0"/>
    <x v="1"/>
  </r>
  <r>
    <s v="CA-2016-168032"/>
    <d v="2016-01-30T00:00:00"/>
    <d v="2016-02-03T00:00:00"/>
    <x v="1"/>
    <s v="DF-13135"/>
    <s v="David Flashing"/>
    <x v="0"/>
    <x v="88"/>
    <x v="8"/>
    <x v="3"/>
    <s v="FUR-TA-10004256"/>
    <s v="Furniture"/>
    <x v="2"/>
    <s v="Bretford ÒJust In TimeÓ Height-Adjustable Multi-Task Work Tables"/>
    <n v="626.1"/>
    <n v="3"/>
    <n v="-538.44600000000003"/>
    <x v="4"/>
    <x v="0"/>
    <x v="8"/>
  </r>
  <r>
    <s v="US-2015-168704"/>
    <d v="2015-04-13T00:00:00"/>
    <d v="2015-04-17T00:00:00"/>
    <x v="1"/>
    <s v="FP-14320"/>
    <s v="Frank Preis"/>
    <x v="0"/>
    <x v="156"/>
    <x v="5"/>
    <x v="3"/>
    <s v="FUR-TA-10000688"/>
    <s v="Furniture"/>
    <x v="2"/>
    <s v="Chromcraft Bull-Nose Wood Round Conference Table Top, Wood Base"/>
    <n v="609.98"/>
    <n v="4"/>
    <n v="-113.282"/>
    <x v="4"/>
    <x v="1"/>
    <x v="6"/>
  </r>
  <r>
    <s v="US-2015-168704"/>
    <d v="2015-04-13T00:00:00"/>
    <d v="2015-04-17T00:00:00"/>
    <x v="1"/>
    <s v="FP-14320"/>
    <s v="Frank Preis"/>
    <x v="0"/>
    <x v="156"/>
    <x v="5"/>
    <x v="3"/>
    <s v="FUR-TA-10002530"/>
    <s v="Furniture"/>
    <x v="2"/>
    <s v="Iceberg OfficeWorks 42&quot; Round Tables"/>
    <n v="211.37200000000001"/>
    <n v="2"/>
    <n v="-45.293999999999997"/>
    <x v="4"/>
    <x v="1"/>
    <x v="6"/>
  </r>
  <r>
    <s v="CA-2017-143252"/>
    <d v="2017-12-18T00:00:00"/>
    <d v="2017-12-24T00:00:00"/>
    <x v="1"/>
    <s v="HE-14800"/>
    <s v="Harold Engle"/>
    <x v="1"/>
    <x v="79"/>
    <x v="16"/>
    <x v="3"/>
    <s v="FUR-FU-10001057"/>
    <s v="Furniture"/>
    <x v="3"/>
    <s v="Tensor Track Tree Floor Lamp"/>
    <n v="99.95"/>
    <n v="5"/>
    <n v="22.988499999999998"/>
    <x v="6"/>
    <x v="3"/>
    <x v="5"/>
  </r>
  <r>
    <s v="CA-2016-102134"/>
    <d v="2016-03-14T00:00:00"/>
    <d v="2016-03-19T00:00:00"/>
    <x v="1"/>
    <s v="SP-20545"/>
    <s v="Sibella Parks"/>
    <x v="1"/>
    <x v="356"/>
    <x v="16"/>
    <x v="3"/>
    <s v="FUR-FU-10003724"/>
    <s v="Furniture"/>
    <x v="3"/>
    <s v="Westinghouse Clip-On Gooseneck Lamps"/>
    <n v="16.739999999999998"/>
    <n v="2"/>
    <n v="4.3524000000000003"/>
    <x v="2"/>
    <x v="0"/>
    <x v="9"/>
  </r>
  <r>
    <s v="CA-2017-111717"/>
    <d v="2017-10-10T00:00:00"/>
    <d v="2017-10-16T00:00:00"/>
    <x v="1"/>
    <s v="SW-20245"/>
    <s v="Scot Wooten"/>
    <x v="0"/>
    <x v="14"/>
    <x v="8"/>
    <x v="3"/>
    <s v="FUR-CH-10001545"/>
    <s v="Furniture"/>
    <x v="1"/>
    <s v="Hon Comfortask Task/Swivel Chairs"/>
    <n v="239.358"/>
    <n v="3"/>
    <n v="-47.871600000000001"/>
    <x v="6"/>
    <x v="3"/>
    <x v="1"/>
  </r>
  <r>
    <s v="CA-2017-150910"/>
    <d v="2017-12-22T00:00:00"/>
    <d v="2017-12-28T00:00:00"/>
    <x v="1"/>
    <s v="JL-15130"/>
    <s v="Jack Lebron"/>
    <x v="0"/>
    <x v="38"/>
    <x v="9"/>
    <x v="0"/>
    <s v="FUR-TA-10002903"/>
    <s v="Furniture"/>
    <x v="2"/>
    <s v="Bevis Round Bullnose 29&quot; High Table Top"/>
    <n v="934.95600000000002"/>
    <n v="6"/>
    <n v="-249.32159999999999"/>
    <x v="6"/>
    <x v="3"/>
    <x v="5"/>
  </r>
  <r>
    <s v="CA-2014-156790"/>
    <d v="2014-08-08T00:00:00"/>
    <d v="2014-08-10T00:00:00"/>
    <x v="0"/>
    <s v="VG-21790"/>
    <s v="Vivek Gonzalez"/>
    <x v="0"/>
    <x v="51"/>
    <x v="1"/>
    <x v="0"/>
    <s v="FUR-BO-10000468"/>
    <s v="Furniture"/>
    <x v="0"/>
    <s v="O'Sullivan 2-Shelf Heavy-Duty Bookcases"/>
    <n v="155.45599999999999"/>
    <n v="4"/>
    <n v="-7.7728000000000002"/>
    <x v="3"/>
    <x v="2"/>
    <x v="10"/>
  </r>
  <r>
    <s v="CA-2017-105620"/>
    <d v="2017-12-25T00:00:00"/>
    <d v="2017-12-28T00:00:00"/>
    <x v="2"/>
    <s v="JH-15430"/>
    <s v="Jennifer Halladay"/>
    <x v="0"/>
    <x v="173"/>
    <x v="1"/>
    <x v="0"/>
    <s v="FUR-FU-10004963"/>
    <s v="Furniture"/>
    <x v="3"/>
    <s v="Eldon 400 Class Desk Accessories, Black Carbon"/>
    <n v="21"/>
    <n v="3"/>
    <n v="5.7750000000000004"/>
    <x v="0"/>
    <x v="3"/>
    <x v="5"/>
  </r>
  <r>
    <s v="CA-2017-150266"/>
    <d v="2017-11-25T00:00:00"/>
    <d v="2017-11-30T00:00:00"/>
    <x v="1"/>
    <s v="RO-19780"/>
    <s v="Rose O'Brian"/>
    <x v="0"/>
    <x v="6"/>
    <x v="5"/>
    <x v="3"/>
    <s v="FUR-CH-10002126"/>
    <s v="Furniture"/>
    <x v="1"/>
    <s v="Hon Deluxe Fabric Upholstered Stacking Chairs"/>
    <n v="853.93"/>
    <n v="5"/>
    <n v="-24.398"/>
    <x v="2"/>
    <x v="3"/>
    <x v="0"/>
  </r>
  <r>
    <s v="CA-2016-157280"/>
    <d v="2016-11-05T00:00:00"/>
    <d v="2016-11-07T00:00:00"/>
    <x v="2"/>
    <s v="LW-17125"/>
    <s v="Liz Willingham"/>
    <x v="0"/>
    <x v="304"/>
    <x v="25"/>
    <x v="0"/>
    <s v="FUR-FU-10004665"/>
    <s v="Furniture"/>
    <x v="3"/>
    <s v="3M Polarizing Task Lamp with Clamp Arm, Light Gray"/>
    <n v="273.95999999999998"/>
    <n v="2"/>
    <n v="71.229600000000005"/>
    <x v="3"/>
    <x v="0"/>
    <x v="0"/>
  </r>
  <r>
    <s v="CA-2016-157280"/>
    <d v="2016-11-05T00:00:00"/>
    <d v="2016-11-07T00:00:00"/>
    <x v="2"/>
    <s v="LW-17125"/>
    <s v="Liz Willingham"/>
    <x v="0"/>
    <x v="304"/>
    <x v="25"/>
    <x v="0"/>
    <s v="FUR-FU-10003806"/>
    <s v="Furniture"/>
    <x v="3"/>
    <s v="Tenex Chairmat w/ Average Lip, 45&quot; x 53&quot;"/>
    <n v="756.8"/>
    <n v="5"/>
    <n v="75.680000000000007"/>
    <x v="3"/>
    <x v="0"/>
    <x v="0"/>
  </r>
  <r>
    <s v="CA-2016-134180"/>
    <d v="2016-11-03T00:00:00"/>
    <d v="2016-11-07T00:00:00"/>
    <x v="1"/>
    <s v="JP-16135"/>
    <s v="Julie Prescott"/>
    <x v="2"/>
    <x v="3"/>
    <x v="3"/>
    <x v="2"/>
    <s v="FUR-CH-10004886"/>
    <s v="Furniture"/>
    <x v="1"/>
    <s v="Bevis Steel Folding Chairs"/>
    <n v="470.15499999999997"/>
    <n v="7"/>
    <n v="-13.433"/>
    <x v="4"/>
    <x v="0"/>
    <x v="0"/>
  </r>
  <r>
    <s v="CA-2017-122308"/>
    <d v="2017-03-24T00:00:00"/>
    <d v="2017-03-28T00:00:00"/>
    <x v="1"/>
    <s v="MV-17485"/>
    <s v="Mark Van Huff"/>
    <x v="0"/>
    <x v="13"/>
    <x v="7"/>
    <x v="2"/>
    <s v="FUR-CH-10000665"/>
    <s v="Furniture"/>
    <x v="1"/>
    <s v="Global Airflow Leather Mesh Back Chair, Black"/>
    <n v="271.76400000000001"/>
    <n v="2"/>
    <n v="60.392000000000003"/>
    <x v="4"/>
    <x v="3"/>
    <x v="9"/>
  </r>
  <r>
    <s v="CA-2017-159226"/>
    <d v="2017-04-25T00:00:00"/>
    <d v="2017-04-27T00:00:00"/>
    <x v="0"/>
    <s v="RL-19615"/>
    <s v="Rob Lucas"/>
    <x v="0"/>
    <x v="2"/>
    <x v="2"/>
    <x v="1"/>
    <s v="FUR-BO-10004709"/>
    <s v="Furniture"/>
    <x v="0"/>
    <s v="Bush Westfield Collection Bookcases, Medium Cherry Finish"/>
    <n v="344.98099999999999"/>
    <n v="7"/>
    <n v="28.4102"/>
    <x v="3"/>
    <x v="3"/>
    <x v="6"/>
  </r>
  <r>
    <s v="CA-2017-156622"/>
    <d v="2017-11-23T00:00:00"/>
    <d v="2017-11-26T00:00:00"/>
    <x v="2"/>
    <s v="JP-15460"/>
    <s v="Jennifer Patt"/>
    <x v="1"/>
    <x v="144"/>
    <x v="5"/>
    <x v="3"/>
    <s v="FUR-TA-10003008"/>
    <s v="Furniture"/>
    <x v="2"/>
    <s v="Lesro Round Back Collection Coffee Table, End Table"/>
    <n v="127.785"/>
    <n v="1"/>
    <n v="-31.0335"/>
    <x v="0"/>
    <x v="3"/>
    <x v="0"/>
  </r>
  <r>
    <s v="CA-2016-110898"/>
    <d v="2016-03-06T00:00:00"/>
    <d v="2016-03-12T00:00:00"/>
    <x v="1"/>
    <s v="LC-16870"/>
    <s v="Lena Cacioppo"/>
    <x v="0"/>
    <x v="9"/>
    <x v="8"/>
    <x v="3"/>
    <s v="FUR-FU-10003773"/>
    <s v="Furniture"/>
    <x v="3"/>
    <s v="Eldon Cleatmat Plus Chair Mats for High Pile Carpets"/>
    <n v="159.04"/>
    <n v="5"/>
    <n v="-194.82400000000001"/>
    <x v="6"/>
    <x v="0"/>
    <x v="9"/>
  </r>
  <r>
    <s v="CA-2016-110898"/>
    <d v="2016-03-06T00:00:00"/>
    <d v="2016-03-12T00:00:00"/>
    <x v="1"/>
    <s v="LC-16870"/>
    <s v="Lena Cacioppo"/>
    <x v="0"/>
    <x v="9"/>
    <x v="8"/>
    <x v="3"/>
    <s v="FUR-TA-10000849"/>
    <s v="Furniture"/>
    <x v="2"/>
    <s v="Bevis Rectangular Conference Tables"/>
    <n v="145.97999999999999"/>
    <n v="2"/>
    <n v="-99.266400000000004"/>
    <x v="6"/>
    <x v="0"/>
    <x v="9"/>
  </r>
  <r>
    <s v="CA-2015-123092"/>
    <d v="2015-12-03T00:00:00"/>
    <d v="2015-12-07T00:00:00"/>
    <x v="1"/>
    <s v="JG-15115"/>
    <s v="Jack Garza"/>
    <x v="0"/>
    <x v="51"/>
    <x v="30"/>
    <x v="0"/>
    <s v="FUR-FU-10000222"/>
    <s v="Furniture"/>
    <x v="3"/>
    <s v="Seth Thomas 16&quot; Steel Case Clock"/>
    <n v="77.951999999999998"/>
    <n v="3"/>
    <n v="12.667199999999999"/>
    <x v="4"/>
    <x v="1"/>
    <x v="5"/>
  </r>
  <r>
    <s v="US-2015-128587"/>
    <d v="2015-12-24T00:00:00"/>
    <d v="2015-12-30T00:00:00"/>
    <x v="1"/>
    <s v="HM-14860"/>
    <s v="Harry Marie"/>
    <x v="1"/>
    <x v="76"/>
    <x v="23"/>
    <x v="3"/>
    <s v="FUR-FU-10003026"/>
    <s v="Furniture"/>
    <x v="3"/>
    <s v="Eldon Regeneration Recycled Desk Accessories, Black"/>
    <n v="9.68"/>
    <n v="2"/>
    <n v="3.7751999999999999"/>
    <x v="6"/>
    <x v="1"/>
    <x v="5"/>
  </r>
  <r>
    <s v="CA-2017-159100"/>
    <d v="2017-10-16T00:00:00"/>
    <d v="2017-10-21T00:00:00"/>
    <x v="1"/>
    <s v="VP-21760"/>
    <s v="Victoria Pisteka"/>
    <x v="1"/>
    <x v="11"/>
    <x v="9"/>
    <x v="0"/>
    <s v="FUR-TA-10001950"/>
    <s v="Furniture"/>
    <x v="2"/>
    <s v="Balt Solid Wood Round Tables"/>
    <n v="1875.258"/>
    <n v="7"/>
    <n v="-968.88329999999996"/>
    <x v="2"/>
    <x v="3"/>
    <x v="1"/>
  </r>
  <r>
    <s v="CA-2017-137785"/>
    <d v="2017-05-13T00:00:00"/>
    <d v="2017-05-17T00:00:00"/>
    <x v="1"/>
    <s v="MH-18115"/>
    <s v="Mick Hernandez"/>
    <x v="2"/>
    <x v="3"/>
    <x v="3"/>
    <x v="2"/>
    <s v="FUR-CH-10001482"/>
    <s v="Furniture"/>
    <x v="1"/>
    <s v="Office Star - Mesh Screen back chair with Vinyl seat"/>
    <n v="458.43"/>
    <n v="5"/>
    <n v="-124.431"/>
    <x v="4"/>
    <x v="3"/>
    <x v="7"/>
  </r>
  <r>
    <s v="CA-2017-107825"/>
    <d v="2017-11-18T00:00:00"/>
    <d v="2017-11-18T00:00:00"/>
    <x v="3"/>
    <s v="NB-18655"/>
    <s v="Nona Balk"/>
    <x v="1"/>
    <x v="79"/>
    <x v="16"/>
    <x v="3"/>
    <s v="FUR-FU-10000206"/>
    <s v="Furniture"/>
    <x v="3"/>
    <s v="GE General Purpose, Extra Long Life, Showcase &amp; Floodlight Incandescent Bulbs"/>
    <n v="5.82"/>
    <n v="2"/>
    <n v="2.7353999999999998"/>
    <x v="7"/>
    <x v="3"/>
    <x v="0"/>
  </r>
  <r>
    <s v="CA-2016-121447"/>
    <d v="2016-02-21T00:00:00"/>
    <d v="2016-02-22T00:00:00"/>
    <x v="2"/>
    <s v="EA-14035"/>
    <s v="Erin Ashbrook"/>
    <x v="1"/>
    <x v="13"/>
    <x v="7"/>
    <x v="2"/>
    <s v="FUR-FU-10001861"/>
    <s v="Furniture"/>
    <x v="3"/>
    <s v="Floodlight Indoor Halogen Bulbs, 1 Bulb per Pack, 60 Watts"/>
    <n v="135.80000000000001"/>
    <n v="7"/>
    <n v="66.542000000000002"/>
    <x v="5"/>
    <x v="0"/>
    <x v="11"/>
  </r>
  <r>
    <s v="CA-2014-100706"/>
    <d v="2014-12-16T00:00:00"/>
    <d v="2014-12-18T00:00:00"/>
    <x v="0"/>
    <s v="LE-16810"/>
    <s v="Laurel Elliston"/>
    <x v="0"/>
    <x v="76"/>
    <x v="25"/>
    <x v="0"/>
    <s v="FUR-FU-10002268"/>
    <s v="Furniture"/>
    <x v="3"/>
    <s v="Ultra Door Push Plate"/>
    <n v="29.46"/>
    <n v="6"/>
    <n v="9.7218"/>
    <x v="3"/>
    <x v="2"/>
    <x v="5"/>
  </r>
  <r>
    <s v="US-2016-141880"/>
    <d v="2016-08-22T00:00:00"/>
    <d v="2016-08-23T00:00:00"/>
    <x v="2"/>
    <s v="TC-21475"/>
    <s v="Tony Chapman"/>
    <x v="2"/>
    <x v="200"/>
    <x v="12"/>
    <x v="1"/>
    <s v="FUR-FU-10001979"/>
    <s v="Furniture"/>
    <x v="3"/>
    <s v="Dana Halogen Swing-Arm Architect Lamp"/>
    <n v="98.328000000000003"/>
    <n v="3"/>
    <n v="9.8328000000000007"/>
    <x v="5"/>
    <x v="0"/>
    <x v="10"/>
  </r>
  <r>
    <s v="CA-2015-165799"/>
    <d v="2015-06-29T00:00:00"/>
    <d v="2015-07-02T00:00:00"/>
    <x v="2"/>
    <s v="SG-20470"/>
    <s v="Sheri Gordon"/>
    <x v="0"/>
    <x v="13"/>
    <x v="7"/>
    <x v="2"/>
    <s v="FUR-CH-10001482"/>
    <s v="Furniture"/>
    <x v="1"/>
    <s v="Office Star - Mesh Screen back chair with Vinyl seat"/>
    <n v="117.88200000000001"/>
    <n v="1"/>
    <n v="1.3098000000000001"/>
    <x v="0"/>
    <x v="1"/>
    <x v="2"/>
  </r>
  <r>
    <s v="CA-2016-102127"/>
    <d v="2016-06-26T00:00:00"/>
    <d v="2016-07-02T00:00:00"/>
    <x v="1"/>
    <s v="VP-21760"/>
    <s v="Victoria Pisteka"/>
    <x v="1"/>
    <x v="13"/>
    <x v="7"/>
    <x v="2"/>
    <s v="FUR-FU-10003976"/>
    <s v="Furniture"/>
    <x v="3"/>
    <s v="DAX Executive Solid Wood Document Frame, Desktop or Hang, Mahogany, 5 x 7"/>
    <n v="37.74"/>
    <n v="3"/>
    <n v="12.8316"/>
    <x v="6"/>
    <x v="0"/>
    <x v="2"/>
  </r>
  <r>
    <s v="US-2016-152415"/>
    <d v="2016-09-17T00:00:00"/>
    <d v="2016-09-22T00:00:00"/>
    <x v="1"/>
    <s v="PO-18865"/>
    <s v="Patrick O'Donnell"/>
    <x v="0"/>
    <x v="357"/>
    <x v="20"/>
    <x v="2"/>
    <s v="FUR-FU-10002597"/>
    <s v="Furniture"/>
    <x v="3"/>
    <s v="C-Line Magnetic Cubicle Keepers, Clear Polypropylene"/>
    <n v="14.82"/>
    <n v="3"/>
    <n v="6.2244000000000002"/>
    <x v="2"/>
    <x v="0"/>
    <x v="4"/>
  </r>
  <r>
    <s v="US-2016-152415"/>
    <d v="2016-09-17T00:00:00"/>
    <d v="2016-09-22T00:00:00"/>
    <x v="1"/>
    <s v="PO-18865"/>
    <s v="Patrick O'Donnell"/>
    <x v="0"/>
    <x v="357"/>
    <x v="20"/>
    <x v="2"/>
    <s v="FUR-FU-10004864"/>
    <s v="Furniture"/>
    <x v="3"/>
    <s v="Howard Miller 14-1/2&quot; Diameter Chrome Round Wall Clock"/>
    <n v="191.82"/>
    <n v="3"/>
    <n v="61.382399999999997"/>
    <x v="2"/>
    <x v="0"/>
    <x v="4"/>
  </r>
  <r>
    <s v="CA-2017-128041"/>
    <d v="2017-09-01T00:00:00"/>
    <d v="2017-09-01T00:00:00"/>
    <x v="3"/>
    <s v="RW-19540"/>
    <s v="Rick Wilson"/>
    <x v="1"/>
    <x v="15"/>
    <x v="13"/>
    <x v="1"/>
    <s v="FUR-TA-10002607"/>
    <s v="Furniture"/>
    <x v="2"/>
    <s v="KI Conference Tables"/>
    <n v="283.56"/>
    <n v="4"/>
    <n v="45.369599999999998"/>
    <x v="7"/>
    <x v="3"/>
    <x v="4"/>
  </r>
  <r>
    <s v="CA-2017-105823"/>
    <d v="2017-06-22T00:00:00"/>
    <d v="2017-06-26T00:00:00"/>
    <x v="1"/>
    <s v="RB-19465"/>
    <s v="Rick Bensley"/>
    <x v="2"/>
    <x v="25"/>
    <x v="17"/>
    <x v="3"/>
    <s v="FUR-CH-10000454"/>
    <s v="Furniture"/>
    <x v="1"/>
    <s v="Hon Deluxe Fabric Upholstered Stacking Chairs, Rounded Back"/>
    <n v="487.96"/>
    <n v="2"/>
    <n v="146.38800000000001"/>
    <x v="4"/>
    <x v="3"/>
    <x v="2"/>
  </r>
  <r>
    <s v="CA-2014-138177"/>
    <d v="2014-09-19T00:00:00"/>
    <d v="2014-09-24T00:00:00"/>
    <x v="1"/>
    <s v="ND-18460"/>
    <s v="Neil Ducich"/>
    <x v="1"/>
    <x v="262"/>
    <x v="22"/>
    <x v="1"/>
    <s v="FUR-TA-10004607"/>
    <s v="Furniture"/>
    <x v="2"/>
    <s v="Hon 2111 Invitation Series Straight Table"/>
    <n v="73.915000000000006"/>
    <n v="1"/>
    <n v="-45.827300000000001"/>
    <x v="2"/>
    <x v="2"/>
    <x v="4"/>
  </r>
  <r>
    <s v="CA-2014-114335"/>
    <d v="2014-09-28T00:00:00"/>
    <d v="2014-10-03T00:00:00"/>
    <x v="1"/>
    <s v="XP-21865"/>
    <s v="Xylona Preis"/>
    <x v="0"/>
    <x v="358"/>
    <x v="1"/>
    <x v="0"/>
    <s v="FUR-FU-10000277"/>
    <s v="Furniture"/>
    <x v="3"/>
    <s v="Deflect-o DuraMat Antistatic Studded Beveled Mat for Medium Pile Carpeting"/>
    <n v="337.08800000000002"/>
    <n v="4"/>
    <n v="16.854399999999998"/>
    <x v="2"/>
    <x v="2"/>
    <x v="4"/>
  </r>
  <r>
    <s v="CA-2015-160227"/>
    <d v="2015-11-02T00:00:00"/>
    <d v="2015-11-04T00:00:00"/>
    <x v="2"/>
    <s v="ED-13885"/>
    <s v="Emily Ducich"/>
    <x v="2"/>
    <x v="13"/>
    <x v="7"/>
    <x v="2"/>
    <s v="FUR-CH-10002073"/>
    <s v="Furniture"/>
    <x v="1"/>
    <s v="Hon Olson Stacker Chairs"/>
    <n v="2621.3220000000001"/>
    <n v="11"/>
    <n v="553.39020000000005"/>
    <x v="3"/>
    <x v="1"/>
    <x v="0"/>
  </r>
  <r>
    <s v="CA-2015-149097"/>
    <d v="2015-10-20T00:00:00"/>
    <d v="2015-10-24T00:00:00"/>
    <x v="1"/>
    <s v="SV-20785"/>
    <s v="Stewart Visinsky"/>
    <x v="0"/>
    <x v="2"/>
    <x v="2"/>
    <x v="1"/>
    <s v="FUR-FU-10003424"/>
    <s v="Furniture"/>
    <x v="3"/>
    <s v="Nu-Dell Oak Frame"/>
    <n v="74.760000000000005"/>
    <n v="7"/>
    <n v="23.923200000000001"/>
    <x v="4"/>
    <x v="1"/>
    <x v="1"/>
  </r>
  <r>
    <s v="CA-2015-149097"/>
    <d v="2015-10-20T00:00:00"/>
    <d v="2015-10-24T00:00:00"/>
    <x v="1"/>
    <s v="SV-20785"/>
    <s v="Stewart Visinsky"/>
    <x v="0"/>
    <x v="2"/>
    <x v="2"/>
    <x v="1"/>
    <s v="FUR-TA-10001086"/>
    <s v="Furniture"/>
    <x v="2"/>
    <s v="SAFCO PlanMaster Boards, 60w x 37-1/2d, White Melamine"/>
    <n v="364.77600000000001"/>
    <n v="3"/>
    <n v="27.3582"/>
    <x v="4"/>
    <x v="1"/>
    <x v="1"/>
  </r>
  <r>
    <s v="CA-2016-132304"/>
    <d v="2016-06-14T00:00:00"/>
    <d v="2016-06-18T00:00:00"/>
    <x v="1"/>
    <s v="AR-10825"/>
    <s v="Anthony Rawles"/>
    <x v="1"/>
    <x v="15"/>
    <x v="13"/>
    <x v="1"/>
    <s v="FUR-TA-10004619"/>
    <s v="Furniture"/>
    <x v="2"/>
    <s v="Hon Non-Folding Utility Tables"/>
    <n v="1115.17"/>
    <n v="7"/>
    <n v="334.55099999999999"/>
    <x v="4"/>
    <x v="0"/>
    <x v="2"/>
  </r>
  <r>
    <s v="CA-2016-106278"/>
    <d v="2016-09-02T00:00:00"/>
    <d v="2016-09-05T00:00:00"/>
    <x v="0"/>
    <s v="BM-11140"/>
    <s v="Becky Martin"/>
    <x v="0"/>
    <x v="67"/>
    <x v="13"/>
    <x v="1"/>
    <s v="FUR-CH-10003061"/>
    <s v="Furniture"/>
    <x v="1"/>
    <s v="Global Leather Task Chair, Black"/>
    <n v="215.976"/>
    <n v="3"/>
    <n v="-2.6997"/>
    <x v="0"/>
    <x v="0"/>
    <x v="4"/>
  </r>
  <r>
    <s v="CA-2017-147550"/>
    <d v="2017-12-04T00:00:00"/>
    <d v="2017-12-05T00:00:00"/>
    <x v="2"/>
    <s v="KE-16420"/>
    <s v="Katrina Edelman"/>
    <x v="1"/>
    <x v="3"/>
    <x v="3"/>
    <x v="2"/>
    <s v="FUR-FU-10001918"/>
    <s v="Furniture"/>
    <x v="3"/>
    <s v="C-Line Cubicle Keepers Polyproplyene Holder With Velcro Backings"/>
    <n v="11.352"/>
    <n v="3"/>
    <n v="2.6960999999999999"/>
    <x v="5"/>
    <x v="3"/>
    <x v="5"/>
  </r>
  <r>
    <s v="CA-2016-108105"/>
    <d v="2016-02-16T00:00:00"/>
    <d v="2016-02-23T00:00:00"/>
    <x v="1"/>
    <s v="GW-14605"/>
    <s v="Giulietta Weimer"/>
    <x v="0"/>
    <x v="0"/>
    <x v="0"/>
    <x v="0"/>
    <s v="FUR-FU-10003773"/>
    <s v="Furniture"/>
    <x v="3"/>
    <s v="Eldon Cleatmat Plus Chair Mats for High Pile Carpets"/>
    <n v="318.08"/>
    <n v="4"/>
    <n v="34.988799999999998"/>
    <x v="1"/>
    <x v="0"/>
    <x v="11"/>
  </r>
  <r>
    <s v="CA-2016-143406"/>
    <d v="2016-09-26T00:00:00"/>
    <d v="2016-09-30T00:00:00"/>
    <x v="1"/>
    <s v="LR-17035"/>
    <s v="Lisa Ryan"/>
    <x v="1"/>
    <x v="6"/>
    <x v="5"/>
    <x v="3"/>
    <s v="FUR-CH-10000513"/>
    <s v="Furniture"/>
    <x v="1"/>
    <s v="High-Back Leather Manager's Chair"/>
    <n v="454.96499999999997"/>
    <n v="5"/>
    <n v="-136.48949999999999"/>
    <x v="4"/>
    <x v="0"/>
    <x v="4"/>
  </r>
  <r>
    <s v="CA-2015-162950"/>
    <d v="2015-06-28T00:00:00"/>
    <d v="2015-07-03T00:00:00"/>
    <x v="0"/>
    <s v="DW-13585"/>
    <s v="Dorothy Wardle"/>
    <x v="1"/>
    <x v="8"/>
    <x v="15"/>
    <x v="2"/>
    <s v="FUR-BO-10001918"/>
    <s v="Furniture"/>
    <x v="0"/>
    <s v="Sauder Forest Hills Library with Doors, Woodland Oak Finish"/>
    <n v="482.94"/>
    <n v="6"/>
    <n v="-376.69319999999999"/>
    <x v="2"/>
    <x v="1"/>
    <x v="2"/>
  </r>
  <r>
    <s v="CA-2015-163181"/>
    <d v="2015-11-07T00:00:00"/>
    <d v="2015-11-12T00:00:00"/>
    <x v="1"/>
    <s v="AB-10105"/>
    <s v="Adrian Barton"/>
    <x v="0"/>
    <x v="6"/>
    <x v="5"/>
    <x v="3"/>
    <s v="FUR-FU-10000193"/>
    <s v="Furniture"/>
    <x v="3"/>
    <s v="Tenex Chairmats For Use with Hard Floors"/>
    <n v="64.959999999999994"/>
    <n v="5"/>
    <n v="-84.447999999999993"/>
    <x v="2"/>
    <x v="1"/>
    <x v="0"/>
  </r>
  <r>
    <s v="CA-2017-153045"/>
    <d v="2017-01-19T00:00:00"/>
    <d v="2017-01-24T00:00:00"/>
    <x v="0"/>
    <s v="NS-18505"/>
    <s v="Neola Schneider"/>
    <x v="0"/>
    <x v="3"/>
    <x v="3"/>
    <x v="2"/>
    <s v="FUR-FU-10002759"/>
    <s v="Furniture"/>
    <x v="3"/>
    <s v="12-1/2 Diameter Round Wall Clock"/>
    <n v="31.968"/>
    <n v="2"/>
    <n v="6.3936000000000002"/>
    <x v="2"/>
    <x v="3"/>
    <x v="8"/>
  </r>
  <r>
    <s v="CA-2017-153045"/>
    <d v="2017-01-19T00:00:00"/>
    <d v="2017-01-24T00:00:00"/>
    <x v="0"/>
    <s v="NS-18505"/>
    <s v="Neola Schneider"/>
    <x v="0"/>
    <x v="3"/>
    <x v="3"/>
    <x v="2"/>
    <s v="FUR-CH-10000309"/>
    <s v="Furniture"/>
    <x v="1"/>
    <s v="Global Comet Stacking Arm Chair"/>
    <n v="887.27099999999996"/>
    <n v="3"/>
    <n v="-63.3765"/>
    <x v="2"/>
    <x v="3"/>
    <x v="8"/>
  </r>
  <r>
    <s v="CA-2016-128916"/>
    <d v="2016-08-18T00:00:00"/>
    <d v="2016-08-20T00:00:00"/>
    <x v="0"/>
    <s v="MA-17560"/>
    <s v="Matt Abelman"/>
    <x v="2"/>
    <x v="6"/>
    <x v="5"/>
    <x v="3"/>
    <s v="FUR-FU-10001940"/>
    <s v="Furniture"/>
    <x v="3"/>
    <s v="Staple-based wall hangings"/>
    <n v="9.5519999999999996"/>
    <n v="3"/>
    <n v="-3.8208000000000002"/>
    <x v="3"/>
    <x v="0"/>
    <x v="10"/>
  </r>
  <r>
    <s v="CA-2016-128916"/>
    <d v="2016-08-18T00:00:00"/>
    <d v="2016-08-20T00:00:00"/>
    <x v="0"/>
    <s v="MA-17560"/>
    <s v="Matt Abelman"/>
    <x v="2"/>
    <x v="6"/>
    <x v="5"/>
    <x v="3"/>
    <s v="FUR-FU-10000320"/>
    <s v="Furniture"/>
    <x v="3"/>
    <s v="OIC Stacking Trays"/>
    <n v="5.3440000000000003"/>
    <n v="4"/>
    <n v="-2.1375999999999999"/>
    <x v="3"/>
    <x v="0"/>
    <x v="10"/>
  </r>
  <r>
    <s v="CA-2016-130911"/>
    <d v="2016-03-24T00:00:00"/>
    <d v="2016-03-26T00:00:00"/>
    <x v="0"/>
    <s v="DC-12850"/>
    <s v="Dan Campbell"/>
    <x v="0"/>
    <x v="59"/>
    <x v="15"/>
    <x v="2"/>
    <s v="FUR-BO-10004357"/>
    <s v="Furniture"/>
    <x v="0"/>
    <s v="O'Sullivan Living Dimensions 3-Shelf Bookcases"/>
    <n v="301.47000000000003"/>
    <n v="3"/>
    <n v="-241.17599999999999"/>
    <x v="3"/>
    <x v="0"/>
    <x v="9"/>
  </r>
  <r>
    <s v="CA-2017-100055"/>
    <d v="2017-05-28T00:00:00"/>
    <d v="2017-06-01T00:00:00"/>
    <x v="1"/>
    <s v="MD-17860"/>
    <s v="Michael Dominguez"/>
    <x v="1"/>
    <x v="359"/>
    <x v="32"/>
    <x v="2"/>
    <s v="FUR-FU-10001473"/>
    <s v="Furniture"/>
    <x v="3"/>
    <s v="DAX Wood Document Frame"/>
    <n v="27.46"/>
    <n v="2"/>
    <n v="9.8856000000000002"/>
    <x v="4"/>
    <x v="3"/>
    <x v="7"/>
  </r>
  <r>
    <s v="CA-2016-132990"/>
    <d v="2016-08-01T00:00:00"/>
    <d v="2016-08-03T00:00:00"/>
    <x v="0"/>
    <s v="KM-16660"/>
    <s v="Khloe Miller"/>
    <x v="0"/>
    <x v="3"/>
    <x v="3"/>
    <x v="2"/>
    <s v="FUR-FU-10004864"/>
    <s v="Furniture"/>
    <x v="3"/>
    <s v="Eldon 500 Class Desk Accessories"/>
    <n v="19.312000000000001"/>
    <n v="2"/>
    <n v="3.1381999999999999"/>
    <x v="3"/>
    <x v="0"/>
    <x v="10"/>
  </r>
  <r>
    <s v="CA-2016-160108"/>
    <d v="2016-12-08T00:00:00"/>
    <d v="2016-12-12T00:00:00"/>
    <x v="1"/>
    <s v="AG-10900"/>
    <s v="Arthur Gainer"/>
    <x v="0"/>
    <x v="360"/>
    <x v="16"/>
    <x v="3"/>
    <s v="FUR-BO-10003450"/>
    <s v="Furniture"/>
    <x v="0"/>
    <s v="Bush Westfield Collection Bookcases, Dark Cherry Finish"/>
    <n v="405.86"/>
    <n v="7"/>
    <n v="32.468800000000002"/>
    <x v="4"/>
    <x v="0"/>
    <x v="5"/>
  </r>
  <r>
    <s v="CA-2016-160108"/>
    <d v="2016-12-08T00:00:00"/>
    <d v="2016-12-12T00:00:00"/>
    <x v="1"/>
    <s v="AG-10900"/>
    <s v="Arthur Gainer"/>
    <x v="0"/>
    <x v="360"/>
    <x v="16"/>
    <x v="3"/>
    <s v="FUR-CH-10002335"/>
    <s v="Furniture"/>
    <x v="1"/>
    <s v="Hon GuestStacker Chair"/>
    <n v="680.01"/>
    <n v="3"/>
    <n v="176.80260000000001"/>
    <x v="4"/>
    <x v="0"/>
    <x v="5"/>
  </r>
  <r>
    <s v="US-2016-155768"/>
    <d v="2016-12-01T00:00:00"/>
    <d v="2016-12-01T00:00:00"/>
    <x v="3"/>
    <s v="LB-16795"/>
    <s v="Laurel Beltran"/>
    <x v="2"/>
    <x v="299"/>
    <x v="2"/>
    <x v="1"/>
    <s v="FUR-FU-10000448"/>
    <s v="Furniture"/>
    <x v="3"/>
    <s v="Tenex Chairmats For Use With Carpeted Floors"/>
    <n v="31.96"/>
    <n v="2"/>
    <n v="1.5980000000000001"/>
    <x v="7"/>
    <x v="0"/>
    <x v="5"/>
  </r>
  <r>
    <s v="CA-2017-156776"/>
    <d v="2017-08-07T00:00:00"/>
    <d v="2017-08-11T00:00:00"/>
    <x v="1"/>
    <s v="JL-15505"/>
    <s v="Jeremy Lonsdale"/>
    <x v="0"/>
    <x v="327"/>
    <x v="2"/>
    <x v="1"/>
    <s v="FUR-FU-10004848"/>
    <s v="Furniture"/>
    <x v="3"/>
    <s v="Howard Miller 13-3/4&quot; Diameter Brushed Chrome Round Wall Clock"/>
    <n v="51.75"/>
    <n v="1"/>
    <n v="15.525"/>
    <x v="4"/>
    <x v="3"/>
    <x v="10"/>
  </r>
  <r>
    <s v="CA-2017-156776"/>
    <d v="2017-08-07T00:00:00"/>
    <d v="2017-08-11T00:00:00"/>
    <x v="1"/>
    <s v="JL-15505"/>
    <s v="Jeremy Lonsdale"/>
    <x v="0"/>
    <x v="327"/>
    <x v="2"/>
    <x v="1"/>
    <s v="FUR-CH-10002317"/>
    <s v="Furniture"/>
    <x v="1"/>
    <s v="Global Enterprise Series Seating Low-Back Swivel/Tilt Chairs"/>
    <n v="207.184"/>
    <n v="1"/>
    <n v="25.898"/>
    <x v="4"/>
    <x v="3"/>
    <x v="10"/>
  </r>
  <r>
    <s v="CA-2014-103310"/>
    <d v="2014-05-10T00:00:00"/>
    <d v="2014-05-15T00:00:00"/>
    <x v="1"/>
    <s v="GM-14680"/>
    <s v="Greg Matthias"/>
    <x v="0"/>
    <x v="124"/>
    <x v="2"/>
    <x v="1"/>
    <s v="FUR-CH-10002320"/>
    <s v="Furniture"/>
    <x v="1"/>
    <s v="Hon Pagoda Stacking Chairs"/>
    <n v="256.78399999999999"/>
    <n v="1"/>
    <n v="32.097999999999999"/>
    <x v="2"/>
    <x v="2"/>
    <x v="7"/>
  </r>
  <r>
    <s v="CA-2016-152688"/>
    <d v="2016-10-17T00:00:00"/>
    <d v="2016-10-20T00:00:00"/>
    <x v="2"/>
    <s v="NR-18550"/>
    <s v="Nick Radford"/>
    <x v="0"/>
    <x v="361"/>
    <x v="18"/>
    <x v="2"/>
    <s v="FUR-BO-10001337"/>
    <s v="Furniture"/>
    <x v="0"/>
    <s v="O'Sullivan Living Dimensions 2-Shelf Bookcases"/>
    <n v="120.98"/>
    <n v="1"/>
    <n v="12.098000000000001"/>
    <x v="0"/>
    <x v="0"/>
    <x v="1"/>
  </r>
  <r>
    <s v="CA-2014-144071"/>
    <d v="2014-12-08T00:00:00"/>
    <d v="2014-12-15T00:00:00"/>
    <x v="1"/>
    <s v="DJ-13420"/>
    <s v="Denny Joy"/>
    <x v="1"/>
    <x v="28"/>
    <x v="2"/>
    <x v="1"/>
    <s v="FUR-FU-10000397"/>
    <s v="Furniture"/>
    <x v="3"/>
    <s v="Luxo Economy Swing Arm Lamp"/>
    <n v="39.880000000000003"/>
    <n v="2"/>
    <n v="11.166399999999999"/>
    <x v="1"/>
    <x v="2"/>
    <x v="5"/>
  </r>
  <r>
    <s v="CA-2014-144071"/>
    <d v="2014-12-08T00:00:00"/>
    <d v="2014-12-15T00:00:00"/>
    <x v="1"/>
    <s v="DJ-13420"/>
    <s v="Denny Joy"/>
    <x v="1"/>
    <x v="28"/>
    <x v="2"/>
    <x v="1"/>
    <s v="FUR-FU-10000758"/>
    <s v="Furniture"/>
    <x v="3"/>
    <s v="DAX Natural Wood-Tone Poster Frame"/>
    <n v="79.44"/>
    <n v="3"/>
    <n v="28.598400000000002"/>
    <x v="1"/>
    <x v="2"/>
    <x v="5"/>
  </r>
  <r>
    <s v="US-2015-164238"/>
    <d v="2015-08-16T00:00:00"/>
    <d v="2015-08-20T00:00:00"/>
    <x v="1"/>
    <s v="JW-15955"/>
    <s v="Joni Wasserman"/>
    <x v="0"/>
    <x v="3"/>
    <x v="3"/>
    <x v="2"/>
    <s v="FUR-BO-10000780"/>
    <s v="Furniture"/>
    <x v="0"/>
    <s v="O'Sullivan Plantations 2-Door Library in Landvery Oak"/>
    <n v="301.47000000000003"/>
    <n v="3"/>
    <n v="-204.99959999999999"/>
    <x v="4"/>
    <x v="1"/>
    <x v="10"/>
  </r>
  <r>
    <s v="CA-2017-103212"/>
    <d v="2017-10-13T00:00:00"/>
    <d v="2017-10-14T00:00:00"/>
    <x v="2"/>
    <s v="MH-18025"/>
    <s v="Michelle Huthwaite"/>
    <x v="0"/>
    <x v="120"/>
    <x v="35"/>
    <x v="0"/>
    <s v="FUR-TA-10003473"/>
    <s v="Furniture"/>
    <x v="2"/>
    <s v="Bretford Rectangular Conference Table Tops"/>
    <n v="1504.52"/>
    <n v="4"/>
    <n v="346.03960000000001"/>
    <x v="5"/>
    <x v="3"/>
    <x v="1"/>
  </r>
  <r>
    <s v="CA-2016-126732"/>
    <d v="2016-09-02T00:00:00"/>
    <d v="2016-09-06T00:00:00"/>
    <x v="1"/>
    <s v="LR-16915"/>
    <s v="Lena Radford"/>
    <x v="0"/>
    <x v="2"/>
    <x v="2"/>
    <x v="1"/>
    <s v="FUR-FU-10001889"/>
    <s v="Furniture"/>
    <x v="3"/>
    <s v="Ultra Door Pull Handle"/>
    <n v="94.68"/>
    <n v="9"/>
    <n v="31.244399999999999"/>
    <x v="4"/>
    <x v="0"/>
    <x v="4"/>
  </r>
  <r>
    <s v="CA-2016-126732"/>
    <d v="2016-09-02T00:00:00"/>
    <d v="2016-09-06T00:00:00"/>
    <x v="1"/>
    <s v="LR-16915"/>
    <s v="Lena Radford"/>
    <x v="0"/>
    <x v="2"/>
    <x v="2"/>
    <x v="1"/>
    <s v="FUR-TA-10001539"/>
    <s v="Furniture"/>
    <x v="2"/>
    <s v="Chromcraft Rectangular Conference Tables"/>
    <n v="568.72799999999995"/>
    <n v="3"/>
    <n v="28.436399999999999"/>
    <x v="4"/>
    <x v="0"/>
    <x v="4"/>
  </r>
  <r>
    <s v="CA-2017-138156"/>
    <d v="2017-02-11T00:00:00"/>
    <d v="2017-02-14T00:00:00"/>
    <x v="2"/>
    <s v="MM-17260"/>
    <s v="Magdelene Morse"/>
    <x v="0"/>
    <x v="29"/>
    <x v="15"/>
    <x v="2"/>
    <s v="FUR-FU-10003601"/>
    <s v="Furniture"/>
    <x v="3"/>
    <s v="Deflect-o RollaMat Studded, Beveled Mat for Medium Pile Carpeting"/>
    <n v="147.56800000000001"/>
    <n v="2"/>
    <n v="-3.6892"/>
    <x v="0"/>
    <x v="3"/>
    <x v="11"/>
  </r>
  <r>
    <s v="CA-2014-113271"/>
    <d v="2014-07-09T00:00:00"/>
    <d v="2014-07-14T00:00:00"/>
    <x v="1"/>
    <s v="DS-13030"/>
    <s v="Darrin Sayre"/>
    <x v="2"/>
    <x v="28"/>
    <x v="2"/>
    <x v="1"/>
    <s v="FUR-BO-10004218"/>
    <s v="Furniture"/>
    <x v="0"/>
    <s v="Bush Heritage Pine Collection 5-Shelf Bookcase, Albany Pine Finish, *Special Order"/>
    <n v="119.833"/>
    <n v="1"/>
    <n v="7.0490000000000004"/>
    <x v="2"/>
    <x v="2"/>
    <x v="3"/>
  </r>
  <r>
    <s v="CA-2014-168368"/>
    <d v="2014-02-11T00:00:00"/>
    <d v="2014-02-15T00:00:00"/>
    <x v="0"/>
    <s v="GA-14725"/>
    <s v="Guy Armstrong"/>
    <x v="0"/>
    <x v="11"/>
    <x v="23"/>
    <x v="3"/>
    <s v="FUR-CH-10001146"/>
    <s v="Furniture"/>
    <x v="1"/>
    <s v="Global Value Mid-Back Manager's Chair, Gray"/>
    <n v="60.89"/>
    <n v="1"/>
    <n v="15.2225"/>
    <x v="4"/>
    <x v="2"/>
    <x v="11"/>
  </r>
  <r>
    <s v="CA-2014-168368"/>
    <d v="2014-02-11T00:00:00"/>
    <d v="2014-02-15T00:00:00"/>
    <x v="0"/>
    <s v="GA-14725"/>
    <s v="Guy Armstrong"/>
    <x v="0"/>
    <x v="11"/>
    <x v="23"/>
    <x v="3"/>
    <s v="FUR-FU-10002298"/>
    <s v="Furniture"/>
    <x v="3"/>
    <s v="Rubbermaid ClusterMat Chairmats, Mat Size- 66&quot; x 60&quot;, Lip 20&quot; x 11&quot; -90 Degree Angle"/>
    <n v="332.94"/>
    <n v="3"/>
    <n v="53.270400000000002"/>
    <x v="4"/>
    <x v="2"/>
    <x v="11"/>
  </r>
  <r>
    <s v="CA-2017-111388"/>
    <d v="2017-09-02T00:00:00"/>
    <d v="2017-09-02T00:00:00"/>
    <x v="3"/>
    <s v="SU-20665"/>
    <s v="Stephanie Ulpright"/>
    <x v="2"/>
    <x v="15"/>
    <x v="13"/>
    <x v="1"/>
    <s v="FUR-CH-10003061"/>
    <s v="Furniture"/>
    <x v="1"/>
    <s v="Global Leather Task Chair, Black"/>
    <n v="215.976"/>
    <n v="3"/>
    <n v="-2.6997"/>
    <x v="7"/>
    <x v="3"/>
    <x v="4"/>
  </r>
  <r>
    <s v="CA-2015-124499"/>
    <d v="2015-10-09T00:00:00"/>
    <d v="2015-10-13T00:00:00"/>
    <x v="1"/>
    <s v="FM-14380"/>
    <s v="Fred McMath"/>
    <x v="0"/>
    <x v="25"/>
    <x v="17"/>
    <x v="3"/>
    <s v="FUR-CH-10000513"/>
    <s v="Furniture"/>
    <x v="1"/>
    <s v="High-Back Leather Manager's Chair"/>
    <n v="389.97"/>
    <n v="3"/>
    <n v="35.097299999999997"/>
    <x v="4"/>
    <x v="1"/>
    <x v="1"/>
  </r>
  <r>
    <s v="CA-2014-125759"/>
    <d v="2014-02-08T00:00:00"/>
    <d v="2014-02-09T00:00:00"/>
    <x v="2"/>
    <s v="NM-18445"/>
    <s v="Nathan Mautz"/>
    <x v="2"/>
    <x v="111"/>
    <x v="34"/>
    <x v="1"/>
    <s v="FUR-FU-10002111"/>
    <s v="Furniture"/>
    <x v="3"/>
    <s v="Master Caster Door Stop, Large Brown"/>
    <n v="14.56"/>
    <n v="2"/>
    <n v="5.5327999999999999"/>
    <x v="5"/>
    <x v="2"/>
    <x v="11"/>
  </r>
  <r>
    <s v="CA-2015-151869"/>
    <d v="2015-09-25T00:00:00"/>
    <d v="2015-09-25T00:00:00"/>
    <x v="3"/>
    <s v="CS-11950"/>
    <s v="Carlos Soltero"/>
    <x v="0"/>
    <x v="234"/>
    <x v="7"/>
    <x v="2"/>
    <s v="FUR-CH-10001545"/>
    <s v="Furniture"/>
    <x v="1"/>
    <s v="Hon Comfortask Task/Swivel Chairs"/>
    <n v="102.58199999999999"/>
    <n v="1"/>
    <n v="6.8388"/>
    <x v="7"/>
    <x v="1"/>
    <x v="4"/>
  </r>
  <r>
    <s v="CA-2016-100510"/>
    <d v="2016-05-12T00:00:00"/>
    <d v="2016-05-17T00:00:00"/>
    <x v="1"/>
    <s v="HM-14860"/>
    <s v="Harry Marie"/>
    <x v="1"/>
    <x v="13"/>
    <x v="7"/>
    <x v="2"/>
    <s v="FUR-FU-10000320"/>
    <s v="Furniture"/>
    <x v="3"/>
    <s v="OIC Stacking Trays"/>
    <n v="10.02"/>
    <n v="3"/>
    <n v="4.4088000000000003"/>
    <x v="2"/>
    <x v="0"/>
    <x v="7"/>
  </r>
  <r>
    <s v="CA-2017-122539"/>
    <d v="2017-12-01T00:00:00"/>
    <d v="2017-12-05T00:00:00"/>
    <x v="1"/>
    <s v="SC-20305"/>
    <s v="Sean Christensen"/>
    <x v="0"/>
    <x v="3"/>
    <x v="3"/>
    <x v="2"/>
    <s v="FUR-CH-10003379"/>
    <s v="Furniture"/>
    <x v="1"/>
    <s v="Global Commerce Series High-Back Swivel/Tilt Chairs"/>
    <n v="398.97199999999998"/>
    <n v="2"/>
    <n v="-28.498000000000001"/>
    <x v="4"/>
    <x v="3"/>
    <x v="5"/>
  </r>
  <r>
    <s v="CA-2016-166772"/>
    <d v="2016-09-20T00:00:00"/>
    <d v="2016-09-24T00:00:00"/>
    <x v="1"/>
    <s v="HJ-14875"/>
    <s v="Heather Jas"/>
    <x v="2"/>
    <x v="15"/>
    <x v="13"/>
    <x v="1"/>
    <s v="FUR-BO-10002853"/>
    <s v="Furniture"/>
    <x v="0"/>
    <s v="O'Sullivan 5-Shelf Heavy-Duty Bookcases"/>
    <n v="163.88"/>
    <n v="2"/>
    <n v="40.97"/>
    <x v="4"/>
    <x v="0"/>
    <x v="4"/>
  </r>
  <r>
    <s v="CA-2014-161032"/>
    <d v="2014-11-18T00:00:00"/>
    <d v="2014-11-23T00:00:00"/>
    <x v="1"/>
    <s v="MK-17905"/>
    <s v="Michael Kennedy"/>
    <x v="1"/>
    <x v="20"/>
    <x v="16"/>
    <x v="3"/>
    <s v="FUR-CH-10001482"/>
    <s v="Furniture"/>
    <x v="1"/>
    <s v="Office Star - Mesh Screen back chair with Vinyl seat"/>
    <n v="392.94"/>
    <n v="3"/>
    <n v="43.223399999999998"/>
    <x v="2"/>
    <x v="2"/>
    <x v="0"/>
  </r>
  <r>
    <s v="CA-2015-102778"/>
    <d v="2015-11-21T00:00:00"/>
    <d v="2015-11-24T00:00:00"/>
    <x v="2"/>
    <s v="JH-15820"/>
    <s v="John Huston"/>
    <x v="0"/>
    <x v="91"/>
    <x v="30"/>
    <x v="0"/>
    <s v="FUR-FU-10000087"/>
    <s v="Furniture"/>
    <x v="3"/>
    <s v="Executive Impressions 14&quot; Two-Color Numerals Wall Clock"/>
    <n v="18.175999999999998"/>
    <n v="1"/>
    <n v="4.7712000000000003"/>
    <x v="0"/>
    <x v="1"/>
    <x v="0"/>
  </r>
  <r>
    <s v="CA-2017-154011"/>
    <d v="2017-06-19T00:00:00"/>
    <d v="2017-06-26T00:00:00"/>
    <x v="1"/>
    <s v="DB-13270"/>
    <s v="Deborah Brumfield"/>
    <x v="2"/>
    <x v="144"/>
    <x v="5"/>
    <x v="3"/>
    <s v="FUR-TA-10000688"/>
    <s v="Furniture"/>
    <x v="2"/>
    <s v="Chromcraft Bull-Nose Wood Round Conference Table Top, Wood Base"/>
    <n v="457.48500000000001"/>
    <n v="3"/>
    <n v="-84.961500000000001"/>
    <x v="1"/>
    <x v="3"/>
    <x v="2"/>
  </r>
  <r>
    <s v="US-2017-165456"/>
    <d v="2017-11-30T00:00:00"/>
    <d v="2017-12-03T00:00:00"/>
    <x v="2"/>
    <s v="TB-21625"/>
    <s v="Trudy Brown"/>
    <x v="0"/>
    <x v="3"/>
    <x v="3"/>
    <x v="2"/>
    <s v="FUR-CH-10003981"/>
    <s v="Furniture"/>
    <x v="1"/>
    <s v="Global Commerce Series Low-Back Swivel/Tilt Chairs"/>
    <n v="1079.316"/>
    <n v="6"/>
    <n v="-15.418799999999999"/>
    <x v="0"/>
    <x v="3"/>
    <x v="0"/>
  </r>
  <r>
    <s v="CA-2017-161340"/>
    <d v="2017-05-28T00:00:00"/>
    <d v="2017-06-01T00:00:00"/>
    <x v="1"/>
    <s v="AM-10360"/>
    <s v="Alice McCarthy"/>
    <x v="1"/>
    <x v="59"/>
    <x v="15"/>
    <x v="2"/>
    <s v="FUR-BO-10004709"/>
    <s v="Furniture"/>
    <x v="0"/>
    <s v="Bush Westfield Collection Bookcases, Medium Cherry Finish"/>
    <n v="115.96"/>
    <n v="4"/>
    <n v="-64.937600000000003"/>
    <x v="4"/>
    <x v="3"/>
    <x v="7"/>
  </r>
  <r>
    <s v="US-2015-163433"/>
    <d v="2015-04-18T00:00:00"/>
    <d v="2015-04-22T00:00:00"/>
    <x v="0"/>
    <s v="MP-17965"/>
    <s v="Michael Paige"/>
    <x v="1"/>
    <x v="362"/>
    <x v="5"/>
    <x v="3"/>
    <s v="FUR-CH-10000225"/>
    <s v="Furniture"/>
    <x v="1"/>
    <s v="Global Geo Office Task Chair, Gray"/>
    <n v="56.686"/>
    <n v="1"/>
    <n v="-20.245000000000001"/>
    <x v="4"/>
    <x v="1"/>
    <x v="6"/>
  </r>
  <r>
    <s v="US-2017-108343"/>
    <d v="2017-07-20T00:00:00"/>
    <d v="2017-07-25T00:00:00"/>
    <x v="1"/>
    <s v="AR-10825"/>
    <s v="Anthony Rawles"/>
    <x v="1"/>
    <x v="13"/>
    <x v="7"/>
    <x v="2"/>
    <s v="FUR-CH-10002780"/>
    <s v="Furniture"/>
    <x v="1"/>
    <s v="Office Star - Task Chair with Contemporary Loop Arms"/>
    <n v="163.76400000000001"/>
    <n v="2"/>
    <n v="25.474399999999999"/>
    <x v="2"/>
    <x v="3"/>
    <x v="3"/>
  </r>
  <r>
    <s v="US-2017-108343"/>
    <d v="2017-07-20T00:00:00"/>
    <d v="2017-07-25T00:00:00"/>
    <x v="1"/>
    <s v="AR-10825"/>
    <s v="Anthony Rawles"/>
    <x v="1"/>
    <x v="13"/>
    <x v="7"/>
    <x v="2"/>
    <s v="FUR-FU-10000747"/>
    <s v="Furniture"/>
    <x v="3"/>
    <s v="Tenex B1-RE Series Chair Mats for Low Pile Carpets"/>
    <n v="183.92"/>
    <n v="4"/>
    <n v="31.266400000000001"/>
    <x v="2"/>
    <x v="3"/>
    <x v="3"/>
  </r>
  <r>
    <s v="US-2016-111563"/>
    <d v="2016-11-04T00:00:00"/>
    <d v="2016-11-08T00:00:00"/>
    <x v="1"/>
    <s v="SM-20005"/>
    <s v="Sally Matthias"/>
    <x v="0"/>
    <x v="6"/>
    <x v="5"/>
    <x v="3"/>
    <s v="FUR-FU-10002445"/>
    <s v="Furniture"/>
    <x v="3"/>
    <s v="DAX Two-Tone Rosewood/Black Document Frame, Desktop, 5 x 7"/>
    <n v="11.375999999999999"/>
    <n v="3"/>
    <n v="-5.6879999999999997"/>
    <x v="4"/>
    <x v="0"/>
    <x v="0"/>
  </r>
  <r>
    <s v="US-2016-111563"/>
    <d v="2016-11-04T00:00:00"/>
    <d v="2016-11-08T00:00:00"/>
    <x v="1"/>
    <s v="SM-20005"/>
    <s v="Sally Matthias"/>
    <x v="0"/>
    <x v="6"/>
    <x v="5"/>
    <x v="3"/>
    <s v="FUR-FU-10000723"/>
    <s v="Furniture"/>
    <x v="3"/>
    <s v="Deflect-o EconoMat Studded, No Bevel Mat for Low Pile Carpeting"/>
    <n v="66.111999999999995"/>
    <n v="4"/>
    <n v="-84.2928"/>
    <x v="4"/>
    <x v="0"/>
    <x v="0"/>
  </r>
  <r>
    <s v="CA-2017-121853"/>
    <d v="2017-09-23T00:00:00"/>
    <d v="2017-09-29T00:00:00"/>
    <x v="1"/>
    <s v="DB-13660"/>
    <s v="Duane Benoit"/>
    <x v="0"/>
    <x v="2"/>
    <x v="2"/>
    <x v="1"/>
    <s v="FUR-CH-10003973"/>
    <s v="Furniture"/>
    <x v="1"/>
    <s v="GuestStacker Chair with Chrome Finish Legs"/>
    <n v="594.81600000000003"/>
    <n v="2"/>
    <n v="59.4816"/>
    <x v="6"/>
    <x v="3"/>
    <x v="4"/>
  </r>
  <r>
    <s v="US-2017-130687"/>
    <d v="2017-09-07T00:00:00"/>
    <d v="2017-09-10T00:00:00"/>
    <x v="2"/>
    <s v="PF-19225"/>
    <s v="Phillip Flathmann"/>
    <x v="0"/>
    <x v="71"/>
    <x v="13"/>
    <x v="1"/>
    <s v="FUR-FU-10004053"/>
    <s v="Furniture"/>
    <x v="3"/>
    <s v="DAX Two-Tone Silver Metal Document Frame"/>
    <n v="80.959999999999994"/>
    <n v="4"/>
    <n v="34.812800000000003"/>
    <x v="0"/>
    <x v="3"/>
    <x v="4"/>
  </r>
  <r>
    <s v="CA-2017-110198"/>
    <d v="2017-05-01T00:00:00"/>
    <d v="2017-05-02T00:00:00"/>
    <x v="2"/>
    <s v="AG-10900"/>
    <s v="Arthur Gainer"/>
    <x v="0"/>
    <x v="97"/>
    <x v="1"/>
    <x v="0"/>
    <s v="FUR-BO-10001798"/>
    <s v="Furniture"/>
    <x v="0"/>
    <s v="Bush Somerset Collection Bookcase"/>
    <n v="314.35199999999998"/>
    <n v="3"/>
    <n v="-15.717599999999999"/>
    <x v="5"/>
    <x v="3"/>
    <x v="7"/>
  </r>
  <r>
    <s v="CA-2017-109085"/>
    <d v="2017-02-17T00:00:00"/>
    <d v="2017-02-20T00:00:00"/>
    <x v="2"/>
    <s v="CK-12325"/>
    <s v="Christine Kargatis"/>
    <x v="2"/>
    <x v="8"/>
    <x v="15"/>
    <x v="2"/>
    <s v="FUR-TA-10001086"/>
    <s v="Furniture"/>
    <x v="2"/>
    <s v="SAFCO PlanMaster Boards, 60w x 37-1/2d, White Melamine"/>
    <n v="455.97"/>
    <n v="5"/>
    <n v="-106.393"/>
    <x v="0"/>
    <x v="3"/>
    <x v="11"/>
  </r>
  <r>
    <s v="CA-2017-109085"/>
    <d v="2017-02-17T00:00:00"/>
    <d v="2017-02-20T00:00:00"/>
    <x v="2"/>
    <s v="CK-12325"/>
    <s v="Christine Kargatis"/>
    <x v="2"/>
    <x v="8"/>
    <x v="15"/>
    <x v="2"/>
    <s v="FUR-FU-10004973"/>
    <s v="Furniture"/>
    <x v="3"/>
    <s v="Flat Face Poster Frame"/>
    <n v="30.143999999999998"/>
    <n v="2"/>
    <n v="8.2896000000000001"/>
    <x v="0"/>
    <x v="3"/>
    <x v="11"/>
  </r>
  <r>
    <s v="CA-2017-109085"/>
    <d v="2017-02-17T00:00:00"/>
    <d v="2017-02-20T00:00:00"/>
    <x v="2"/>
    <s v="CK-12325"/>
    <s v="Christine Kargatis"/>
    <x v="2"/>
    <x v="8"/>
    <x v="15"/>
    <x v="2"/>
    <s v="FUR-CH-10003981"/>
    <s v="Furniture"/>
    <x v="1"/>
    <s v="Global Commerce Series Low-Back Swivel/Tilt Chairs"/>
    <n v="899.43"/>
    <n v="5"/>
    <n v="-12.849"/>
    <x v="0"/>
    <x v="3"/>
    <x v="11"/>
  </r>
  <r>
    <s v="CA-2016-114860"/>
    <d v="2016-12-22T00:00:00"/>
    <d v="2016-12-28T00:00:00"/>
    <x v="1"/>
    <s v="DN-13690"/>
    <s v="Duane Noonan"/>
    <x v="0"/>
    <x v="363"/>
    <x v="2"/>
    <x v="1"/>
    <s v="FUR-FU-10000277"/>
    <s v="Furniture"/>
    <x v="3"/>
    <s v="Deflect-o DuraMat Antistatic Studded Beveled Mat for Medium Pile Carpeting"/>
    <n v="842.72"/>
    <n v="8"/>
    <n v="202.25280000000001"/>
    <x v="6"/>
    <x v="0"/>
    <x v="5"/>
  </r>
  <r>
    <s v="CA-2016-114860"/>
    <d v="2016-12-22T00:00:00"/>
    <d v="2016-12-28T00:00:00"/>
    <x v="1"/>
    <s v="DN-13690"/>
    <s v="Duane Noonan"/>
    <x v="0"/>
    <x v="363"/>
    <x v="2"/>
    <x v="1"/>
    <s v="FUR-FU-10001934"/>
    <s v="Furniture"/>
    <x v="3"/>
    <s v="Magnifier Swing Arm Lamp"/>
    <n v="41.96"/>
    <n v="2"/>
    <n v="10.909599999999999"/>
    <x v="6"/>
    <x v="0"/>
    <x v="5"/>
  </r>
  <r>
    <s v="CA-2016-159009"/>
    <d v="2016-09-23T00:00:00"/>
    <d v="2016-09-27T00:00:00"/>
    <x v="1"/>
    <s v="DP-13105"/>
    <s v="Dave Poirier"/>
    <x v="1"/>
    <x v="15"/>
    <x v="13"/>
    <x v="1"/>
    <s v="FUR-CH-10003396"/>
    <s v="Furniture"/>
    <x v="1"/>
    <s v="Global Deluxe Steno Chair"/>
    <n v="184.75200000000001"/>
    <n v="3"/>
    <n v="-20.784600000000001"/>
    <x v="4"/>
    <x v="0"/>
    <x v="4"/>
  </r>
  <r>
    <s v="CA-2017-148411"/>
    <d v="2017-09-24T00:00:00"/>
    <d v="2017-09-26T00:00:00"/>
    <x v="2"/>
    <s v="RO-19780"/>
    <s v="Rose O'Brian"/>
    <x v="0"/>
    <x v="9"/>
    <x v="8"/>
    <x v="3"/>
    <s v="FUR-CH-10003973"/>
    <s v="Furniture"/>
    <x v="1"/>
    <s v="GuestStacker Chair with Chrome Finish Legs"/>
    <n v="520.46400000000006"/>
    <n v="2"/>
    <n v="-14.8704"/>
    <x v="3"/>
    <x v="3"/>
    <x v="4"/>
  </r>
  <r>
    <s v="CA-2016-168046"/>
    <d v="2016-01-25T00:00:00"/>
    <d v="2016-01-28T00:00:00"/>
    <x v="0"/>
    <s v="JD-15895"/>
    <s v="Jonathan Doherty"/>
    <x v="1"/>
    <x v="13"/>
    <x v="7"/>
    <x v="2"/>
    <s v="FUR-TA-10001095"/>
    <s v="Furniture"/>
    <x v="2"/>
    <s v="Chromcraft Round Conference Tables"/>
    <n v="313.72199999999998"/>
    <n v="3"/>
    <n v="-99.345299999999995"/>
    <x v="0"/>
    <x v="0"/>
    <x v="8"/>
  </r>
  <r>
    <s v="CA-2016-168046"/>
    <d v="2016-01-25T00:00:00"/>
    <d v="2016-01-28T00:00:00"/>
    <x v="0"/>
    <s v="JD-15895"/>
    <s v="Jonathan Doherty"/>
    <x v="1"/>
    <x v="13"/>
    <x v="7"/>
    <x v="2"/>
    <s v="FUR-FU-10000747"/>
    <s v="Furniture"/>
    <x v="3"/>
    <s v="Tenex B1-RE Series Chair Mats for Low Pile Carpets"/>
    <n v="45.98"/>
    <n v="1"/>
    <n v="7.8166000000000002"/>
    <x v="0"/>
    <x v="0"/>
    <x v="8"/>
  </r>
  <r>
    <s v="CA-2017-111591"/>
    <d v="2017-03-21T00:00:00"/>
    <d v="2017-03-25T00:00:00"/>
    <x v="1"/>
    <s v="PS-18970"/>
    <s v="Paul Stevenson"/>
    <x v="2"/>
    <x v="15"/>
    <x v="13"/>
    <x v="1"/>
    <s v="FUR-FU-10002364"/>
    <s v="Furniture"/>
    <x v="3"/>
    <s v="Eldon Expressions Wood Desk Accessories, Oak"/>
    <n v="22.14"/>
    <n v="3"/>
    <n v="6.4206000000000003"/>
    <x v="4"/>
    <x v="3"/>
    <x v="9"/>
  </r>
  <r>
    <s v="CA-2017-113460"/>
    <d v="2017-11-07T00:00:00"/>
    <d v="2017-11-09T00:00:00"/>
    <x v="0"/>
    <s v="KN-16390"/>
    <s v="Katherine Nockton"/>
    <x v="1"/>
    <x v="218"/>
    <x v="32"/>
    <x v="2"/>
    <s v="FUR-CH-10000422"/>
    <s v="Furniture"/>
    <x v="1"/>
    <s v="Global Highback Leather Tilter in Burgundy"/>
    <n v="272.97000000000003"/>
    <n v="3"/>
    <n v="43.675199999999997"/>
    <x v="3"/>
    <x v="3"/>
    <x v="0"/>
  </r>
  <r>
    <s v="CA-2015-111339"/>
    <d v="2015-05-29T00:00:00"/>
    <d v="2015-05-31T00:00:00"/>
    <x v="2"/>
    <s v="VP-21760"/>
    <s v="Victoria Pisteka"/>
    <x v="1"/>
    <x v="29"/>
    <x v="15"/>
    <x v="2"/>
    <s v="FUR-FU-10002506"/>
    <s v="Furniture"/>
    <x v="3"/>
    <s v="Tensor &quot;Hersey Kiss&quot; Styled Floor Lamp"/>
    <n v="41.567999999999998"/>
    <n v="4"/>
    <n v="-4.1567999999999996"/>
    <x v="3"/>
    <x v="1"/>
    <x v="7"/>
  </r>
  <r>
    <s v="CA-2015-111339"/>
    <d v="2015-05-29T00:00:00"/>
    <d v="2015-05-31T00:00:00"/>
    <x v="2"/>
    <s v="VP-21760"/>
    <s v="Victoria Pisteka"/>
    <x v="1"/>
    <x v="29"/>
    <x v="15"/>
    <x v="2"/>
    <s v="FUR-CH-10000863"/>
    <s v="Furniture"/>
    <x v="1"/>
    <s v="Novimex Swivel Fabric Task Chair"/>
    <n v="317.05799999999999"/>
    <n v="3"/>
    <n v="-86.058599999999998"/>
    <x v="3"/>
    <x v="1"/>
    <x v="7"/>
  </r>
  <r>
    <s v="CA-2014-154158"/>
    <d v="2014-12-23T00:00:00"/>
    <d v="2014-12-27T00:00:00"/>
    <x v="0"/>
    <s v="CC-12670"/>
    <s v="Craig Carreira"/>
    <x v="0"/>
    <x v="26"/>
    <x v="1"/>
    <x v="0"/>
    <s v="FUR-CH-10004698"/>
    <s v="Furniture"/>
    <x v="1"/>
    <s v="Padded Folding Chairs, Black, 4/Carton"/>
    <n v="64.784000000000006"/>
    <n v="1"/>
    <n v="6.4783999999999997"/>
    <x v="4"/>
    <x v="2"/>
    <x v="5"/>
  </r>
  <r>
    <s v="CA-2017-163097"/>
    <d v="2017-08-27T00:00:00"/>
    <d v="2017-08-31T00:00:00"/>
    <x v="1"/>
    <s v="SF-20200"/>
    <s v="Sarah Foster"/>
    <x v="0"/>
    <x v="81"/>
    <x v="22"/>
    <x v="1"/>
    <s v="FUR-FU-10004973"/>
    <s v="Furniture"/>
    <x v="3"/>
    <s v="Flat Face Poster Frame"/>
    <n v="120.57599999999999"/>
    <n v="8"/>
    <n v="33.1584"/>
    <x v="4"/>
    <x v="3"/>
    <x v="10"/>
  </r>
  <r>
    <s v="CA-2015-130848"/>
    <d v="2015-10-25T00:00:00"/>
    <d v="2015-10-25T00:00:00"/>
    <x v="3"/>
    <s v="DG-13300"/>
    <s v="Deirdre Greer"/>
    <x v="1"/>
    <x v="22"/>
    <x v="12"/>
    <x v="1"/>
    <s v="FUR-CH-10000422"/>
    <s v="Furniture"/>
    <x v="1"/>
    <s v="Global Highback Leather Tilter in Burgundy"/>
    <n v="582.33600000000001"/>
    <n v="8"/>
    <n v="-29.116800000000001"/>
    <x v="7"/>
    <x v="1"/>
    <x v="1"/>
  </r>
  <r>
    <s v="CA-2014-125997"/>
    <d v="2014-09-20T00:00:00"/>
    <d v="2014-09-23T00:00:00"/>
    <x v="2"/>
    <s v="MW-18220"/>
    <s v="Mitch Webber"/>
    <x v="0"/>
    <x v="13"/>
    <x v="7"/>
    <x v="2"/>
    <s v="FUR-CH-10001394"/>
    <s v="Furniture"/>
    <x v="1"/>
    <s v="Global Leather Executive Chair"/>
    <n v="631.78200000000004"/>
    <n v="2"/>
    <n v="140.39599999999999"/>
    <x v="0"/>
    <x v="2"/>
    <x v="4"/>
  </r>
  <r>
    <s v="CA-2014-125997"/>
    <d v="2014-09-20T00:00:00"/>
    <d v="2014-09-23T00:00:00"/>
    <x v="2"/>
    <s v="MW-18220"/>
    <s v="Mitch Webber"/>
    <x v="0"/>
    <x v="13"/>
    <x v="7"/>
    <x v="2"/>
    <s v="FUR-BO-10002213"/>
    <s v="Furniture"/>
    <x v="0"/>
    <s v="DMI Eclipse Executive Suite Bookcases"/>
    <n v="801.56799999999998"/>
    <n v="2"/>
    <n v="-10.019600000000001"/>
    <x v="0"/>
    <x v="2"/>
    <x v="4"/>
  </r>
  <r>
    <s v="CA-2014-159814"/>
    <d v="2014-06-24T00:00:00"/>
    <d v="2014-06-28T00:00:00"/>
    <x v="1"/>
    <s v="LP-17080"/>
    <s v="Liz Pelletier"/>
    <x v="0"/>
    <x v="104"/>
    <x v="22"/>
    <x v="1"/>
    <s v="FUR-FU-10001731"/>
    <s v="Furniture"/>
    <x v="3"/>
    <s v="Acrylic Self-Standing Desk Frames"/>
    <n v="4.2720000000000002"/>
    <n v="2"/>
    <n v="0.96120000000000005"/>
    <x v="4"/>
    <x v="2"/>
    <x v="2"/>
  </r>
  <r>
    <s v="CA-2016-105459"/>
    <d v="2016-08-12T00:00:00"/>
    <d v="2016-08-17T00:00:00"/>
    <x v="0"/>
    <s v="NP-18700"/>
    <s v="Nora Preis"/>
    <x v="0"/>
    <x v="13"/>
    <x v="7"/>
    <x v="2"/>
    <s v="FUR-TA-10001095"/>
    <s v="Furniture"/>
    <x v="2"/>
    <s v="Chromcraft Round Conference Tables"/>
    <n v="209.148"/>
    <n v="2"/>
    <n v="-66.230199999999996"/>
    <x v="2"/>
    <x v="0"/>
    <x v="10"/>
  </r>
  <r>
    <s v="CA-2017-162789"/>
    <d v="2017-09-22T00:00:00"/>
    <d v="2017-09-24T00:00:00"/>
    <x v="0"/>
    <s v="LC-17140"/>
    <s v="Logan Currie"/>
    <x v="0"/>
    <x v="13"/>
    <x v="7"/>
    <x v="2"/>
    <s v="FUR-FU-10004864"/>
    <s v="Furniture"/>
    <x v="3"/>
    <s v="Eldon 500 Class Desk Accessories"/>
    <n v="12.07"/>
    <n v="1"/>
    <n v="3.9830999999999999"/>
    <x v="3"/>
    <x v="3"/>
    <x v="4"/>
  </r>
  <r>
    <s v="US-2017-110149"/>
    <d v="2017-12-10T00:00:00"/>
    <d v="2017-12-13T00:00:00"/>
    <x v="2"/>
    <s v="WB-21850"/>
    <s v="William Brown"/>
    <x v="0"/>
    <x v="3"/>
    <x v="3"/>
    <x v="2"/>
    <s v="FUR-FU-10001475"/>
    <s v="Furniture"/>
    <x v="3"/>
    <s v="Contract Clock, 14&quot;, Brown"/>
    <n v="87.92"/>
    <n v="5"/>
    <n v="15.385999999999999"/>
    <x v="0"/>
    <x v="3"/>
    <x v="5"/>
  </r>
  <r>
    <s v="CA-2015-164777"/>
    <d v="2015-01-27T00:00:00"/>
    <d v="2015-01-29T00:00:00"/>
    <x v="2"/>
    <s v="SC-20305"/>
    <s v="Sean Christensen"/>
    <x v="0"/>
    <x v="2"/>
    <x v="2"/>
    <x v="1"/>
    <s v="FUR-CH-10002024"/>
    <s v="Furniture"/>
    <x v="1"/>
    <s v="HON 5400 Series Task Chairs for Big and Tall"/>
    <n v="2803.92"/>
    <n v="5"/>
    <n v="0"/>
    <x v="3"/>
    <x v="1"/>
    <x v="8"/>
  </r>
  <r>
    <s v="CA-2015-127824"/>
    <d v="2015-10-18T00:00:00"/>
    <d v="2015-10-22T00:00:00"/>
    <x v="1"/>
    <s v="JC-15775"/>
    <s v="John Castell"/>
    <x v="0"/>
    <x v="15"/>
    <x v="13"/>
    <x v="1"/>
    <s v="FUR-FU-10002505"/>
    <s v="Furniture"/>
    <x v="3"/>
    <s v="Eldon 100 Class Desk Accessories"/>
    <n v="10.11"/>
    <n v="3"/>
    <n v="3.2351999999999999"/>
    <x v="4"/>
    <x v="1"/>
    <x v="1"/>
  </r>
  <r>
    <s v="CA-2014-116246"/>
    <d v="2014-09-12T00:00:00"/>
    <d v="2014-09-17T00:00:00"/>
    <x v="0"/>
    <s v="LW-17215"/>
    <s v="Luke Weiss"/>
    <x v="0"/>
    <x v="13"/>
    <x v="7"/>
    <x v="2"/>
    <s v="FUR-CH-10002024"/>
    <s v="Furniture"/>
    <x v="1"/>
    <s v="HON 5400 Series Task Chairs for Big and Tall"/>
    <n v="3785.2919999999999"/>
    <n v="6"/>
    <n v="420.58800000000002"/>
    <x v="2"/>
    <x v="2"/>
    <x v="4"/>
  </r>
  <r>
    <s v="CA-2014-167486"/>
    <d v="2014-11-27T00:00:00"/>
    <d v="2014-12-01T00:00:00"/>
    <x v="1"/>
    <s v="JO-15145"/>
    <s v="Jack O'Briant"/>
    <x v="1"/>
    <x v="252"/>
    <x v="7"/>
    <x v="2"/>
    <s v="FUR-FU-10003268"/>
    <s v="Furniture"/>
    <x v="3"/>
    <s v="Eldon Radial Chair Mat for Low to Medium Pile Carpets"/>
    <n v="199.9"/>
    <n v="5"/>
    <n v="39.979999999999997"/>
    <x v="4"/>
    <x v="2"/>
    <x v="0"/>
  </r>
  <r>
    <s v="CA-2014-152100"/>
    <d v="2014-05-11T00:00:00"/>
    <d v="2014-05-16T00:00:00"/>
    <x v="1"/>
    <s v="VW-21775"/>
    <s v="Victoria Wilson"/>
    <x v="1"/>
    <x v="156"/>
    <x v="5"/>
    <x v="3"/>
    <s v="FUR-CH-10000015"/>
    <s v="Furniture"/>
    <x v="1"/>
    <s v="Hon Multipurpose Stacking Arm Chairs"/>
    <n v="1212.96"/>
    <n v="8"/>
    <n v="-69.311999999999998"/>
    <x v="2"/>
    <x v="2"/>
    <x v="7"/>
  </r>
  <r>
    <s v="CA-2015-166219"/>
    <d v="2015-08-28T00:00:00"/>
    <d v="2015-09-01T00:00:00"/>
    <x v="1"/>
    <s v="BP-11185"/>
    <s v="Ben Peterman"/>
    <x v="1"/>
    <x v="144"/>
    <x v="5"/>
    <x v="3"/>
    <s v="FUR-TA-10004607"/>
    <s v="Furniture"/>
    <x v="2"/>
    <s v="Hon 2111 Invitation Series Straight Table"/>
    <n v="103.48099999999999"/>
    <n v="1"/>
    <n v="-16.261299999999999"/>
    <x v="4"/>
    <x v="1"/>
    <x v="10"/>
  </r>
  <r>
    <s v="CA-2017-136882"/>
    <d v="2017-05-27T00:00:00"/>
    <d v="2017-06-03T00:00:00"/>
    <x v="1"/>
    <s v="DN-13690"/>
    <s v="Duane Noonan"/>
    <x v="0"/>
    <x v="169"/>
    <x v="37"/>
    <x v="3"/>
    <s v="FUR-FU-10003664"/>
    <s v="Furniture"/>
    <x v="3"/>
    <s v="Electrix Architect's Clamp-On Swing Arm Lamp, Black"/>
    <n v="477.3"/>
    <n v="5"/>
    <n v="138.417"/>
    <x v="1"/>
    <x v="3"/>
    <x v="7"/>
  </r>
  <r>
    <s v="US-2017-109610"/>
    <d v="2017-11-25T00:00:00"/>
    <d v="2017-11-30T00:00:00"/>
    <x v="0"/>
    <s v="BS-11590"/>
    <s v="Brendan Sweed"/>
    <x v="1"/>
    <x v="74"/>
    <x v="0"/>
    <x v="0"/>
    <s v="FUR-CH-10001854"/>
    <s v="Furniture"/>
    <x v="1"/>
    <s v="Office Star - Professional Matrix Back Chair with 2-to-1 Synchro Tilt and Mesh Fabric Seat"/>
    <n v="701.96"/>
    <n v="2"/>
    <n v="168.47040000000001"/>
    <x v="2"/>
    <x v="3"/>
    <x v="0"/>
  </r>
  <r>
    <s v="CA-2016-126858"/>
    <d v="2016-11-19T00:00:00"/>
    <d v="2016-11-23T00:00:00"/>
    <x v="1"/>
    <s v="JM-15265"/>
    <s v="Janet Molinari"/>
    <x v="1"/>
    <x v="15"/>
    <x v="13"/>
    <x v="1"/>
    <s v="FUR-FU-10000448"/>
    <s v="Furniture"/>
    <x v="3"/>
    <s v="Tenex Chairmats For Use With Carpeted Floors"/>
    <n v="31.96"/>
    <n v="2"/>
    <n v="1.5980000000000001"/>
    <x v="4"/>
    <x v="0"/>
    <x v="0"/>
  </r>
  <r>
    <s v="CA-2017-102925"/>
    <d v="2017-11-05T00:00:00"/>
    <d v="2017-11-10T00:00:00"/>
    <x v="0"/>
    <s v="CD-12280"/>
    <s v="Christina DeMoss"/>
    <x v="0"/>
    <x v="13"/>
    <x v="7"/>
    <x v="2"/>
    <s v="FUR-TA-10003469"/>
    <s v="Furniture"/>
    <x v="2"/>
    <s v="Balt Split Level Computer Training Table"/>
    <n v="166.5"/>
    <n v="2"/>
    <n v="-66.599999999999994"/>
    <x v="2"/>
    <x v="3"/>
    <x v="0"/>
  </r>
  <r>
    <s v="CA-2017-102925"/>
    <d v="2017-11-05T00:00:00"/>
    <d v="2017-11-10T00:00:00"/>
    <x v="0"/>
    <s v="CD-12280"/>
    <s v="Christina DeMoss"/>
    <x v="0"/>
    <x v="13"/>
    <x v="7"/>
    <x v="2"/>
    <s v="FUR-CH-10004875"/>
    <s v="Furniture"/>
    <x v="1"/>
    <s v="Harbour Creations 67200 Series Stacking Chairs"/>
    <n v="128.124"/>
    <n v="2"/>
    <n v="24.2012"/>
    <x v="2"/>
    <x v="3"/>
    <x v="0"/>
  </r>
  <r>
    <s v="CA-2017-102925"/>
    <d v="2017-11-05T00:00:00"/>
    <d v="2017-11-10T00:00:00"/>
    <x v="0"/>
    <s v="CD-12280"/>
    <s v="Christina DeMoss"/>
    <x v="0"/>
    <x v="13"/>
    <x v="7"/>
    <x v="2"/>
    <s v="FUR-FU-10004245"/>
    <s v="Furniture"/>
    <x v="3"/>
    <s v="Career Cubicle Clock, 8 1/4&quot;, Black"/>
    <n v="101.4"/>
    <n v="5"/>
    <n v="38.531999999999996"/>
    <x v="2"/>
    <x v="3"/>
    <x v="0"/>
  </r>
  <r>
    <s v="CA-2015-100818"/>
    <d v="2015-05-31T00:00:00"/>
    <d v="2015-06-05T00:00:00"/>
    <x v="0"/>
    <s v="JM-15265"/>
    <s v="Janet Molinari"/>
    <x v="1"/>
    <x v="9"/>
    <x v="8"/>
    <x v="3"/>
    <s v="FUR-FU-10002703"/>
    <s v="Furniture"/>
    <x v="3"/>
    <s v="Tenex Traditional Chairmats for Hard Floors, Average Lip, 36&quot; x 48&quot;"/>
    <n v="51.56"/>
    <n v="2"/>
    <n v="-61.872"/>
    <x v="2"/>
    <x v="1"/>
    <x v="7"/>
  </r>
  <r>
    <s v="CA-2016-164770"/>
    <d v="2016-12-02T00:00:00"/>
    <d v="2016-12-04T00:00:00"/>
    <x v="0"/>
    <s v="MY-18295"/>
    <s v="Muhammed Yedwab"/>
    <x v="1"/>
    <x v="6"/>
    <x v="5"/>
    <x v="3"/>
    <s v="FUR-BO-10003893"/>
    <s v="Furniture"/>
    <x v="0"/>
    <s v="Sauder Camden County Collection Library"/>
    <n v="781.86400000000003"/>
    <n v="10"/>
    <n v="-137.976"/>
    <x v="3"/>
    <x v="0"/>
    <x v="5"/>
  </r>
  <r>
    <s v="CA-2017-130505"/>
    <d v="2017-10-12T00:00:00"/>
    <d v="2017-10-12T00:00:00"/>
    <x v="3"/>
    <s v="NF-18385"/>
    <s v="Natalie Fritzler"/>
    <x v="0"/>
    <x v="167"/>
    <x v="47"/>
    <x v="2"/>
    <s v="FUR-TA-10001932"/>
    <s v="Furniture"/>
    <x v="2"/>
    <s v="Chromcraft 48&quot; x 96&quot; Racetrack Double Pedestal Table"/>
    <n v="673.34400000000005"/>
    <n v="3"/>
    <n v="-76.953599999999994"/>
    <x v="7"/>
    <x v="3"/>
    <x v="1"/>
  </r>
  <r>
    <s v="CA-2016-105207"/>
    <d v="2016-01-03T00:00:00"/>
    <d v="2016-01-08T00:00:00"/>
    <x v="1"/>
    <s v="BO-11350"/>
    <s v="Bill Overfelt"/>
    <x v="1"/>
    <x v="364"/>
    <x v="37"/>
    <x v="3"/>
    <s v="FUR-TA-10000617"/>
    <s v="Furniture"/>
    <x v="2"/>
    <s v="Hon Practical Foundations 30 x 60 Training Table, Light Gray/Charcoal"/>
    <n v="1592.85"/>
    <n v="7"/>
    <n v="350.42700000000002"/>
    <x v="2"/>
    <x v="0"/>
    <x v="8"/>
  </r>
  <r>
    <s v="CA-2016-149237"/>
    <d v="2016-05-26T00:00:00"/>
    <d v="2016-05-30T00:00:00"/>
    <x v="1"/>
    <s v="CM-12235"/>
    <s v="Chris McAfee"/>
    <x v="0"/>
    <x v="79"/>
    <x v="16"/>
    <x v="3"/>
    <s v="FUR-FU-10002088"/>
    <s v="Furniture"/>
    <x v="3"/>
    <s v="Nu-Dell Float Frame 11 x 14 1/2"/>
    <n v="26.94"/>
    <n v="3"/>
    <n v="11.3148"/>
    <x v="4"/>
    <x v="0"/>
    <x v="7"/>
  </r>
  <r>
    <s v="US-2015-158589"/>
    <d v="2015-11-20T00:00:00"/>
    <d v="2015-11-24T00:00:00"/>
    <x v="1"/>
    <s v="KW-16570"/>
    <s v="Kelly Williams"/>
    <x v="0"/>
    <x v="28"/>
    <x v="2"/>
    <x v="1"/>
    <s v="FUR-FU-10001546"/>
    <s v="Furniture"/>
    <x v="3"/>
    <s v="Dana Swing-Arm Lamps"/>
    <n v="32.04"/>
    <n v="3"/>
    <n v="8.01"/>
    <x v="4"/>
    <x v="1"/>
    <x v="0"/>
  </r>
  <r>
    <s v="CA-2017-142461"/>
    <d v="2017-05-30T00:00:00"/>
    <d v="2017-06-03T00:00:00"/>
    <x v="0"/>
    <s v="KT-16480"/>
    <s v="Kean Thornton"/>
    <x v="0"/>
    <x v="144"/>
    <x v="5"/>
    <x v="3"/>
    <s v="FUR-BO-10001811"/>
    <s v="Furniture"/>
    <x v="0"/>
    <s v="Atlantic Metals Mobile 5-Shelf Bookcases, Custom Colors"/>
    <n v="204.66640000000001"/>
    <n v="1"/>
    <n v="-6.0195999999999996"/>
    <x v="4"/>
    <x v="3"/>
    <x v="7"/>
  </r>
  <r>
    <s v="CA-2017-156958"/>
    <d v="2017-12-05T00:00:00"/>
    <d v="2017-12-06T00:00:00"/>
    <x v="2"/>
    <s v="PB-18805"/>
    <s v="Patrick Bzostek"/>
    <x v="2"/>
    <x v="15"/>
    <x v="13"/>
    <x v="1"/>
    <s v="FUR-FU-10003268"/>
    <s v="Furniture"/>
    <x v="3"/>
    <s v="Eldon Radial Chair Mat for Low to Medium Pile Carpets"/>
    <n v="199.9"/>
    <n v="5"/>
    <n v="39.979999999999997"/>
    <x v="5"/>
    <x v="3"/>
    <x v="5"/>
  </r>
  <r>
    <s v="CA-2016-116596"/>
    <d v="2016-10-27T00:00:00"/>
    <d v="2016-10-31T00:00:00"/>
    <x v="1"/>
    <s v="BW-11200"/>
    <s v="Ben Wallace"/>
    <x v="0"/>
    <x v="13"/>
    <x v="7"/>
    <x v="2"/>
    <s v="FUR-CH-10000553"/>
    <s v="Furniture"/>
    <x v="1"/>
    <s v="Metal Folding Chairs, Beige, 4/Carton"/>
    <n v="427.64400000000001"/>
    <n v="14"/>
    <n v="80.777199999999993"/>
    <x v="4"/>
    <x v="0"/>
    <x v="1"/>
  </r>
  <r>
    <s v="CA-2017-124191"/>
    <d v="2017-06-12T00:00:00"/>
    <d v="2017-06-14T00:00:00"/>
    <x v="0"/>
    <s v="TS-21610"/>
    <s v="Troy Staebel"/>
    <x v="0"/>
    <x v="9"/>
    <x v="8"/>
    <x v="3"/>
    <s v="FUR-FU-10002364"/>
    <s v="Furniture"/>
    <x v="3"/>
    <s v="Eldon Expressions Wood Desk Accessories, Oak"/>
    <n v="8.8559999999999999"/>
    <n v="3"/>
    <n v="-6.8634000000000004"/>
    <x v="3"/>
    <x v="3"/>
    <x v="2"/>
  </r>
  <r>
    <s v="CA-2016-148747"/>
    <d v="2016-09-25T00:00:00"/>
    <d v="2016-09-27T00:00:00"/>
    <x v="2"/>
    <s v="AS-10045"/>
    <s v="Aaron Smayling"/>
    <x v="1"/>
    <x v="28"/>
    <x v="2"/>
    <x v="1"/>
    <s v="FUR-BO-10002613"/>
    <s v="Furniture"/>
    <x v="0"/>
    <s v="Atlantic Metals Mobile 4-Shelf Bookcases, Custom Colors"/>
    <n v="477.666"/>
    <n v="2"/>
    <n v="84.293999999999997"/>
    <x v="3"/>
    <x v="0"/>
    <x v="4"/>
  </r>
  <r>
    <s v="CA-2015-135727"/>
    <d v="2015-05-11T00:00:00"/>
    <d v="2015-05-16T00:00:00"/>
    <x v="0"/>
    <s v="PS-18970"/>
    <s v="Paul Stevenson"/>
    <x v="2"/>
    <x v="43"/>
    <x v="22"/>
    <x v="1"/>
    <s v="FUR-CH-10004540"/>
    <s v="Furniture"/>
    <x v="1"/>
    <s v="Global Chrome Stack Chair"/>
    <n v="191.96799999999999"/>
    <n v="7"/>
    <n v="16.7972"/>
    <x v="2"/>
    <x v="1"/>
    <x v="7"/>
  </r>
  <r>
    <s v="CA-2015-135251"/>
    <d v="2015-08-06T00:00:00"/>
    <d v="2015-08-10T00:00:00"/>
    <x v="1"/>
    <s v="RP-19270"/>
    <s v="Rachel Payne"/>
    <x v="1"/>
    <x v="6"/>
    <x v="5"/>
    <x v="3"/>
    <s v="FUR-BO-10003965"/>
    <s v="Furniture"/>
    <x v="0"/>
    <s v="O'Sullivan Manor Hill 2-Door Library in Brianna Oak"/>
    <n v="369.19920000000002"/>
    <n v="3"/>
    <n v="-114.01739999999999"/>
    <x v="4"/>
    <x v="1"/>
    <x v="10"/>
  </r>
  <r>
    <s v="CA-2016-125724"/>
    <d v="2016-09-22T00:00:00"/>
    <d v="2016-09-27T00:00:00"/>
    <x v="1"/>
    <s v="SM-20950"/>
    <s v="Suzanne McNair"/>
    <x v="1"/>
    <x v="131"/>
    <x v="12"/>
    <x v="1"/>
    <s v="FUR-FU-10000246"/>
    <s v="Furniture"/>
    <x v="3"/>
    <s v="Aluminum Document Frame"/>
    <n v="68.432000000000002"/>
    <n v="7"/>
    <n v="8.5540000000000003"/>
    <x v="2"/>
    <x v="0"/>
    <x v="4"/>
  </r>
  <r>
    <s v="CA-2015-111612"/>
    <d v="2015-11-28T00:00:00"/>
    <d v="2015-12-02T00:00:00"/>
    <x v="1"/>
    <s v="EB-14110"/>
    <s v="Eugene Barchas"/>
    <x v="0"/>
    <x v="29"/>
    <x v="15"/>
    <x v="2"/>
    <s v="FUR-FU-10003799"/>
    <s v="Furniture"/>
    <x v="3"/>
    <s v="Seth Thomas 13 1/2&quot; Wall Clock"/>
    <n v="71.12"/>
    <n v="5"/>
    <n v="9.7789999999999999"/>
    <x v="4"/>
    <x v="1"/>
    <x v="0"/>
  </r>
  <r>
    <s v="CA-2014-103086"/>
    <d v="2014-10-17T00:00:00"/>
    <d v="2014-10-19T00:00:00"/>
    <x v="0"/>
    <s v="EB-14170"/>
    <s v="Evan Bailliet"/>
    <x v="0"/>
    <x v="6"/>
    <x v="5"/>
    <x v="3"/>
    <s v="FUR-FU-10004586"/>
    <s v="Furniture"/>
    <x v="3"/>
    <s v="G.E. Longer-Life Indoor Recessed Floodlight Bulbs"/>
    <n v="5.3120000000000003"/>
    <n v="2"/>
    <n v="-1.5935999999999999"/>
    <x v="3"/>
    <x v="2"/>
    <x v="1"/>
  </r>
  <r>
    <s v="CA-2016-129280"/>
    <d v="2016-05-03T00:00:00"/>
    <d v="2016-05-05T00:00:00"/>
    <x v="2"/>
    <s v="SM-20905"/>
    <s v="Susan MacKendrick"/>
    <x v="0"/>
    <x v="19"/>
    <x v="15"/>
    <x v="2"/>
    <s v="FUR-FU-10001876"/>
    <s v="Furniture"/>
    <x v="3"/>
    <s v="Computer Room Manger, 14&quot;"/>
    <n v="51.968000000000004"/>
    <n v="2"/>
    <n v="10.393599999999999"/>
    <x v="3"/>
    <x v="0"/>
    <x v="7"/>
  </r>
  <r>
    <s v="CA-2014-130428"/>
    <d v="2014-03-31T00:00:00"/>
    <d v="2014-03-31T00:00:00"/>
    <x v="3"/>
    <s v="TG-21640"/>
    <s v="Trudy Glocke"/>
    <x v="0"/>
    <x v="26"/>
    <x v="1"/>
    <x v="0"/>
    <s v="FUR-CH-10002965"/>
    <s v="Furniture"/>
    <x v="1"/>
    <s v="Global Leather Highback Executive Chair with Pneumatic Height Adjustment, Black"/>
    <n v="1125.4880000000001"/>
    <n v="7"/>
    <n v="98.480199999999996"/>
    <x v="7"/>
    <x v="2"/>
    <x v="9"/>
  </r>
  <r>
    <s v="CA-2015-148495"/>
    <d v="2015-08-13T00:00:00"/>
    <d v="2015-08-13T00:00:00"/>
    <x v="3"/>
    <s v="SF-20065"/>
    <s v="Sandra Flanagan"/>
    <x v="0"/>
    <x v="135"/>
    <x v="2"/>
    <x v="1"/>
    <s v="FUR-FU-10001889"/>
    <s v="Furniture"/>
    <x v="3"/>
    <s v="Ultra Door Pull Handle"/>
    <n v="31.56"/>
    <n v="3"/>
    <n v="10.4148"/>
    <x v="7"/>
    <x v="1"/>
    <x v="10"/>
  </r>
  <r>
    <s v="CA-2015-143147"/>
    <d v="2015-05-26T00:00:00"/>
    <d v="2015-05-28T00:00:00"/>
    <x v="0"/>
    <s v="PS-18760"/>
    <s v="Pamela Stobb"/>
    <x v="0"/>
    <x v="21"/>
    <x v="5"/>
    <x v="3"/>
    <s v="FUR-CH-10000863"/>
    <s v="Furniture"/>
    <x v="1"/>
    <s v="Novimex Swivel Fabric Task Chair"/>
    <n v="105.68600000000001"/>
    <n v="1"/>
    <n v="-28.686199999999999"/>
    <x v="3"/>
    <x v="1"/>
    <x v="7"/>
  </r>
  <r>
    <s v="CA-2015-143147"/>
    <d v="2015-05-26T00:00:00"/>
    <d v="2015-05-28T00:00:00"/>
    <x v="0"/>
    <s v="PS-18760"/>
    <s v="Pamela Stobb"/>
    <x v="0"/>
    <x v="21"/>
    <x v="5"/>
    <x v="3"/>
    <s v="FUR-CH-10004754"/>
    <s v="Furniture"/>
    <x v="1"/>
    <s v="Global Stack Chair with Arms, Black"/>
    <n v="104.93"/>
    <n v="5"/>
    <n v="-4.4969999999999999"/>
    <x v="3"/>
    <x v="1"/>
    <x v="7"/>
  </r>
  <r>
    <s v="CA-2017-152975"/>
    <d v="2017-09-14T00:00:00"/>
    <d v="2017-09-16T00:00:00"/>
    <x v="2"/>
    <s v="RB-19705"/>
    <s v="Roger Barcio"/>
    <x v="2"/>
    <x v="13"/>
    <x v="7"/>
    <x v="2"/>
    <s v="FUR-CH-10003298"/>
    <s v="Furniture"/>
    <x v="1"/>
    <s v="Office Star - Contemporary Task Swivel chair with Loop Arms, Charcoal"/>
    <n v="589.41"/>
    <n v="5"/>
    <n v="-6.5490000000000004"/>
    <x v="3"/>
    <x v="3"/>
    <x v="4"/>
  </r>
  <r>
    <s v="CA-2017-116127"/>
    <d v="2017-06-25T00:00:00"/>
    <d v="2017-06-27T00:00:00"/>
    <x v="0"/>
    <s v="SB-20185"/>
    <s v="Sarah Brown"/>
    <x v="0"/>
    <x v="13"/>
    <x v="7"/>
    <x v="2"/>
    <s v="FUR-BO-10002213"/>
    <s v="Furniture"/>
    <x v="0"/>
    <s v="DMI Eclipse Executive Suite Bookcases"/>
    <n v="400.78399999999999"/>
    <n v="1"/>
    <n v="-5.0098000000000003"/>
    <x v="3"/>
    <x v="3"/>
    <x v="2"/>
  </r>
  <r>
    <s v="US-2016-105452"/>
    <d v="2016-07-28T00:00:00"/>
    <d v="2016-08-01T00:00:00"/>
    <x v="1"/>
    <s v="BF-11005"/>
    <s v="Barry Franz"/>
    <x v="2"/>
    <x v="102"/>
    <x v="5"/>
    <x v="3"/>
    <s v="FUR-FU-10003691"/>
    <s v="Furniture"/>
    <x v="3"/>
    <s v="Eldon Image Series Desk Accessories, Ebony"/>
    <n v="24.7"/>
    <n v="5"/>
    <n v="-9.8800000000000008"/>
    <x v="4"/>
    <x v="0"/>
    <x v="3"/>
  </r>
  <r>
    <s v="US-2016-105452"/>
    <d v="2016-07-28T00:00:00"/>
    <d v="2016-08-01T00:00:00"/>
    <x v="1"/>
    <s v="BF-11005"/>
    <s v="Barry Franz"/>
    <x v="2"/>
    <x v="102"/>
    <x v="5"/>
    <x v="3"/>
    <s v="FUR-FU-10003806"/>
    <s v="Furniture"/>
    <x v="3"/>
    <s v="Tenex Chairmat w/ Average Lip, 45&quot; x 53&quot;"/>
    <n v="302.72000000000003"/>
    <n v="5"/>
    <n v="-378.4"/>
    <x v="4"/>
    <x v="0"/>
    <x v="3"/>
  </r>
  <r>
    <s v="CA-2015-149517"/>
    <d v="2015-09-19T00:00:00"/>
    <d v="2015-09-23T00:00:00"/>
    <x v="1"/>
    <s v="FC-14245"/>
    <s v="Frank Carlisle"/>
    <x v="2"/>
    <x v="155"/>
    <x v="2"/>
    <x v="1"/>
    <s v="FUR-FU-10003464"/>
    <s v="Furniture"/>
    <x v="3"/>
    <s v="Seth Thomas 8 1/2&quot; Cubicle Clock"/>
    <n v="60.84"/>
    <n v="3"/>
    <n v="19.468800000000002"/>
    <x v="4"/>
    <x v="1"/>
    <x v="4"/>
  </r>
  <r>
    <s v="CA-2016-129861"/>
    <d v="2016-06-17T00:00:00"/>
    <d v="2016-06-23T00:00:00"/>
    <x v="1"/>
    <s v="DM-13345"/>
    <s v="Denise Monton"/>
    <x v="1"/>
    <x v="77"/>
    <x v="7"/>
    <x v="2"/>
    <s v="FUR-TA-10003715"/>
    <s v="Furniture"/>
    <x v="2"/>
    <s v="Hon 2111 Invitation Series Corner Table"/>
    <n v="376.86599999999999"/>
    <n v="3"/>
    <n v="-213.5574"/>
    <x v="6"/>
    <x v="0"/>
    <x v="2"/>
  </r>
  <r>
    <s v="CA-2016-130638"/>
    <d v="2016-05-16T00:00:00"/>
    <d v="2016-05-19T00:00:00"/>
    <x v="0"/>
    <s v="SC-20095"/>
    <s v="Sanjit Chand"/>
    <x v="0"/>
    <x v="2"/>
    <x v="2"/>
    <x v="1"/>
    <s v="FUR-FU-10002116"/>
    <s v="Furniture"/>
    <x v="3"/>
    <s v="Tenex Carpeted, Granite-Look or Clear Contemporary Contour Shape Chair Mats"/>
    <n v="282.83999999999997"/>
    <n v="4"/>
    <n v="19.7988"/>
    <x v="0"/>
    <x v="0"/>
    <x v="7"/>
  </r>
  <r>
    <s v="CA-2017-137449"/>
    <d v="2017-06-29T00:00:00"/>
    <d v="2017-06-30T00:00:00"/>
    <x v="2"/>
    <s v="ME-17725"/>
    <s v="Max Engle"/>
    <x v="0"/>
    <x v="144"/>
    <x v="5"/>
    <x v="3"/>
    <s v="FUR-TA-10002855"/>
    <s v="Furniture"/>
    <x v="2"/>
    <s v="Bevis Round Conference Table Top &amp; Single Column Base"/>
    <n v="307.31400000000002"/>
    <n v="3"/>
    <n v="-39.511800000000001"/>
    <x v="5"/>
    <x v="3"/>
    <x v="2"/>
  </r>
  <r>
    <s v="CA-2017-137449"/>
    <d v="2017-06-29T00:00:00"/>
    <d v="2017-06-30T00:00:00"/>
    <x v="2"/>
    <s v="ME-17725"/>
    <s v="Max Engle"/>
    <x v="0"/>
    <x v="144"/>
    <x v="5"/>
    <x v="3"/>
    <s v="FUR-BO-10000780"/>
    <s v="Furniture"/>
    <x v="0"/>
    <s v="O'Sullivan Plantations 2-Door Library in Landvery Oak"/>
    <n v="409.99919999999997"/>
    <n v="3"/>
    <n v="-96.470399999999998"/>
    <x v="5"/>
    <x v="3"/>
    <x v="2"/>
  </r>
  <r>
    <s v="CA-2014-151330"/>
    <d v="2014-10-14T00:00:00"/>
    <d v="2014-10-17T00:00:00"/>
    <x v="2"/>
    <s v="TC-21295"/>
    <s v="Toby Carlisle"/>
    <x v="0"/>
    <x v="114"/>
    <x v="20"/>
    <x v="2"/>
    <s v="FUR-CH-10000749"/>
    <s v="Furniture"/>
    <x v="1"/>
    <s v="Office Star - Ergonomic Mid Back Chair with 2-Way Adjustable Arms"/>
    <n v="1628.82"/>
    <n v="9"/>
    <n v="260.6112"/>
    <x v="0"/>
    <x v="2"/>
    <x v="1"/>
  </r>
  <r>
    <s v="CA-2014-124702"/>
    <d v="2014-11-18T00:00:00"/>
    <d v="2014-11-25T00:00:00"/>
    <x v="1"/>
    <s v="MH-17785"/>
    <s v="Maya Herman"/>
    <x v="1"/>
    <x v="15"/>
    <x v="13"/>
    <x v="1"/>
    <s v="FUR-FU-10003553"/>
    <s v="Furniture"/>
    <x v="3"/>
    <s v="Howard Miller 13-1/2&quot; Diameter Rosebrook Wall Clock"/>
    <n v="137.54"/>
    <n v="2"/>
    <n v="55.015999999999998"/>
    <x v="1"/>
    <x v="2"/>
    <x v="0"/>
  </r>
  <r>
    <s v="CA-2014-124702"/>
    <d v="2014-11-18T00:00:00"/>
    <d v="2014-11-25T00:00:00"/>
    <x v="1"/>
    <s v="MH-17785"/>
    <s v="Maya Herman"/>
    <x v="1"/>
    <x v="15"/>
    <x v="13"/>
    <x v="1"/>
    <s v="FUR-TA-10003008"/>
    <s v="Furniture"/>
    <x v="2"/>
    <s v="Lesro Round Back Collection Coffee Table, End Table"/>
    <n v="730.2"/>
    <n v="4"/>
    <n v="94.926000000000002"/>
    <x v="1"/>
    <x v="2"/>
    <x v="0"/>
  </r>
  <r>
    <s v="CA-2015-116638"/>
    <d v="2015-01-28T00:00:00"/>
    <d v="2015-01-31T00:00:00"/>
    <x v="0"/>
    <s v="JH-15985"/>
    <s v="Joseph Holt"/>
    <x v="0"/>
    <x v="41"/>
    <x v="30"/>
    <x v="0"/>
    <s v="FUR-TA-10000198"/>
    <s v="Furniture"/>
    <x v="2"/>
    <s v="Chromcraft Bull-Nose Wood Oval Conference Tables &amp; Bases"/>
    <n v="4297.6440000000002"/>
    <n v="13"/>
    <n v="-1862.3124"/>
    <x v="0"/>
    <x v="1"/>
    <x v="8"/>
  </r>
  <r>
    <s v="CA-2014-104563"/>
    <d v="2014-03-07T00:00:00"/>
    <d v="2014-03-12T00:00:00"/>
    <x v="1"/>
    <s v="CM-12715"/>
    <s v="Craig Molinari"/>
    <x v="1"/>
    <x v="15"/>
    <x v="13"/>
    <x v="1"/>
    <s v="FUR-CH-10002780"/>
    <s v="Furniture"/>
    <x v="1"/>
    <s v="Office Star - Task Chair with Contemporary Loop Arms"/>
    <n v="436.70400000000001"/>
    <n v="6"/>
    <n v="21.8352"/>
    <x v="2"/>
    <x v="2"/>
    <x v="9"/>
  </r>
  <r>
    <s v="CA-2014-104563"/>
    <d v="2014-03-07T00:00:00"/>
    <d v="2014-03-12T00:00:00"/>
    <x v="1"/>
    <s v="CM-12715"/>
    <s v="Craig Molinari"/>
    <x v="1"/>
    <x v="15"/>
    <x v="13"/>
    <x v="1"/>
    <s v="FUR-CH-10004495"/>
    <s v="Furniture"/>
    <x v="1"/>
    <s v="Global Leather and Oak Executive Chair, Black"/>
    <n v="481.56799999999998"/>
    <n v="2"/>
    <n v="54.176400000000001"/>
    <x v="2"/>
    <x v="2"/>
    <x v="9"/>
  </r>
  <r>
    <s v="CA-2016-107104"/>
    <d v="2016-11-26T00:00:00"/>
    <d v="2016-11-30T00:00:00"/>
    <x v="1"/>
    <s v="MS-17365"/>
    <s v="Maribeth Schnelling"/>
    <x v="0"/>
    <x v="2"/>
    <x v="2"/>
    <x v="1"/>
    <s v="FUR-BO-10002213"/>
    <s v="Furniture"/>
    <x v="0"/>
    <s v="DMI Eclipse Executive Suite Bookcases"/>
    <n v="3406.6640000000002"/>
    <n v="8"/>
    <n v="160.31360000000001"/>
    <x v="4"/>
    <x v="0"/>
    <x v="0"/>
  </r>
  <r>
    <s v="CA-2016-107104"/>
    <d v="2016-11-26T00:00:00"/>
    <d v="2016-11-30T00:00:00"/>
    <x v="1"/>
    <s v="MS-17365"/>
    <s v="Maribeth Schnelling"/>
    <x v="0"/>
    <x v="2"/>
    <x v="2"/>
    <x v="1"/>
    <s v="FUR-FU-10002937"/>
    <s v="Furniture"/>
    <x v="3"/>
    <s v="GE 48&quot; Fluorescent Tube, Cool White Energy Saver, 34 Watts, 30/Box"/>
    <n v="595.38"/>
    <n v="6"/>
    <n v="297.69"/>
    <x v="4"/>
    <x v="0"/>
    <x v="0"/>
  </r>
  <r>
    <s v="CA-2014-156160"/>
    <d v="2014-09-22T00:00:00"/>
    <d v="2014-09-29T00:00:00"/>
    <x v="1"/>
    <s v="AS-10090"/>
    <s v="Adam Shillingsburg"/>
    <x v="0"/>
    <x v="13"/>
    <x v="7"/>
    <x v="2"/>
    <s v="FUR-FU-10001876"/>
    <s v="Furniture"/>
    <x v="3"/>
    <s v="Computer Room Manger, 14&quot;"/>
    <n v="97.44"/>
    <n v="3"/>
    <n v="35.078400000000002"/>
    <x v="1"/>
    <x v="2"/>
    <x v="4"/>
  </r>
  <r>
    <s v="CA-2014-156160"/>
    <d v="2014-09-22T00:00:00"/>
    <d v="2014-09-29T00:00:00"/>
    <x v="1"/>
    <s v="AS-10090"/>
    <s v="Adam Shillingsburg"/>
    <x v="0"/>
    <x v="13"/>
    <x v="7"/>
    <x v="2"/>
    <s v="FUR-CH-10004983"/>
    <s v="Furniture"/>
    <x v="1"/>
    <s v="Office Star - Mid Back Dual function Ergonomic High Back Chair with 2-Way Adjustable Arms"/>
    <n v="579.52800000000002"/>
    <n v="4"/>
    <n v="83.709599999999995"/>
    <x v="1"/>
    <x v="2"/>
    <x v="4"/>
  </r>
  <r>
    <s v="CA-2017-157448"/>
    <d v="2017-11-16T00:00:00"/>
    <d v="2017-11-20T00:00:00"/>
    <x v="1"/>
    <s v="LC-16885"/>
    <s v="Lena Creighton"/>
    <x v="0"/>
    <x v="2"/>
    <x v="2"/>
    <x v="1"/>
    <s v="FUR-FU-10003268"/>
    <s v="Furniture"/>
    <x v="3"/>
    <s v="Eldon Radial Chair Mat for Low to Medium Pile Carpets"/>
    <n v="119.94"/>
    <n v="3"/>
    <n v="23.988"/>
    <x v="4"/>
    <x v="3"/>
    <x v="0"/>
  </r>
  <r>
    <s v="CA-2017-157448"/>
    <d v="2017-11-16T00:00:00"/>
    <d v="2017-11-20T00:00:00"/>
    <x v="1"/>
    <s v="LC-16885"/>
    <s v="Lena Creighton"/>
    <x v="0"/>
    <x v="2"/>
    <x v="2"/>
    <x v="1"/>
    <s v="FUR-FU-10001847"/>
    <s v="Furniture"/>
    <x v="3"/>
    <s v="Eldon Image Series Black Desk Accessories"/>
    <n v="12.42"/>
    <n v="3"/>
    <n v="4.4711999999999996"/>
    <x v="4"/>
    <x v="3"/>
    <x v="0"/>
  </r>
  <r>
    <s v="CA-2016-137393"/>
    <d v="2016-05-06T00:00:00"/>
    <d v="2016-05-10T00:00:00"/>
    <x v="1"/>
    <s v="GM-14500"/>
    <s v="Gene McClure"/>
    <x v="0"/>
    <x v="175"/>
    <x v="2"/>
    <x v="1"/>
    <s v="FUR-FU-10001617"/>
    <s v="Furniture"/>
    <x v="3"/>
    <s v="Executive Impressions 8-1/2&quot; Career Panel/Partition Cubicle Clock"/>
    <n v="41.6"/>
    <n v="4"/>
    <n v="14.144"/>
    <x v="4"/>
    <x v="0"/>
    <x v="7"/>
  </r>
  <r>
    <s v="CA-2017-122770"/>
    <d v="2017-12-13T00:00:00"/>
    <d v="2017-12-18T00:00:00"/>
    <x v="1"/>
    <s v="EP-13915"/>
    <s v="Emily Phan"/>
    <x v="0"/>
    <x v="28"/>
    <x v="2"/>
    <x v="1"/>
    <s v="FUR-FU-10001473"/>
    <s v="Furniture"/>
    <x v="3"/>
    <s v="Eldon Executive Woodline II Desk Accessories, Mahogany"/>
    <n v="201.04"/>
    <n v="8"/>
    <n v="54.280799999999999"/>
    <x v="2"/>
    <x v="3"/>
    <x v="5"/>
  </r>
  <r>
    <s v="CA-2015-130183"/>
    <d v="2015-11-13T00:00:00"/>
    <d v="2015-11-17T00:00:00"/>
    <x v="1"/>
    <s v="PO-18850"/>
    <s v="Patrick O'Brill"/>
    <x v="0"/>
    <x v="6"/>
    <x v="5"/>
    <x v="3"/>
    <s v="FUR-BO-10001811"/>
    <s v="Furniture"/>
    <x v="0"/>
    <s v="Atlantic Metals Mobile 5-Shelf Bookcases, Custom Colors"/>
    <n v="613.99919999999997"/>
    <n v="3"/>
    <n v="-18.058800000000002"/>
    <x v="4"/>
    <x v="1"/>
    <x v="0"/>
  </r>
  <r>
    <s v="CA-2016-122511"/>
    <d v="2016-03-11T00:00:00"/>
    <d v="2016-03-11T00:00:00"/>
    <x v="3"/>
    <s v="BT-11485"/>
    <s v="Brad Thomas"/>
    <x v="2"/>
    <x v="3"/>
    <x v="3"/>
    <x v="2"/>
    <s v="FUR-FU-10001037"/>
    <s v="Furniture"/>
    <x v="3"/>
    <s v="DAX Charcoal/Nickel-Tone Document Frame, 5 x 7"/>
    <n v="30.335999999999999"/>
    <n v="4"/>
    <n v="9.48"/>
    <x v="7"/>
    <x v="0"/>
    <x v="9"/>
  </r>
  <r>
    <s v="CA-2016-161746"/>
    <d v="2016-10-21T00:00:00"/>
    <d v="2016-10-27T00:00:00"/>
    <x v="1"/>
    <s v="CS-11950"/>
    <s v="Carlos Soltero"/>
    <x v="0"/>
    <x v="2"/>
    <x v="2"/>
    <x v="1"/>
    <s v="FUR-CH-10004626"/>
    <s v="Furniture"/>
    <x v="1"/>
    <s v="Office Star Flex Back Scooter Chair with Aluminum Finish Frame"/>
    <n v="242.136"/>
    <n v="3"/>
    <n v="12.1068"/>
    <x v="6"/>
    <x v="0"/>
    <x v="1"/>
  </r>
  <r>
    <s v="CA-2016-161746"/>
    <d v="2016-10-21T00:00:00"/>
    <d v="2016-10-27T00:00:00"/>
    <x v="1"/>
    <s v="CS-11950"/>
    <s v="Carlos Soltero"/>
    <x v="0"/>
    <x v="2"/>
    <x v="2"/>
    <x v="1"/>
    <s v="FUR-FU-10003731"/>
    <s v="Furniture"/>
    <x v="3"/>
    <s v="Eldon Expressions Wood and Plastic Desk Accessories, Oak"/>
    <n v="19.96"/>
    <n v="2"/>
    <n v="5.5888"/>
    <x v="6"/>
    <x v="0"/>
    <x v="1"/>
  </r>
  <r>
    <s v="CA-2014-114251"/>
    <d v="2014-11-05T00:00:00"/>
    <d v="2014-11-10T00:00:00"/>
    <x v="1"/>
    <s v="MD-17350"/>
    <s v="Maribeth Dona"/>
    <x v="0"/>
    <x v="3"/>
    <x v="3"/>
    <x v="2"/>
    <s v="FUR-FU-10001468"/>
    <s v="Furniture"/>
    <x v="3"/>
    <s v="Tenex Antistatic Computer Chair Mats"/>
    <n v="273.56799999999998"/>
    <n v="2"/>
    <n v="-34.195999999999998"/>
    <x v="2"/>
    <x v="2"/>
    <x v="0"/>
  </r>
  <r>
    <s v="CA-2016-119641"/>
    <d v="2016-09-22T00:00:00"/>
    <d v="2016-09-26T00:00:00"/>
    <x v="1"/>
    <s v="CS-12250"/>
    <s v="Chris Selesnick"/>
    <x v="1"/>
    <x v="356"/>
    <x v="16"/>
    <x v="3"/>
    <s v="FUR-FU-10002445"/>
    <s v="Furniture"/>
    <x v="3"/>
    <s v="DAX Two-Tone Rosewood/Black Document Frame, Desktop, 5 x 7"/>
    <n v="18.96"/>
    <n v="2"/>
    <n v="7.5839999999999996"/>
    <x v="4"/>
    <x v="0"/>
    <x v="4"/>
  </r>
  <r>
    <s v="CA-2016-105781"/>
    <d v="2016-02-16T00:00:00"/>
    <d v="2016-02-20T00:00:00"/>
    <x v="1"/>
    <s v="JF-15565"/>
    <s v="Jill Fjeld"/>
    <x v="0"/>
    <x v="13"/>
    <x v="7"/>
    <x v="2"/>
    <s v="FUR-CH-10001802"/>
    <s v="Furniture"/>
    <x v="1"/>
    <s v="Hon Every-Day Chair Series Swivel Task Chairs"/>
    <n v="326.64600000000002"/>
    <n v="3"/>
    <n v="39.923400000000001"/>
    <x v="4"/>
    <x v="0"/>
    <x v="11"/>
  </r>
  <r>
    <s v="CA-2014-114321"/>
    <d v="2014-08-20T00:00:00"/>
    <d v="2014-08-25T00:00:00"/>
    <x v="1"/>
    <s v="NC-18535"/>
    <s v="Nick Crebassa"/>
    <x v="1"/>
    <x v="247"/>
    <x v="25"/>
    <x v="0"/>
    <s v="FUR-CH-10001797"/>
    <s v="Furniture"/>
    <x v="1"/>
    <s v="Safco Chair Connectors, 6/Carton"/>
    <n v="500.24"/>
    <n v="13"/>
    <n v="145.06960000000001"/>
    <x v="2"/>
    <x v="2"/>
    <x v="10"/>
  </r>
  <r>
    <s v="CA-2015-117086"/>
    <d v="2015-11-08T00:00:00"/>
    <d v="2015-11-12T00:00:00"/>
    <x v="1"/>
    <s v="QJ-19255"/>
    <s v="Quincy Jones"/>
    <x v="1"/>
    <x v="259"/>
    <x v="43"/>
    <x v="2"/>
    <s v="FUR-BO-10004834"/>
    <s v="Furniture"/>
    <x v="0"/>
    <s v="Riverside Palais Royal Lawyers Bookcase, Royale Cherry Finish"/>
    <n v="4404.8999999999996"/>
    <n v="5"/>
    <n v="1013.127"/>
    <x v="4"/>
    <x v="1"/>
    <x v="0"/>
  </r>
  <r>
    <s v="CA-2017-137505"/>
    <d v="2017-11-24T00:00:00"/>
    <d v="2017-11-24T00:00:00"/>
    <x v="3"/>
    <s v="BP-11290"/>
    <s v="Beth Paige"/>
    <x v="0"/>
    <x v="2"/>
    <x v="2"/>
    <x v="1"/>
    <s v="FUR-TA-10000617"/>
    <s v="Furniture"/>
    <x v="2"/>
    <s v="Hon Practical Foundations 30 x 60 Training Table, Light Gray/Charcoal"/>
    <n v="364.08"/>
    <n v="2"/>
    <n v="9.1020000000000003"/>
    <x v="7"/>
    <x v="3"/>
    <x v="0"/>
  </r>
  <r>
    <s v="CA-2017-137505"/>
    <d v="2017-11-24T00:00:00"/>
    <d v="2017-11-24T00:00:00"/>
    <x v="3"/>
    <s v="BP-11290"/>
    <s v="Beth Paige"/>
    <x v="0"/>
    <x v="2"/>
    <x v="2"/>
    <x v="1"/>
    <s v="FUR-TA-10001676"/>
    <s v="Furniture"/>
    <x v="2"/>
    <s v="Hon 61000 Series Interactive Training Tables"/>
    <n v="71.087999999999994"/>
    <n v="2"/>
    <n v="-1.7771999999999999"/>
    <x v="7"/>
    <x v="3"/>
    <x v="0"/>
  </r>
  <r>
    <s v="US-2014-140914"/>
    <d v="2014-11-11T00:00:00"/>
    <d v="2014-11-15T00:00:00"/>
    <x v="1"/>
    <s v="BH-11710"/>
    <s v="Brosina Hoffman"/>
    <x v="0"/>
    <x v="9"/>
    <x v="8"/>
    <x v="3"/>
    <s v="FUR-FU-10000175"/>
    <s v="Furniture"/>
    <x v="3"/>
    <s v="DAX Wood Document Frame."/>
    <n v="10.984"/>
    <n v="2"/>
    <n v="-7.9634"/>
    <x v="4"/>
    <x v="2"/>
    <x v="0"/>
  </r>
  <r>
    <s v="US-2014-140914"/>
    <d v="2014-11-11T00:00:00"/>
    <d v="2014-11-15T00:00:00"/>
    <x v="1"/>
    <s v="BH-11710"/>
    <s v="Brosina Hoffman"/>
    <x v="0"/>
    <x v="9"/>
    <x v="8"/>
    <x v="3"/>
    <s v="FUR-CH-10003379"/>
    <s v="Furniture"/>
    <x v="1"/>
    <s v="Global Commerce Series High-Back Swivel/Tilt Chairs"/>
    <n v="797.94399999999996"/>
    <n v="4"/>
    <n v="-56.996000000000002"/>
    <x v="4"/>
    <x v="2"/>
    <x v="0"/>
  </r>
  <r>
    <s v="CA-2017-113705"/>
    <d v="2017-03-27T00:00:00"/>
    <d v="2017-03-29T00:00:00"/>
    <x v="0"/>
    <s v="LC-16870"/>
    <s v="Lena Cacioppo"/>
    <x v="0"/>
    <x v="52"/>
    <x v="25"/>
    <x v="0"/>
    <s v="FUR-TA-10002533"/>
    <s v="Furniture"/>
    <x v="2"/>
    <s v="BPI Conference Tables"/>
    <n v="292.10000000000002"/>
    <n v="2"/>
    <n v="58.42"/>
    <x v="3"/>
    <x v="3"/>
    <x v="9"/>
  </r>
  <r>
    <s v="CA-2016-146913"/>
    <d v="2016-10-31T00:00:00"/>
    <d v="2016-11-05T00:00:00"/>
    <x v="1"/>
    <s v="SF-20965"/>
    <s v="Sylvia Foulston"/>
    <x v="1"/>
    <x v="28"/>
    <x v="2"/>
    <x v="1"/>
    <s v="FUR-CH-10001854"/>
    <s v="Furniture"/>
    <x v="1"/>
    <s v="Office Star - Professional Matrix Back Chair with 2-to-1 Synchro Tilt and Mesh Fabric Seat"/>
    <n v="1403.92"/>
    <n v="5"/>
    <n v="70.195999999999998"/>
    <x v="2"/>
    <x v="0"/>
    <x v="1"/>
  </r>
  <r>
    <s v="CA-2016-123533"/>
    <d v="2016-11-24T00:00:00"/>
    <d v="2016-11-30T00:00:00"/>
    <x v="1"/>
    <s v="SC-20050"/>
    <s v="Sample Company A"/>
    <x v="2"/>
    <x v="173"/>
    <x v="1"/>
    <x v="0"/>
    <s v="FUR-BO-10001619"/>
    <s v="Furniture"/>
    <x v="0"/>
    <s v="O'Sullivan Cherrywood Estates Traditional Bookcase"/>
    <n v="339.92"/>
    <n v="5"/>
    <n v="8.4979999999999993"/>
    <x v="6"/>
    <x v="0"/>
    <x v="0"/>
  </r>
  <r>
    <s v="CA-2014-169019"/>
    <d v="2014-07-26T00:00:00"/>
    <d v="2014-07-30T00:00:00"/>
    <x v="1"/>
    <s v="LF-17185"/>
    <s v="Luke Foster"/>
    <x v="0"/>
    <x v="21"/>
    <x v="5"/>
    <x v="3"/>
    <s v="FUR-FU-10004666"/>
    <s v="Furniture"/>
    <x v="3"/>
    <s v="DAX Clear Channel Poster Frame"/>
    <n v="17.495999999999999"/>
    <n v="3"/>
    <n v="-10.0602"/>
    <x v="4"/>
    <x v="2"/>
    <x v="3"/>
  </r>
  <r>
    <s v="CA-2015-149748"/>
    <d v="2015-05-31T00:00:00"/>
    <d v="2015-06-02T00:00:00"/>
    <x v="0"/>
    <s v="EM-13825"/>
    <s v="Elizabeth Moffitt"/>
    <x v="1"/>
    <x v="309"/>
    <x v="18"/>
    <x v="2"/>
    <s v="FUR-FU-10001847"/>
    <s v="Furniture"/>
    <x v="3"/>
    <s v="Eldon Image Series Black Desk Accessories"/>
    <n v="8.2799999999999994"/>
    <n v="2"/>
    <n v="2.9807999999999999"/>
    <x v="3"/>
    <x v="1"/>
    <x v="7"/>
  </r>
  <r>
    <s v="US-2014-114377"/>
    <d v="2014-11-05T00:00:00"/>
    <d v="2014-11-05T00:00:00"/>
    <x v="3"/>
    <s v="BG-11035"/>
    <s v="Barry Gonzalez"/>
    <x v="0"/>
    <x v="247"/>
    <x v="25"/>
    <x v="0"/>
    <s v="FUR-CH-10004754"/>
    <s v="Furniture"/>
    <x v="1"/>
    <s v="Global Stack Chair with Arms, Black"/>
    <n v="149.9"/>
    <n v="5"/>
    <n v="40.472999999999999"/>
    <x v="7"/>
    <x v="2"/>
    <x v="0"/>
  </r>
  <r>
    <s v="CA-2017-144491"/>
    <d v="2017-03-27T00:00:00"/>
    <d v="2017-04-01T00:00:00"/>
    <x v="1"/>
    <s v="CJ-12010"/>
    <s v="Caroline Jumper"/>
    <x v="0"/>
    <x v="6"/>
    <x v="5"/>
    <x v="3"/>
    <s v="FUR-BO-10001811"/>
    <s v="Furniture"/>
    <x v="0"/>
    <s v="Atlantic Metals Mobile 5-Shelf Bookcases, Custom Colors"/>
    <n v="1023.332"/>
    <n v="5"/>
    <n v="-30.097999999999999"/>
    <x v="2"/>
    <x v="3"/>
    <x v="9"/>
  </r>
  <r>
    <s v="CA-2017-144491"/>
    <d v="2017-03-27T00:00:00"/>
    <d v="2017-04-01T00:00:00"/>
    <x v="1"/>
    <s v="CJ-12010"/>
    <s v="Caroline Jumper"/>
    <x v="0"/>
    <x v="6"/>
    <x v="5"/>
    <x v="3"/>
    <s v="FUR-CH-10004063"/>
    <s v="Furniture"/>
    <x v="1"/>
    <s v="Global Deluxe High-Back Manager's Chair"/>
    <n v="600.55799999999999"/>
    <n v="3"/>
    <n v="-8.5793999999999997"/>
    <x v="2"/>
    <x v="3"/>
    <x v="9"/>
  </r>
  <r>
    <s v="CA-2017-144491"/>
    <d v="2017-03-27T00:00:00"/>
    <d v="2017-04-01T00:00:00"/>
    <x v="1"/>
    <s v="CJ-12010"/>
    <s v="Caroline Jumper"/>
    <x v="0"/>
    <x v="6"/>
    <x v="5"/>
    <x v="3"/>
    <s v="FUR-CH-10001714"/>
    <s v="Furniture"/>
    <x v="1"/>
    <s v="Global Leather &amp; Oak Executive Chair, Burgundy"/>
    <n v="211.24600000000001"/>
    <n v="2"/>
    <n v="-66.391599999999997"/>
    <x v="2"/>
    <x v="3"/>
    <x v="9"/>
  </r>
  <r>
    <s v="CA-2014-127166"/>
    <d v="2014-05-21T00:00:00"/>
    <d v="2014-05-23T00:00:00"/>
    <x v="0"/>
    <s v="KH-16360"/>
    <s v="Katherine Hughes"/>
    <x v="0"/>
    <x v="6"/>
    <x v="5"/>
    <x v="3"/>
    <s v="FUR-CH-10003396"/>
    <s v="Furniture"/>
    <x v="1"/>
    <s v="Global Deluxe Steno Chair"/>
    <n v="107.77200000000001"/>
    <n v="2"/>
    <n v="-29.252400000000002"/>
    <x v="3"/>
    <x v="2"/>
    <x v="7"/>
  </r>
  <r>
    <s v="CA-2015-122973"/>
    <d v="2015-07-18T00:00:00"/>
    <d v="2015-07-20T00:00:00"/>
    <x v="0"/>
    <s v="PJ-19015"/>
    <s v="Pauline Johnson"/>
    <x v="0"/>
    <x v="13"/>
    <x v="7"/>
    <x v="2"/>
    <s v="FUR-FU-10002364"/>
    <s v="Furniture"/>
    <x v="3"/>
    <s v="Eldon Expressions Wood Desk Accessories, Oak"/>
    <n v="7.38"/>
    <n v="1"/>
    <n v="2.1402000000000001"/>
    <x v="3"/>
    <x v="1"/>
    <x v="3"/>
  </r>
  <r>
    <s v="CA-2016-136322"/>
    <d v="2016-10-21T00:00:00"/>
    <d v="2016-10-26T00:00:00"/>
    <x v="1"/>
    <s v="AP-10720"/>
    <s v="Anne Pryor"/>
    <x v="2"/>
    <x v="1"/>
    <x v="1"/>
    <x v="0"/>
    <s v="FUR-FU-10002878"/>
    <s v="Furniture"/>
    <x v="3"/>
    <s v="Seth Thomas 14&quot; Day/Date Wall Clock"/>
    <n v="45.567999999999998"/>
    <n v="2"/>
    <n v="9.6831999999999994"/>
    <x v="2"/>
    <x v="0"/>
    <x v="1"/>
  </r>
  <r>
    <s v="CA-2017-107209"/>
    <d v="2017-07-27T00:00:00"/>
    <d v="2017-08-01T00:00:00"/>
    <x v="0"/>
    <s v="JW-15955"/>
    <s v="Joni Wasserman"/>
    <x v="0"/>
    <x v="168"/>
    <x v="30"/>
    <x v="0"/>
    <s v="FUR-CH-10001146"/>
    <s v="Furniture"/>
    <x v="1"/>
    <s v="Global Value Mid-Back Manager's Chair, Gray"/>
    <n v="194.84800000000001"/>
    <n v="4"/>
    <n v="12.178000000000001"/>
    <x v="2"/>
    <x v="3"/>
    <x v="3"/>
  </r>
  <r>
    <s v="CA-2015-162201"/>
    <d v="2015-06-08T00:00:00"/>
    <d v="2015-06-12T00:00:00"/>
    <x v="1"/>
    <s v="AG-10495"/>
    <s v="Andrew Gjertsen"/>
    <x v="1"/>
    <x v="66"/>
    <x v="1"/>
    <x v="0"/>
    <s v="FUR-FU-10001185"/>
    <s v="Furniture"/>
    <x v="3"/>
    <s v="Advantus Employee of the Month Certificate Frame, 11 x 13-1/2"/>
    <n v="173.208"/>
    <n v="7"/>
    <n v="45.467100000000002"/>
    <x v="4"/>
    <x v="1"/>
    <x v="2"/>
  </r>
  <r>
    <s v="US-2014-164406"/>
    <d v="2014-08-15T00:00:00"/>
    <d v="2014-08-19T00:00:00"/>
    <x v="1"/>
    <s v="BD-11605"/>
    <s v="Brian Dahlen"/>
    <x v="0"/>
    <x v="28"/>
    <x v="2"/>
    <x v="1"/>
    <s v="FUR-CH-10003833"/>
    <s v="Furniture"/>
    <x v="1"/>
    <s v="Novimex Fabric Task Chair"/>
    <n v="195.136"/>
    <n v="4"/>
    <n v="-12.196"/>
    <x v="4"/>
    <x v="2"/>
    <x v="10"/>
  </r>
  <r>
    <s v="US-2017-152842"/>
    <d v="2017-07-16T00:00:00"/>
    <d v="2017-07-23T00:00:00"/>
    <x v="1"/>
    <s v="NF-18385"/>
    <s v="Natalie Fritzler"/>
    <x v="0"/>
    <x v="127"/>
    <x v="30"/>
    <x v="0"/>
    <s v="FUR-CH-10004218"/>
    <s v="Furniture"/>
    <x v="1"/>
    <s v="Global Fabric Manager's Chair, Dark Gray"/>
    <n v="242.352"/>
    <n v="3"/>
    <n v="15.147"/>
    <x v="1"/>
    <x v="3"/>
    <x v="3"/>
  </r>
  <r>
    <s v="CA-2014-113257"/>
    <d v="2014-12-16T00:00:00"/>
    <d v="2014-12-18T00:00:00"/>
    <x v="0"/>
    <s v="SC-20305"/>
    <s v="Sean Christensen"/>
    <x v="0"/>
    <x v="365"/>
    <x v="5"/>
    <x v="3"/>
    <s v="FUR-FU-10001706"/>
    <s v="Furniture"/>
    <x v="3"/>
    <s v="Longer-Life Soft White Bulbs"/>
    <n v="8.6240000000000006"/>
    <n v="7"/>
    <n v="-2.5872000000000002"/>
    <x v="3"/>
    <x v="2"/>
    <x v="5"/>
  </r>
  <r>
    <s v="CA-2016-126627"/>
    <d v="2016-10-10T00:00:00"/>
    <d v="2016-10-12T00:00:00"/>
    <x v="2"/>
    <s v="WB-21850"/>
    <s v="William Brown"/>
    <x v="0"/>
    <x v="101"/>
    <x v="5"/>
    <x v="3"/>
    <s v="FUR-FU-10004963"/>
    <s v="Furniture"/>
    <x v="3"/>
    <s v="Eldon 400 Class Desk Accessories, Black Carbon"/>
    <n v="14"/>
    <n v="4"/>
    <n v="-6.3"/>
    <x v="3"/>
    <x v="0"/>
    <x v="1"/>
  </r>
  <r>
    <s v="US-2016-125402"/>
    <d v="2016-09-25T00:00:00"/>
    <d v="2016-10-01T00:00:00"/>
    <x v="1"/>
    <s v="DL-12865"/>
    <s v="Dan Lawera"/>
    <x v="0"/>
    <x v="62"/>
    <x v="2"/>
    <x v="1"/>
    <s v="FUR-CH-10000665"/>
    <s v="Furniture"/>
    <x v="1"/>
    <s v="Global Airflow Leather Mesh Back Chair, Black"/>
    <n v="483.13600000000002"/>
    <n v="4"/>
    <n v="60.392000000000003"/>
    <x v="6"/>
    <x v="0"/>
    <x v="4"/>
  </r>
  <r>
    <s v="CA-2014-163867"/>
    <d v="2014-06-03T00:00:00"/>
    <d v="2014-06-06T00:00:00"/>
    <x v="2"/>
    <s v="RE-19450"/>
    <s v="Richard Eichhorn"/>
    <x v="0"/>
    <x v="42"/>
    <x v="8"/>
    <x v="3"/>
    <s v="FUR-FU-10001475"/>
    <s v="Furniture"/>
    <x v="3"/>
    <s v="Contract Clock, 14&quot;, Brown"/>
    <n v="61.543999999999997"/>
    <n v="7"/>
    <n v="-40.003599999999999"/>
    <x v="0"/>
    <x v="2"/>
    <x v="2"/>
  </r>
  <r>
    <s v="CA-2017-169327"/>
    <d v="2017-09-02T00:00:00"/>
    <d v="2017-09-04T00:00:00"/>
    <x v="0"/>
    <s v="MH-17290"/>
    <s v="Marc Harrigan"/>
    <x v="2"/>
    <x v="2"/>
    <x v="2"/>
    <x v="1"/>
    <s v="FUR-FU-10004188"/>
    <s v="Furniture"/>
    <x v="3"/>
    <s v="Luxo Professional Combination Clamp-On Lamps"/>
    <n v="511.5"/>
    <n v="5"/>
    <n v="132.99"/>
    <x v="3"/>
    <x v="3"/>
    <x v="4"/>
  </r>
  <r>
    <s v="CA-2016-158155"/>
    <d v="2016-05-02T00:00:00"/>
    <d v="2016-05-06T00:00:00"/>
    <x v="1"/>
    <s v="EH-13765"/>
    <s v="Edward Hooks"/>
    <x v="1"/>
    <x v="13"/>
    <x v="7"/>
    <x v="2"/>
    <s v="FUR-FU-10000732"/>
    <s v="Furniture"/>
    <x v="3"/>
    <s v="Eldon 200 Class Desk Accessories"/>
    <n v="12.56"/>
    <n v="2"/>
    <n v="4.0191999999999997"/>
    <x v="4"/>
    <x v="0"/>
    <x v="7"/>
  </r>
  <r>
    <s v="CA-2016-158155"/>
    <d v="2016-05-02T00:00:00"/>
    <d v="2016-05-06T00:00:00"/>
    <x v="1"/>
    <s v="EH-13765"/>
    <s v="Edward Hooks"/>
    <x v="1"/>
    <x v="13"/>
    <x v="7"/>
    <x v="2"/>
    <s v="FUR-FU-10002253"/>
    <s v="Furniture"/>
    <x v="3"/>
    <s v="Howard Miller 13&quot; Diameter Pewter Finish Round Wall Clock"/>
    <n v="214.7"/>
    <n v="5"/>
    <n v="83.733000000000004"/>
    <x v="4"/>
    <x v="0"/>
    <x v="7"/>
  </r>
  <r>
    <s v="CA-2017-138870"/>
    <d v="2017-06-19T00:00:00"/>
    <d v="2017-06-23T00:00:00"/>
    <x v="1"/>
    <s v="GA-14515"/>
    <s v="George Ashbrook"/>
    <x v="0"/>
    <x v="28"/>
    <x v="2"/>
    <x v="1"/>
    <s v="FUR-FU-10002396"/>
    <s v="Furniture"/>
    <x v="3"/>
    <s v="DAX Copper Panel Document Frame, 5 x 7 Size"/>
    <n v="50.32"/>
    <n v="4"/>
    <n v="21.134399999999999"/>
    <x v="4"/>
    <x v="3"/>
    <x v="2"/>
  </r>
  <r>
    <s v="CA-2015-164301"/>
    <d v="2015-03-26T00:00:00"/>
    <d v="2015-03-30T00:00:00"/>
    <x v="1"/>
    <s v="EB-13840"/>
    <s v="Ellis Ballard"/>
    <x v="1"/>
    <x v="15"/>
    <x v="13"/>
    <x v="1"/>
    <s v="FUR-TA-10001889"/>
    <s v="Furniture"/>
    <x v="2"/>
    <s v="Bush Advantage Collection Racetrack Conference Table"/>
    <n v="3393.68"/>
    <n v="8"/>
    <n v="610.86239999999998"/>
    <x v="4"/>
    <x v="1"/>
    <x v="9"/>
  </r>
  <r>
    <s v="CA-2017-113278"/>
    <d v="2017-01-14T00:00:00"/>
    <d v="2017-01-20T00:00:00"/>
    <x v="1"/>
    <s v="HR-14770"/>
    <s v="Hallie Redmond"/>
    <x v="2"/>
    <x v="52"/>
    <x v="6"/>
    <x v="3"/>
    <s v="FUR-FU-10001037"/>
    <s v="Furniture"/>
    <x v="3"/>
    <s v="DAX Charcoal/Nickel-Tone Document Frame, 5 x 7"/>
    <n v="18.96"/>
    <n v="2"/>
    <n v="8.532"/>
    <x v="6"/>
    <x v="3"/>
    <x v="8"/>
  </r>
  <r>
    <s v="CA-2014-114195"/>
    <d v="2014-11-01T00:00:00"/>
    <d v="2014-11-03T00:00:00"/>
    <x v="2"/>
    <s v="EA-14035"/>
    <s v="Erin Ashbrook"/>
    <x v="1"/>
    <x v="366"/>
    <x v="15"/>
    <x v="2"/>
    <s v="FUR-FU-10002253"/>
    <s v="Furniture"/>
    <x v="3"/>
    <s v="Howard Miller 13&quot; Diameter Pewter Finish Round Wall Clock"/>
    <n v="68.703999999999994"/>
    <n v="2"/>
    <n v="16.3172"/>
    <x v="3"/>
    <x v="2"/>
    <x v="0"/>
  </r>
  <r>
    <s v="CA-2016-122581"/>
    <d v="2016-08-21T00:00:00"/>
    <d v="2016-08-25T00:00:00"/>
    <x v="1"/>
    <s v="JK-15370"/>
    <s v="Jay Kimmel"/>
    <x v="0"/>
    <x v="13"/>
    <x v="7"/>
    <x v="2"/>
    <s v="FUR-CH-10002961"/>
    <s v="Furniture"/>
    <x v="1"/>
    <s v="Leather Task Chair, Black"/>
    <n v="573.17399999999998"/>
    <n v="7"/>
    <n v="63.686"/>
    <x v="4"/>
    <x v="0"/>
    <x v="10"/>
  </r>
  <r>
    <s v="US-2016-115441"/>
    <d v="2016-07-25T00:00:00"/>
    <d v="2016-07-28T00:00:00"/>
    <x v="0"/>
    <s v="SH-19975"/>
    <s v="Sally Hughsby"/>
    <x v="1"/>
    <x v="79"/>
    <x v="16"/>
    <x v="3"/>
    <s v="FUR-CH-10004626"/>
    <s v="Furniture"/>
    <x v="1"/>
    <s v="Office Star Flex Back Scooter Chair with Aluminum Finish Frame"/>
    <n v="403.56"/>
    <n v="4"/>
    <n v="96.854399999999998"/>
    <x v="0"/>
    <x v="0"/>
    <x v="3"/>
  </r>
  <r>
    <s v="US-2016-115441"/>
    <d v="2016-07-25T00:00:00"/>
    <d v="2016-07-28T00:00:00"/>
    <x v="0"/>
    <s v="SH-19975"/>
    <s v="Sally Hughsby"/>
    <x v="1"/>
    <x v="79"/>
    <x v="16"/>
    <x v="3"/>
    <s v="FUR-FU-10001756"/>
    <s v="Furniture"/>
    <x v="3"/>
    <s v="Eldon Expressions Desk Accessory, Wood Photo Frame, Mahogany"/>
    <n v="95.2"/>
    <n v="5"/>
    <n v="27.608000000000001"/>
    <x v="0"/>
    <x v="0"/>
    <x v="3"/>
  </r>
  <r>
    <s v="CA-2016-112830"/>
    <d v="2016-06-06T00:00:00"/>
    <d v="2016-06-10T00:00:00"/>
    <x v="1"/>
    <s v="LP-17095"/>
    <s v="Liz Preis"/>
    <x v="0"/>
    <x v="130"/>
    <x v="15"/>
    <x v="2"/>
    <s v="FUR-FU-10004306"/>
    <s v="Furniture"/>
    <x v="3"/>
    <s v="Electrix Halogen Magnifier Lamp"/>
    <n v="466.32"/>
    <n v="3"/>
    <n v="34.973999999999997"/>
    <x v="4"/>
    <x v="0"/>
    <x v="2"/>
  </r>
  <r>
    <s v="CA-2016-112830"/>
    <d v="2016-06-06T00:00:00"/>
    <d v="2016-06-10T00:00:00"/>
    <x v="1"/>
    <s v="LP-17095"/>
    <s v="Liz Preis"/>
    <x v="0"/>
    <x v="130"/>
    <x v="15"/>
    <x v="2"/>
    <s v="FUR-FU-10004845"/>
    <s v="Furniture"/>
    <x v="3"/>
    <s v="Deflect-o EconoMat Nonstudded, No Bevel Mat"/>
    <n v="82.64"/>
    <n v="2"/>
    <n v="0"/>
    <x v="4"/>
    <x v="0"/>
    <x v="2"/>
  </r>
  <r>
    <s v="US-2014-117380"/>
    <d v="2014-03-28T00:00:00"/>
    <d v="2014-04-03T00:00:00"/>
    <x v="1"/>
    <s v="MP-18175"/>
    <s v="Mike Pelletier"/>
    <x v="2"/>
    <x v="76"/>
    <x v="15"/>
    <x v="2"/>
    <s v="FUR-TA-10000198"/>
    <s v="Furniture"/>
    <x v="2"/>
    <s v="Chromcraft Bull-Nose Wood Oval Conference Tables &amp; Bases"/>
    <n v="330.58800000000002"/>
    <n v="1"/>
    <n v="-143.25479999999999"/>
    <x v="6"/>
    <x v="2"/>
    <x v="9"/>
  </r>
  <r>
    <s v="CA-2017-117646"/>
    <d v="2017-08-21T00:00:00"/>
    <d v="2017-08-25T00:00:00"/>
    <x v="1"/>
    <s v="SC-20845"/>
    <s v="Sung Chung"/>
    <x v="0"/>
    <x v="74"/>
    <x v="12"/>
    <x v="1"/>
    <s v="FUR-FU-10001037"/>
    <s v="Furniture"/>
    <x v="3"/>
    <s v="DAX Charcoal/Nickel-Tone Document Frame, 5 x 7"/>
    <n v="22.751999999999999"/>
    <n v="3"/>
    <n v="7.11"/>
    <x v="4"/>
    <x v="3"/>
    <x v="10"/>
  </r>
  <r>
    <s v="CA-2014-122609"/>
    <d v="2014-11-12T00:00:00"/>
    <d v="2014-11-18T00:00:00"/>
    <x v="1"/>
    <s v="DP-13000"/>
    <s v="Darren Powers"/>
    <x v="0"/>
    <x v="118"/>
    <x v="5"/>
    <x v="3"/>
    <s v="FUR-FU-10004587"/>
    <s v="Furniture"/>
    <x v="3"/>
    <s v="GE General Use Halogen Bulbs, 100 Watts, 1 Bulb per Pack"/>
    <n v="25.128"/>
    <n v="3"/>
    <n v="-6.9101999999999997"/>
    <x v="6"/>
    <x v="2"/>
    <x v="0"/>
  </r>
  <r>
    <s v="US-2015-129007"/>
    <d v="2015-09-13T00:00:00"/>
    <d v="2015-09-15T00:00:00"/>
    <x v="2"/>
    <s v="KD-16615"/>
    <s v="Ken Dana"/>
    <x v="1"/>
    <x v="261"/>
    <x v="2"/>
    <x v="1"/>
    <s v="FUR-FU-10004973"/>
    <s v="Furniture"/>
    <x v="3"/>
    <s v="Flat Face Poster Frame"/>
    <n v="131.88"/>
    <n v="7"/>
    <n v="55.389600000000002"/>
    <x v="3"/>
    <x v="1"/>
    <x v="4"/>
  </r>
  <r>
    <s v="US-2015-129007"/>
    <d v="2015-09-13T00:00:00"/>
    <d v="2015-09-15T00:00:00"/>
    <x v="2"/>
    <s v="KD-16615"/>
    <s v="Ken Dana"/>
    <x v="1"/>
    <x v="261"/>
    <x v="2"/>
    <x v="1"/>
    <s v="FUR-CH-10000155"/>
    <s v="Furniture"/>
    <x v="1"/>
    <s v="Global Comet Stacking Armless Chair"/>
    <n v="717.72"/>
    <n v="3"/>
    <n v="71.772000000000006"/>
    <x v="3"/>
    <x v="1"/>
    <x v="4"/>
  </r>
  <r>
    <s v="US-2015-129007"/>
    <d v="2015-09-13T00:00:00"/>
    <d v="2015-09-15T00:00:00"/>
    <x v="2"/>
    <s v="KD-16615"/>
    <s v="Ken Dana"/>
    <x v="1"/>
    <x v="261"/>
    <x v="2"/>
    <x v="1"/>
    <s v="FUR-FU-10002379"/>
    <s v="Furniture"/>
    <x v="3"/>
    <s v="Eldon Econocleat Chair Mats for Low Pile Carpets"/>
    <n v="207.35"/>
    <n v="5"/>
    <n v="24.882000000000001"/>
    <x v="3"/>
    <x v="1"/>
    <x v="4"/>
  </r>
  <r>
    <s v="US-2015-129007"/>
    <d v="2015-09-13T00:00:00"/>
    <d v="2015-09-15T00:00:00"/>
    <x v="2"/>
    <s v="KD-16615"/>
    <s v="Ken Dana"/>
    <x v="1"/>
    <x v="261"/>
    <x v="2"/>
    <x v="1"/>
    <s v="FUR-FU-10004018"/>
    <s v="Furniture"/>
    <x v="3"/>
    <s v="Tensor Computer Mounted Lamp"/>
    <n v="44.67"/>
    <n v="3"/>
    <n v="12.0609"/>
    <x v="3"/>
    <x v="1"/>
    <x v="4"/>
  </r>
  <r>
    <s v="CA-2015-132388"/>
    <d v="2015-10-10T00:00:00"/>
    <d v="2015-10-12T00:00:00"/>
    <x v="2"/>
    <s v="KN-16390"/>
    <s v="Katherine Nockton"/>
    <x v="1"/>
    <x v="367"/>
    <x v="2"/>
    <x v="1"/>
    <s v="FUR-CH-10001714"/>
    <s v="Furniture"/>
    <x v="1"/>
    <s v="Global Leather &amp; Oak Executive Chair, Burgundy"/>
    <n v="362.13600000000002"/>
    <n v="3"/>
    <n v="-54.320399999999999"/>
    <x v="3"/>
    <x v="1"/>
    <x v="1"/>
  </r>
  <r>
    <s v="CA-2017-160927"/>
    <d v="2017-01-29T00:00:00"/>
    <d v="2017-01-31T00:00:00"/>
    <x v="0"/>
    <s v="TM-21010"/>
    <s v="Tamara Manning"/>
    <x v="0"/>
    <x v="149"/>
    <x v="26"/>
    <x v="3"/>
    <s v="FUR-FU-10000010"/>
    <s v="Furniture"/>
    <x v="3"/>
    <s v="DAX Value U-Channel Document Frames, Easel Back"/>
    <n v="14.91"/>
    <n v="3"/>
    <n v="4.6220999999999997"/>
    <x v="3"/>
    <x v="3"/>
    <x v="8"/>
  </r>
  <r>
    <s v="CA-2016-149272"/>
    <d v="2016-03-15T00:00:00"/>
    <d v="2016-03-19T00:00:00"/>
    <x v="1"/>
    <s v="MY-18295"/>
    <s v="Muhammed Yedwab"/>
    <x v="1"/>
    <x v="368"/>
    <x v="5"/>
    <x v="3"/>
    <s v="FUR-CH-10000863"/>
    <s v="Furniture"/>
    <x v="1"/>
    <s v="Novimex Swivel Fabric Task Chair"/>
    <n v="528.42999999999995"/>
    <n v="5"/>
    <n v="-143.43100000000001"/>
    <x v="4"/>
    <x v="0"/>
    <x v="9"/>
  </r>
  <r>
    <s v="CA-2016-129630"/>
    <d v="2016-09-04T00:00:00"/>
    <d v="2016-09-04T00:00:00"/>
    <x v="3"/>
    <s v="IM-15055"/>
    <s v="Ionia McGrath"/>
    <x v="0"/>
    <x v="28"/>
    <x v="2"/>
    <x v="1"/>
    <s v="FUR-FU-10000260"/>
    <s v="Furniture"/>
    <x v="3"/>
    <s v="6&quot; Cubicle Wall Clock, Black"/>
    <n v="24.27"/>
    <n v="3"/>
    <n v="8.7371999999999996"/>
    <x v="7"/>
    <x v="0"/>
    <x v="4"/>
  </r>
  <r>
    <s v="CA-2015-104948"/>
    <d v="2015-11-13T00:00:00"/>
    <d v="2015-11-17T00:00:00"/>
    <x v="1"/>
    <s v="KH-16510"/>
    <s v="Keith Herrera"/>
    <x v="0"/>
    <x v="369"/>
    <x v="2"/>
    <x v="1"/>
    <s v="FUR-BO-10004357"/>
    <s v="Furniture"/>
    <x v="0"/>
    <s v="O'Sullivan Living Dimensions 3-Shelf Bookcases"/>
    <n v="683.33199999999999"/>
    <n v="4"/>
    <n v="-40.195999999999998"/>
    <x v="4"/>
    <x v="1"/>
    <x v="0"/>
  </r>
  <r>
    <s v="CA-2016-164889"/>
    <d v="2016-06-03T00:00:00"/>
    <d v="2016-06-06T00:00:00"/>
    <x v="0"/>
    <s v="CP-12340"/>
    <s v="Christine Phan"/>
    <x v="1"/>
    <x v="2"/>
    <x v="2"/>
    <x v="1"/>
    <s v="FUR-TA-10001676"/>
    <s v="Furniture"/>
    <x v="2"/>
    <s v="Hon 61000 Series Interactive Training Tables"/>
    <n v="71.087999999999994"/>
    <n v="2"/>
    <n v="-1.7771999999999999"/>
    <x v="0"/>
    <x v="0"/>
    <x v="2"/>
  </r>
  <r>
    <s v="CA-2016-169824"/>
    <d v="2016-12-12T00:00:00"/>
    <d v="2016-12-17T00:00:00"/>
    <x v="1"/>
    <s v="NS-18640"/>
    <s v="Noel Staavos"/>
    <x v="1"/>
    <x v="13"/>
    <x v="7"/>
    <x v="2"/>
    <s v="FUR-FU-10004864"/>
    <s v="Furniture"/>
    <x v="3"/>
    <s v="Eldon 500 Class Desk Accessories"/>
    <n v="60.35"/>
    <n v="5"/>
    <n v="19.915500000000002"/>
    <x v="2"/>
    <x v="0"/>
    <x v="5"/>
  </r>
  <r>
    <s v="CA-2017-121559"/>
    <d v="2017-06-01T00:00:00"/>
    <d v="2017-06-03T00:00:00"/>
    <x v="0"/>
    <s v="HW-14935"/>
    <s v="Helen Wasserman"/>
    <x v="1"/>
    <x v="370"/>
    <x v="6"/>
    <x v="3"/>
    <s v="FUR-CH-10003746"/>
    <s v="Furniture"/>
    <x v="1"/>
    <s v="Hon 4070 Series Pagoda Round Back Stacking Chairs"/>
    <n v="1925.88"/>
    <n v="6"/>
    <n v="539.24639999999999"/>
    <x v="3"/>
    <x v="3"/>
    <x v="2"/>
  </r>
  <r>
    <s v="CA-2015-141593"/>
    <d v="2015-12-14T00:00:00"/>
    <d v="2015-12-16T00:00:00"/>
    <x v="0"/>
    <s v="DB-12970"/>
    <s v="Darren Budd"/>
    <x v="1"/>
    <x v="2"/>
    <x v="2"/>
    <x v="1"/>
    <s v="FUR-TA-10002622"/>
    <s v="Furniture"/>
    <x v="2"/>
    <s v="Bush Andora Conference Table, Maple/Graphite Gray Finish"/>
    <n v="273.56799999999998"/>
    <n v="2"/>
    <n v="10.258800000000001"/>
    <x v="3"/>
    <x v="1"/>
    <x v="5"/>
  </r>
  <r>
    <s v="CA-2015-168088"/>
    <d v="2015-03-19T00:00:00"/>
    <d v="2015-03-22T00:00:00"/>
    <x v="2"/>
    <s v="CM-12655"/>
    <s v="Corinna Mitchell"/>
    <x v="2"/>
    <x v="6"/>
    <x v="5"/>
    <x v="3"/>
    <s v="FUR-BO-10004218"/>
    <s v="Furniture"/>
    <x v="0"/>
    <s v="Bush Heritage Pine Collection 5-Shelf Bookcase, Albany Pine Finish, *Special Order"/>
    <n v="383.46559999999999"/>
    <n v="4"/>
    <n v="-67.670400000000001"/>
    <x v="0"/>
    <x v="1"/>
    <x v="9"/>
  </r>
  <r>
    <s v="CA-2016-146374"/>
    <d v="2016-12-05T00:00:00"/>
    <d v="2016-12-10T00:00:00"/>
    <x v="0"/>
    <s v="HE-14800"/>
    <s v="Harold Engle"/>
    <x v="1"/>
    <x v="19"/>
    <x v="14"/>
    <x v="2"/>
    <s v="FUR-FU-10002671"/>
    <s v="Furniture"/>
    <x v="3"/>
    <s v="Electrix 20W Halogen Replacement Bulb for Zoom-In Desk Lamp"/>
    <n v="13.4"/>
    <n v="1"/>
    <n v="6.4320000000000004"/>
    <x v="2"/>
    <x v="0"/>
    <x v="5"/>
  </r>
  <r>
    <s v="US-2015-151435"/>
    <d v="2015-09-06T00:00:00"/>
    <d v="2015-09-09T00:00:00"/>
    <x v="0"/>
    <s v="SW-20455"/>
    <s v="Shaun Weien"/>
    <x v="0"/>
    <x v="120"/>
    <x v="35"/>
    <x v="0"/>
    <s v="FUR-TA-10001039"/>
    <s v="Furniture"/>
    <x v="2"/>
    <s v="KI Adjustable-Height Table"/>
    <n v="85.98"/>
    <n v="1"/>
    <n v="22.354800000000001"/>
    <x v="0"/>
    <x v="1"/>
    <x v="4"/>
  </r>
  <r>
    <s v="CA-2014-110422"/>
    <d v="2014-01-21T00:00:00"/>
    <d v="2014-01-23T00:00:00"/>
    <x v="0"/>
    <s v="TB-21400"/>
    <s v="Tom Boeckenhauer"/>
    <x v="0"/>
    <x v="89"/>
    <x v="1"/>
    <x v="0"/>
    <s v="FUR-FU-10001889"/>
    <s v="Furniture"/>
    <x v="3"/>
    <s v="Ultra Door Pull Handle"/>
    <n v="25.248000000000001"/>
    <n v="3"/>
    <n v="4.1028000000000002"/>
    <x v="3"/>
    <x v="2"/>
    <x v="8"/>
  </r>
  <r>
    <s v="CA-2017-121258"/>
    <d v="2017-02-26T00:00:00"/>
    <d v="2017-03-03T00:00:00"/>
    <x v="1"/>
    <s v="DB-13060"/>
    <s v="Dave Brooks"/>
    <x v="0"/>
    <x v="46"/>
    <x v="2"/>
    <x v="1"/>
    <s v="FUR-FU-10000747"/>
    <s v="Furniture"/>
    <x v="3"/>
    <s v="Tenex B1-RE Series Chair Mats for Low Pile Carpets"/>
    <n v="91.96"/>
    <n v="2"/>
    <n v="15.6332"/>
    <x v="2"/>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3B4536-F594-4D44-8133-77303B5CC085}" name="PivotTable1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9:H54"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4"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EB6A8-27FF-43DF-AC6D-FB026E89F5AF}" name="PivotTable15"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9:H44" firstHeaderRow="1" firstDataRow="1" firstDataCol="1"/>
  <pivotFields count="20">
    <pivotField dataField="1" showAll="0"/>
    <pivotField numFmtId="14" showAll="0"/>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1">
    <format dxfId="27">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27D90-B637-4078-B51B-BD004F8DC7F0}" name="PivotTable1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H34" firstHeaderRow="1" firstDataRow="1" firstDataCol="1"/>
  <pivotFields count="20">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sortType="ascending">
      <items count="17">
        <item m="1" x="15"/>
        <item m="1" x="13"/>
        <item m="1" x="11"/>
        <item m="1" x="8"/>
        <item m="1" x="12"/>
        <item m="1" x="10"/>
        <item m="1" x="14"/>
        <item m="1" x="9"/>
        <item x="7"/>
        <item x="5"/>
        <item x="3"/>
        <item x="0"/>
        <item x="4"/>
        <item x="2"/>
        <item x="6"/>
        <item x="1"/>
        <item t="default"/>
      </items>
    </pivotField>
    <pivotField showAll="0"/>
    <pivotField showAll="0"/>
  </pivotFields>
  <rowFields count="1">
    <field x="17"/>
  </rowFields>
  <rowItems count="9">
    <i>
      <x v="8"/>
    </i>
    <i>
      <x v="9"/>
    </i>
    <i>
      <x v="10"/>
    </i>
    <i>
      <x v="11"/>
    </i>
    <i>
      <x v="12"/>
    </i>
    <i>
      <x v="13"/>
    </i>
    <i>
      <x v="14"/>
    </i>
    <i>
      <x v="15"/>
    </i>
    <i t="grand">
      <x/>
    </i>
  </rowItems>
  <colItems count="1">
    <i/>
  </colItems>
  <dataFields count="1">
    <dataField name="Count of Order ID" fld="0" subtotal="count" showDataAs="percentOfTotal" baseField="0" baseItem="0" numFmtId="9"/>
  </dataFields>
  <formats count="1">
    <format dxfId="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BE399-4665-44A8-9473-0C649B02F5DD}" name="PivotTable1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19"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axis="axisRow" showAll="0" measureFilter="1" sortType="de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7"/>
  </rowFields>
  <rowItems count="6">
    <i>
      <x v="232"/>
    </i>
    <i>
      <x v="184"/>
    </i>
    <i>
      <x v="316"/>
    </i>
    <i>
      <x v="264"/>
    </i>
    <i>
      <x v="307"/>
    </i>
    <i t="grand">
      <x/>
    </i>
  </rowItems>
  <colItems count="1">
    <i/>
  </colItems>
  <dataFields count="1">
    <dataField name="Sum of Sales" fld="14" baseField="0" baseItem="0" numFmtId="167"/>
  </dataFields>
  <formats count="1">
    <format dxfId="29">
      <pivotArea outline="0" collapsedLevelsAreSubtotals="1" fieldPosition="0"/>
    </format>
  </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173A75-B343-46DE-93D3-00E9E432C2E3}" name="PivotTable1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C82"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4"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E1C74-34E5-4198-82B1-C31213073003}" name="PivotTable1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C29" firstHeaderRow="1"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4" baseField="0" baseItem="0" numFmtId="167"/>
  </dataFields>
  <formats count="1">
    <format dxfId="3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5F7B02-4F16-4BF5-9C9F-B497B2E47911}" name="PivotTable10"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2" firstHeaderRow="0" firstDataRow="1" firstDataCol="1"/>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axis="axisRow" showAll="0">
      <items count="5">
        <item x="2"/>
        <item x="1"/>
        <item x="0"/>
        <item x="3"/>
        <item t="default"/>
      </items>
    </pivotField>
    <pivotField showAll="0"/>
  </pivotFields>
  <rowFields count="1">
    <field x="18"/>
  </rowFields>
  <rowItems count="5">
    <i>
      <x/>
    </i>
    <i>
      <x v="1"/>
    </i>
    <i>
      <x v="2"/>
    </i>
    <i>
      <x v="3"/>
    </i>
    <i t="grand">
      <x/>
    </i>
  </rowItems>
  <colFields count="1">
    <field x="-2"/>
  </colFields>
  <colItems count="3">
    <i>
      <x/>
    </i>
    <i i="1">
      <x v="1"/>
    </i>
    <i i="2">
      <x v="2"/>
    </i>
  </colItems>
  <dataFields count="3">
    <dataField name="Sum of Quantity" fld="15" baseField="0" baseItem="0"/>
    <dataField name="Sum of Sales" fld="14"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24EC90-0D1A-49CE-B5E7-8A7886C3B08D}" name="PivotTable9"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pivotFields>
  <rowItems count="1">
    <i/>
  </rowItems>
  <colFields count="1">
    <field x="-2"/>
  </colFields>
  <colItems count="3">
    <i>
      <x/>
    </i>
    <i i="1">
      <x v="1"/>
    </i>
    <i i="2">
      <x v="2"/>
    </i>
  </colItems>
  <dataFields count="3">
    <dataField name="Sum of Quantity" fld="15" baseField="0" baseItem="0"/>
    <dataField name="Sum of Sales" fld="14"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8C837B-E436-4654-BD89-4FCFE55BC30A}"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ity" tableColumnId="8"/>
      <queryTableField id="9" name="State" tableColumnId="9"/>
      <queryTableField id="10" name="Region" tableColumnId="10"/>
      <queryTableField id="11" name="Product ID"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Profit" tableColumnId="17"/>
      <queryTableField id="18" name="Duration" tableColumnId="18"/>
      <queryTableField id="19" name="Year"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17E62FF-F525-454D-AF19-924DB2A5C8BB}" sourceName="Segment">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9"/>
  </pivotTables>
  <data>
    <tabular pivotCacheId="20159569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A61CFF-8EAD-4E4F-8513-5AE068F1D96E}" sourceName="Region">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9"/>
  </pivotTables>
  <data>
    <tabular pivotCacheId="2015956956">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2DDD672-BC3F-4D97-AD2B-A90477613811}" cache="Slicer_Segment" caption="Segment" columnCount="3" showCaption="0" style="Mine 3" rowHeight="257175"/>
  <slicer name="Region" xr10:uid="{CA29ED91-F701-4CF3-AA6F-81AC56735A26}" cache="Slicer_Region" caption="Region" columnCount="4" showCaption="0" style="Mine 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549BF9-28C1-48F3-926D-55AD652B0191}" name="Furniture_Sales" displayName="Furniture_Sales" ref="A1:T2122" tableType="queryTable" totalsRowShown="0">
  <autoFilter ref="A1:T2122" xr:uid="{45549BF9-28C1-48F3-926D-55AD652B0191}"/>
  <tableColumns count="20">
    <tableColumn id="1" xr3:uid="{7CC5F084-3B48-49AA-A6A0-F64ABB585B55}" uniqueName="1" name="Order ID" queryTableFieldId="1" dataDxfId="17"/>
    <tableColumn id="2" xr3:uid="{46D780B9-F73A-43CC-9787-635ADE73C26C}" uniqueName="2" name="Order Date" queryTableFieldId="2" dataDxfId="16"/>
    <tableColumn id="3" xr3:uid="{A9DADC7F-6C50-45D7-94C2-1932AFF1085D}" uniqueName="3" name="Ship Date" queryTableFieldId="3" dataDxfId="15"/>
    <tableColumn id="4" xr3:uid="{2C09A623-C5DA-4F71-B689-2210DF25DBD9}" uniqueName="4" name="Ship Mode" queryTableFieldId="4" dataDxfId="14"/>
    <tableColumn id="5" xr3:uid="{C4F79209-F31F-45A3-8666-D0E65BD33C6D}" uniqueName="5" name="Customer ID" queryTableFieldId="5" dataDxfId="13"/>
    <tableColumn id="6" xr3:uid="{477749B1-045D-4504-86DA-96E416FD8092}" uniqueName="6" name="Customer Name" queryTableFieldId="6" dataDxfId="12"/>
    <tableColumn id="7" xr3:uid="{87958EEF-C41C-4D77-A306-43A940E05B7B}" uniqueName="7" name="Segment" queryTableFieldId="7" dataDxfId="11"/>
    <tableColumn id="8" xr3:uid="{9FEDB9FB-9889-4D69-ABB5-CF6F0407DF35}" uniqueName="8" name="City" queryTableFieldId="8" dataDxfId="10"/>
    <tableColumn id="9" xr3:uid="{B9D97804-F572-4AEC-8CDF-E68C50803928}" uniqueName="9" name="State" queryTableFieldId="9" dataDxfId="9"/>
    <tableColumn id="10" xr3:uid="{E65EC8AD-FFE0-469D-897E-C624B53BC69B}" uniqueName="10" name="Region" queryTableFieldId="10" dataDxfId="8"/>
    <tableColumn id="11" xr3:uid="{701DD749-0220-4518-ABA6-669656AA2908}" uniqueName="11" name="Product ID" queryTableFieldId="11" dataDxfId="7"/>
    <tableColumn id="12" xr3:uid="{25736EB5-20F4-42AF-A440-509A046EF989}" uniqueName="12" name="Category" queryTableFieldId="12" dataDxfId="6"/>
    <tableColumn id="13" xr3:uid="{3D942125-7272-4BEA-9490-CAA8A561292B}" uniqueName="13" name="Sub-Category" queryTableFieldId="13" dataDxfId="5"/>
    <tableColumn id="14" xr3:uid="{1C01CDB9-36AE-458C-81E7-28599690FF7D}" uniqueName="14" name="Product Name" queryTableFieldId="14" dataDxfId="4"/>
    <tableColumn id="15" xr3:uid="{54880646-BAAF-4A24-91AC-4497D8FA88AC}" uniqueName="15" name="Sales" queryTableFieldId="15"/>
    <tableColumn id="16" xr3:uid="{AC62C298-A3F3-4755-9C58-103CAB8613A2}" uniqueName="16" name="Quantity" queryTableFieldId="16"/>
    <tableColumn id="17" xr3:uid="{788E499A-3675-4FAB-9C66-8B80E541F1FC}" uniqueName="17" name="Profit" queryTableFieldId="17"/>
    <tableColumn id="18" xr3:uid="{3A0CD146-0970-427B-8E99-D5C5A8828E76}" uniqueName="18" name="Duration" queryTableFieldId="18" dataDxfId="3"/>
    <tableColumn id="19" xr3:uid="{B6FD9FD4-5D6A-4CA5-B24F-98BC241A0D06}" uniqueName="19" name="Year" queryTableFieldId="19"/>
    <tableColumn id="20" xr3:uid="{BE63F9C6-6F58-4598-AA6C-037B47A4EA9D}" uniqueName="20" name="Month" queryTableFieldId="2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AE46-D607-4FCA-ACC1-10742B462565}">
  <dimension ref="A1:T2122"/>
  <sheetViews>
    <sheetView tabSelected="1" topLeftCell="K1" workbookViewId="0">
      <selection activeCell="N17" sqref="N17"/>
    </sheetView>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6.42578125" bestFit="1" customWidth="1"/>
    <col min="9" max="9" width="18.7109375" bestFit="1" customWidth="1"/>
    <col min="10" max="10" width="9.5703125" bestFit="1" customWidth="1"/>
    <col min="11" max="11" width="16.5703125" bestFit="1" customWidth="1"/>
    <col min="12" max="12" width="11.42578125" bestFit="1" customWidth="1"/>
    <col min="13" max="13" width="15.7109375" bestFit="1" customWidth="1"/>
    <col min="14" max="14" width="81.140625" bestFit="1" customWidth="1"/>
    <col min="15" max="15" width="10" bestFit="1" customWidth="1"/>
    <col min="16" max="16" width="11" bestFit="1" customWidth="1"/>
    <col min="17" max="17" width="10.7109375" bestFit="1" customWidth="1"/>
    <col min="18" max="18" width="11.140625" bestFit="1" customWidth="1"/>
    <col min="19" max="19" width="7.28515625" bestFit="1" customWidth="1"/>
    <col min="20" max="20" width="9"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t="s">
        <v>20</v>
      </c>
      <c r="B2" s="2">
        <v>42682</v>
      </c>
      <c r="C2" s="2">
        <v>42685</v>
      </c>
      <c r="D2" s="1" t="s">
        <v>21</v>
      </c>
      <c r="E2" s="1" t="s">
        <v>22</v>
      </c>
      <c r="F2" s="1" t="s">
        <v>23</v>
      </c>
      <c r="G2" s="1" t="s">
        <v>24</v>
      </c>
      <c r="H2" s="1" t="s">
        <v>25</v>
      </c>
      <c r="I2" s="1" t="s">
        <v>26</v>
      </c>
      <c r="J2" s="1" t="s">
        <v>27</v>
      </c>
      <c r="K2" s="1" t="s">
        <v>28</v>
      </c>
      <c r="L2" s="1" t="s">
        <v>29</v>
      </c>
      <c r="M2" s="1" t="s">
        <v>30</v>
      </c>
      <c r="N2" s="1" t="s">
        <v>31</v>
      </c>
      <c r="O2">
        <v>261.95999999999998</v>
      </c>
      <c r="P2">
        <v>2</v>
      </c>
      <c r="Q2">
        <v>41.913600000000002</v>
      </c>
      <c r="R2" s="1" t="s">
        <v>4420</v>
      </c>
      <c r="S2">
        <v>2016</v>
      </c>
      <c r="T2" s="1" t="s">
        <v>32</v>
      </c>
    </row>
    <row r="3" spans="1:20" x14ac:dyDescent="0.25">
      <c r="A3" s="1" t="s">
        <v>20</v>
      </c>
      <c r="B3" s="2">
        <v>42682</v>
      </c>
      <c r="C3" s="2">
        <v>42685</v>
      </c>
      <c r="D3" s="1" t="s">
        <v>21</v>
      </c>
      <c r="E3" s="1" t="s">
        <v>22</v>
      </c>
      <c r="F3" s="1" t="s">
        <v>23</v>
      </c>
      <c r="G3" s="1" t="s">
        <v>24</v>
      </c>
      <c r="H3" s="1" t="s">
        <v>25</v>
      </c>
      <c r="I3" s="1" t="s">
        <v>26</v>
      </c>
      <c r="J3" s="1" t="s">
        <v>27</v>
      </c>
      <c r="K3" s="1" t="s">
        <v>33</v>
      </c>
      <c r="L3" s="1" t="s">
        <v>29</v>
      </c>
      <c r="M3" s="1" t="s">
        <v>34</v>
      </c>
      <c r="N3" s="1" t="s">
        <v>35</v>
      </c>
      <c r="O3">
        <v>731.94</v>
      </c>
      <c r="P3">
        <v>3</v>
      </c>
      <c r="Q3">
        <v>219.58199999999999</v>
      </c>
      <c r="R3" s="1" t="s">
        <v>4420</v>
      </c>
      <c r="S3">
        <v>2016</v>
      </c>
      <c r="T3" s="1" t="s">
        <v>32</v>
      </c>
    </row>
    <row r="4" spans="1:20" x14ac:dyDescent="0.25">
      <c r="A4" s="1" t="s">
        <v>36</v>
      </c>
      <c r="B4" s="2">
        <v>42288</v>
      </c>
      <c r="C4" s="2">
        <v>42295</v>
      </c>
      <c r="D4" s="1" t="s">
        <v>37</v>
      </c>
      <c r="E4" s="1" t="s">
        <v>38</v>
      </c>
      <c r="F4" s="1" t="s">
        <v>39</v>
      </c>
      <c r="G4" s="1" t="s">
        <v>24</v>
      </c>
      <c r="H4" s="1" t="s">
        <v>40</v>
      </c>
      <c r="I4" s="1" t="s">
        <v>41</v>
      </c>
      <c r="J4" s="1" t="s">
        <v>27</v>
      </c>
      <c r="K4" s="1" t="s">
        <v>42</v>
      </c>
      <c r="L4" s="1" t="s">
        <v>29</v>
      </c>
      <c r="M4" s="1" t="s">
        <v>43</v>
      </c>
      <c r="N4" s="1" t="s">
        <v>44</v>
      </c>
      <c r="O4">
        <v>957.57749999999999</v>
      </c>
      <c r="P4">
        <v>5</v>
      </c>
      <c r="Q4">
        <v>-383.03100000000001</v>
      </c>
      <c r="R4" s="1" t="s">
        <v>4421</v>
      </c>
      <c r="S4">
        <v>2015</v>
      </c>
      <c r="T4" s="1" t="s">
        <v>45</v>
      </c>
    </row>
    <row r="5" spans="1:20" x14ac:dyDescent="0.25">
      <c r="A5" s="1" t="s">
        <v>46</v>
      </c>
      <c r="B5" s="2">
        <v>41799</v>
      </c>
      <c r="C5" s="2">
        <v>41804</v>
      </c>
      <c r="D5" s="1" t="s">
        <v>37</v>
      </c>
      <c r="E5" s="1" t="s">
        <v>47</v>
      </c>
      <c r="F5" s="1" t="s">
        <v>48</v>
      </c>
      <c r="G5" s="1" t="s">
        <v>24</v>
      </c>
      <c r="H5" s="1" t="s">
        <v>49</v>
      </c>
      <c r="I5" s="1" t="s">
        <v>50</v>
      </c>
      <c r="J5" s="1" t="s">
        <v>51</v>
      </c>
      <c r="K5" s="1" t="s">
        <v>52</v>
      </c>
      <c r="L5" s="1" t="s">
        <v>29</v>
      </c>
      <c r="M5" s="1" t="s">
        <v>53</v>
      </c>
      <c r="N5" s="1" t="s">
        <v>54</v>
      </c>
      <c r="O5">
        <v>48.86</v>
      </c>
      <c r="P5">
        <v>7</v>
      </c>
      <c r="Q5">
        <v>14.1694</v>
      </c>
      <c r="R5" s="1" t="s">
        <v>4422</v>
      </c>
      <c r="S5">
        <v>2014</v>
      </c>
      <c r="T5" s="1" t="s">
        <v>55</v>
      </c>
    </row>
    <row r="6" spans="1:20" x14ac:dyDescent="0.25">
      <c r="A6" s="1" t="s">
        <v>46</v>
      </c>
      <c r="B6" s="2">
        <v>41799</v>
      </c>
      <c r="C6" s="2">
        <v>41804</v>
      </c>
      <c r="D6" s="1" t="s">
        <v>37</v>
      </c>
      <c r="E6" s="1" t="s">
        <v>47</v>
      </c>
      <c r="F6" s="1" t="s">
        <v>48</v>
      </c>
      <c r="G6" s="1" t="s">
        <v>24</v>
      </c>
      <c r="H6" s="1" t="s">
        <v>49</v>
      </c>
      <c r="I6" s="1" t="s">
        <v>50</v>
      </c>
      <c r="J6" s="1" t="s">
        <v>51</v>
      </c>
      <c r="K6" s="1" t="s">
        <v>56</v>
      </c>
      <c r="L6" s="1" t="s">
        <v>29</v>
      </c>
      <c r="M6" s="1" t="s">
        <v>43</v>
      </c>
      <c r="N6" s="1" t="s">
        <v>57</v>
      </c>
      <c r="O6">
        <v>1706.184</v>
      </c>
      <c r="P6">
        <v>9</v>
      </c>
      <c r="Q6">
        <v>85.309200000000004</v>
      </c>
      <c r="R6" s="1" t="s">
        <v>4422</v>
      </c>
      <c r="S6">
        <v>2014</v>
      </c>
      <c r="T6" s="1" t="s">
        <v>55</v>
      </c>
    </row>
    <row r="7" spans="1:20" x14ac:dyDescent="0.25">
      <c r="A7" s="1" t="s">
        <v>58</v>
      </c>
      <c r="B7" s="2">
        <v>42932</v>
      </c>
      <c r="C7" s="2">
        <v>42934</v>
      </c>
      <c r="D7" s="1" t="s">
        <v>21</v>
      </c>
      <c r="E7" s="1" t="s">
        <v>59</v>
      </c>
      <c r="F7" s="1" t="s">
        <v>60</v>
      </c>
      <c r="G7" s="1" t="s">
        <v>24</v>
      </c>
      <c r="H7" s="1" t="s">
        <v>61</v>
      </c>
      <c r="I7" s="1" t="s">
        <v>62</v>
      </c>
      <c r="J7" s="1" t="s">
        <v>63</v>
      </c>
      <c r="K7" s="1" t="s">
        <v>64</v>
      </c>
      <c r="L7" s="1" t="s">
        <v>29</v>
      </c>
      <c r="M7" s="1" t="s">
        <v>34</v>
      </c>
      <c r="N7" s="1" t="s">
        <v>65</v>
      </c>
      <c r="O7">
        <v>71.372</v>
      </c>
      <c r="P7">
        <v>2</v>
      </c>
      <c r="Q7">
        <v>-1.0196000000000001</v>
      </c>
      <c r="R7" s="1" t="s">
        <v>4423</v>
      </c>
      <c r="S7">
        <v>2017</v>
      </c>
      <c r="T7" s="1" t="s">
        <v>66</v>
      </c>
    </row>
    <row r="8" spans="1:20" x14ac:dyDescent="0.25">
      <c r="A8" s="1" t="s">
        <v>67</v>
      </c>
      <c r="B8" s="2">
        <v>42272</v>
      </c>
      <c r="C8" s="2">
        <v>42277</v>
      </c>
      <c r="D8" s="1" t="s">
        <v>37</v>
      </c>
      <c r="E8" s="1" t="s">
        <v>68</v>
      </c>
      <c r="F8" s="1" t="s">
        <v>69</v>
      </c>
      <c r="G8" s="1" t="s">
        <v>24</v>
      </c>
      <c r="H8" s="1" t="s">
        <v>70</v>
      </c>
      <c r="I8" s="1" t="s">
        <v>71</v>
      </c>
      <c r="J8" s="1" t="s">
        <v>51</v>
      </c>
      <c r="K8" s="1" t="s">
        <v>42</v>
      </c>
      <c r="L8" s="1" t="s">
        <v>29</v>
      </c>
      <c r="M8" s="1" t="s">
        <v>43</v>
      </c>
      <c r="N8" s="1" t="s">
        <v>44</v>
      </c>
      <c r="O8">
        <v>1044.6300000000001</v>
      </c>
      <c r="P8">
        <v>3</v>
      </c>
      <c r="Q8">
        <v>240.26490000000001</v>
      </c>
      <c r="R8" s="1" t="s">
        <v>4422</v>
      </c>
      <c r="S8">
        <v>2015</v>
      </c>
      <c r="T8" s="1" t="s">
        <v>72</v>
      </c>
    </row>
    <row r="9" spans="1:20" x14ac:dyDescent="0.25">
      <c r="A9" s="1" t="s">
        <v>73</v>
      </c>
      <c r="B9" s="2">
        <v>42264</v>
      </c>
      <c r="C9" s="2">
        <v>42268</v>
      </c>
      <c r="D9" s="1" t="s">
        <v>37</v>
      </c>
      <c r="E9" s="1" t="s">
        <v>74</v>
      </c>
      <c r="F9" s="1" t="s">
        <v>75</v>
      </c>
      <c r="G9" s="1" t="s">
        <v>24</v>
      </c>
      <c r="H9" s="1" t="s">
        <v>61</v>
      </c>
      <c r="I9" s="1" t="s">
        <v>62</v>
      </c>
      <c r="J9" s="1" t="s">
        <v>63</v>
      </c>
      <c r="K9" s="1" t="s">
        <v>76</v>
      </c>
      <c r="L9" s="1" t="s">
        <v>29</v>
      </c>
      <c r="M9" s="1" t="s">
        <v>30</v>
      </c>
      <c r="N9" s="1" t="s">
        <v>77</v>
      </c>
      <c r="O9">
        <v>3083.43</v>
      </c>
      <c r="P9">
        <v>7</v>
      </c>
      <c r="Q9">
        <v>-1665.0522000000001</v>
      </c>
      <c r="R9" s="1" t="s">
        <v>4424</v>
      </c>
      <c r="S9">
        <v>2015</v>
      </c>
      <c r="T9" s="1" t="s">
        <v>72</v>
      </c>
    </row>
    <row r="10" spans="1:20" x14ac:dyDescent="0.25">
      <c r="A10" s="1" t="s">
        <v>73</v>
      </c>
      <c r="B10" s="2">
        <v>42264</v>
      </c>
      <c r="C10" s="2">
        <v>42268</v>
      </c>
      <c r="D10" s="1" t="s">
        <v>37</v>
      </c>
      <c r="E10" s="1" t="s">
        <v>74</v>
      </c>
      <c r="F10" s="1" t="s">
        <v>75</v>
      </c>
      <c r="G10" s="1" t="s">
        <v>24</v>
      </c>
      <c r="H10" s="1" t="s">
        <v>61</v>
      </c>
      <c r="I10" s="1" t="s">
        <v>62</v>
      </c>
      <c r="J10" s="1" t="s">
        <v>63</v>
      </c>
      <c r="K10" s="1" t="s">
        <v>78</v>
      </c>
      <c r="L10" s="1" t="s">
        <v>29</v>
      </c>
      <c r="M10" s="1" t="s">
        <v>53</v>
      </c>
      <c r="N10" s="1" t="s">
        <v>79</v>
      </c>
      <c r="O10">
        <v>124.2</v>
      </c>
      <c r="P10">
        <v>3</v>
      </c>
      <c r="Q10">
        <v>15.525</v>
      </c>
      <c r="R10" s="1" t="s">
        <v>4424</v>
      </c>
      <c r="S10">
        <v>2015</v>
      </c>
      <c r="T10" s="1" t="s">
        <v>72</v>
      </c>
    </row>
    <row r="11" spans="1:20" x14ac:dyDescent="0.25">
      <c r="A11" s="1" t="s">
        <v>80</v>
      </c>
      <c r="B11" s="2">
        <v>42712</v>
      </c>
      <c r="C11" s="2">
        <v>42714</v>
      </c>
      <c r="D11" s="1" t="s">
        <v>81</v>
      </c>
      <c r="E11" s="1" t="s">
        <v>82</v>
      </c>
      <c r="F11" s="1" t="s">
        <v>83</v>
      </c>
      <c r="G11" s="1" t="s">
        <v>84</v>
      </c>
      <c r="H11" s="1" t="s">
        <v>85</v>
      </c>
      <c r="I11" s="1" t="s">
        <v>86</v>
      </c>
      <c r="J11" s="1" t="s">
        <v>87</v>
      </c>
      <c r="K11" s="1" t="s">
        <v>88</v>
      </c>
      <c r="L11" s="1" t="s">
        <v>29</v>
      </c>
      <c r="M11" s="1" t="s">
        <v>53</v>
      </c>
      <c r="N11" s="1" t="s">
        <v>89</v>
      </c>
      <c r="O11">
        <v>190.92</v>
      </c>
      <c r="P11">
        <v>5</v>
      </c>
      <c r="Q11">
        <v>-147.96299999999999</v>
      </c>
      <c r="R11" s="1" t="s">
        <v>4423</v>
      </c>
      <c r="S11">
        <v>2016</v>
      </c>
      <c r="T11" s="1" t="s">
        <v>90</v>
      </c>
    </row>
    <row r="12" spans="1:20" x14ac:dyDescent="0.25">
      <c r="A12" s="1" t="s">
        <v>91</v>
      </c>
      <c r="B12" s="2">
        <v>42365</v>
      </c>
      <c r="C12" s="2">
        <v>42369</v>
      </c>
      <c r="D12" s="1" t="s">
        <v>37</v>
      </c>
      <c r="E12" s="1" t="s">
        <v>92</v>
      </c>
      <c r="F12" s="1" t="s">
        <v>93</v>
      </c>
      <c r="G12" s="1" t="s">
        <v>94</v>
      </c>
      <c r="H12" s="1" t="s">
        <v>95</v>
      </c>
      <c r="I12" s="1" t="s">
        <v>86</v>
      </c>
      <c r="J12" s="1" t="s">
        <v>87</v>
      </c>
      <c r="K12" s="1" t="s">
        <v>96</v>
      </c>
      <c r="L12" s="1" t="s">
        <v>29</v>
      </c>
      <c r="M12" s="1" t="s">
        <v>30</v>
      </c>
      <c r="N12" s="1" t="s">
        <v>97</v>
      </c>
      <c r="O12">
        <v>532.39919999999995</v>
      </c>
      <c r="P12">
        <v>3</v>
      </c>
      <c r="Q12">
        <v>-46.976399999999998</v>
      </c>
      <c r="R12" s="1" t="s">
        <v>4424</v>
      </c>
      <c r="S12">
        <v>2015</v>
      </c>
      <c r="T12" s="1" t="s">
        <v>90</v>
      </c>
    </row>
    <row r="13" spans="1:20" x14ac:dyDescent="0.25">
      <c r="A13" s="1" t="s">
        <v>91</v>
      </c>
      <c r="B13" s="2">
        <v>42365</v>
      </c>
      <c r="C13" s="2">
        <v>42369</v>
      </c>
      <c r="D13" s="1" t="s">
        <v>37</v>
      </c>
      <c r="E13" s="1" t="s">
        <v>92</v>
      </c>
      <c r="F13" s="1" t="s">
        <v>93</v>
      </c>
      <c r="G13" s="1" t="s">
        <v>94</v>
      </c>
      <c r="H13" s="1" t="s">
        <v>95</v>
      </c>
      <c r="I13" s="1" t="s">
        <v>86</v>
      </c>
      <c r="J13" s="1" t="s">
        <v>87</v>
      </c>
      <c r="K13" s="1" t="s">
        <v>98</v>
      </c>
      <c r="L13" s="1" t="s">
        <v>29</v>
      </c>
      <c r="M13" s="1" t="s">
        <v>34</v>
      </c>
      <c r="N13" s="1" t="s">
        <v>99</v>
      </c>
      <c r="O13">
        <v>212.05799999999999</v>
      </c>
      <c r="P13">
        <v>3</v>
      </c>
      <c r="Q13">
        <v>-15.147</v>
      </c>
      <c r="R13" s="1" t="s">
        <v>4424</v>
      </c>
      <c r="S13">
        <v>2015</v>
      </c>
      <c r="T13" s="1" t="s">
        <v>90</v>
      </c>
    </row>
    <row r="14" spans="1:20" x14ac:dyDescent="0.25">
      <c r="A14" s="1" t="s">
        <v>100</v>
      </c>
      <c r="B14" s="2">
        <v>42112</v>
      </c>
      <c r="C14" s="2">
        <v>42116</v>
      </c>
      <c r="D14" s="1" t="s">
        <v>37</v>
      </c>
      <c r="E14" s="1" t="s">
        <v>101</v>
      </c>
      <c r="F14" s="1" t="s">
        <v>102</v>
      </c>
      <c r="G14" s="1" t="s">
        <v>24</v>
      </c>
      <c r="H14" s="1" t="s">
        <v>103</v>
      </c>
      <c r="I14" s="1" t="s">
        <v>104</v>
      </c>
      <c r="J14" s="1" t="s">
        <v>87</v>
      </c>
      <c r="K14" s="1" t="s">
        <v>105</v>
      </c>
      <c r="L14" s="1" t="s">
        <v>29</v>
      </c>
      <c r="M14" s="1" t="s">
        <v>53</v>
      </c>
      <c r="N14" s="1" t="s">
        <v>106</v>
      </c>
      <c r="O14">
        <v>6.16</v>
      </c>
      <c r="P14">
        <v>2</v>
      </c>
      <c r="Q14">
        <v>2.9567999999999999</v>
      </c>
      <c r="R14" s="1" t="s">
        <v>4424</v>
      </c>
      <c r="S14">
        <v>2015</v>
      </c>
      <c r="T14" s="1" t="s">
        <v>107</v>
      </c>
    </row>
    <row r="15" spans="1:20" x14ac:dyDescent="0.25">
      <c r="A15" s="1" t="s">
        <v>100</v>
      </c>
      <c r="B15" s="2">
        <v>42112</v>
      </c>
      <c r="C15" s="2">
        <v>42116</v>
      </c>
      <c r="D15" s="1" t="s">
        <v>37</v>
      </c>
      <c r="E15" s="1" t="s">
        <v>101</v>
      </c>
      <c r="F15" s="1" t="s">
        <v>102</v>
      </c>
      <c r="G15" s="1" t="s">
        <v>24</v>
      </c>
      <c r="H15" s="1" t="s">
        <v>103</v>
      </c>
      <c r="I15" s="1" t="s">
        <v>104</v>
      </c>
      <c r="J15" s="1" t="s">
        <v>87</v>
      </c>
      <c r="K15" s="1" t="s">
        <v>108</v>
      </c>
      <c r="L15" s="1" t="s">
        <v>29</v>
      </c>
      <c r="M15" s="1" t="s">
        <v>34</v>
      </c>
      <c r="N15" s="1" t="s">
        <v>109</v>
      </c>
      <c r="O15">
        <v>89.99</v>
      </c>
      <c r="P15">
        <v>1</v>
      </c>
      <c r="Q15">
        <v>17.098099999999999</v>
      </c>
      <c r="R15" s="1" t="s">
        <v>4424</v>
      </c>
      <c r="S15">
        <v>2015</v>
      </c>
      <c r="T15" s="1" t="s">
        <v>107</v>
      </c>
    </row>
    <row r="16" spans="1:20" x14ac:dyDescent="0.25">
      <c r="A16" s="1" t="s">
        <v>110</v>
      </c>
      <c r="B16" s="2">
        <v>42538</v>
      </c>
      <c r="C16" s="2">
        <v>42539</v>
      </c>
      <c r="D16" s="1" t="s">
        <v>81</v>
      </c>
      <c r="E16" s="1" t="s">
        <v>111</v>
      </c>
      <c r="F16" s="1" t="s">
        <v>112</v>
      </c>
      <c r="G16" s="1" t="s">
        <v>24</v>
      </c>
      <c r="H16" s="1" t="s">
        <v>113</v>
      </c>
      <c r="I16" s="1" t="s">
        <v>114</v>
      </c>
      <c r="J16" s="1" t="s">
        <v>63</v>
      </c>
      <c r="K16" s="1" t="s">
        <v>115</v>
      </c>
      <c r="L16" s="1" t="s">
        <v>29</v>
      </c>
      <c r="M16" s="1" t="s">
        <v>34</v>
      </c>
      <c r="N16" s="1" t="s">
        <v>116</v>
      </c>
      <c r="O16">
        <v>319.41000000000003</v>
      </c>
      <c r="P16">
        <v>5</v>
      </c>
      <c r="Q16">
        <v>7.0979999999999999</v>
      </c>
      <c r="R16" s="1" t="s">
        <v>4425</v>
      </c>
      <c r="S16">
        <v>2016</v>
      </c>
      <c r="T16" s="1" t="s">
        <v>55</v>
      </c>
    </row>
    <row r="17" spans="1:20" x14ac:dyDescent="0.25">
      <c r="A17" s="1" t="s">
        <v>117</v>
      </c>
      <c r="B17" s="2">
        <v>42332</v>
      </c>
      <c r="C17" s="2">
        <v>42338</v>
      </c>
      <c r="D17" s="1" t="s">
        <v>37</v>
      </c>
      <c r="E17" s="1" t="s">
        <v>118</v>
      </c>
      <c r="F17" s="1" t="s">
        <v>119</v>
      </c>
      <c r="G17" s="1" t="s">
        <v>24</v>
      </c>
      <c r="H17" s="1" t="s">
        <v>49</v>
      </c>
      <c r="I17" s="1" t="s">
        <v>50</v>
      </c>
      <c r="J17" s="1" t="s">
        <v>51</v>
      </c>
      <c r="K17" s="1" t="s">
        <v>120</v>
      </c>
      <c r="L17" s="1" t="s">
        <v>29</v>
      </c>
      <c r="M17" s="1" t="s">
        <v>53</v>
      </c>
      <c r="N17" s="1" t="s">
        <v>121</v>
      </c>
      <c r="O17">
        <v>79.760000000000005</v>
      </c>
      <c r="P17">
        <v>4</v>
      </c>
      <c r="Q17">
        <v>22.332799999999999</v>
      </c>
      <c r="R17" s="1" t="s">
        <v>4426</v>
      </c>
      <c r="S17">
        <v>2015</v>
      </c>
      <c r="T17" s="1" t="s">
        <v>32</v>
      </c>
    </row>
    <row r="18" spans="1:20" x14ac:dyDescent="0.25">
      <c r="A18" s="1" t="s">
        <v>122</v>
      </c>
      <c r="B18" s="2">
        <v>42124</v>
      </c>
      <c r="C18" s="2">
        <v>42129</v>
      </c>
      <c r="D18" s="1" t="s">
        <v>37</v>
      </c>
      <c r="E18" s="1" t="s">
        <v>123</v>
      </c>
      <c r="F18" s="1" t="s">
        <v>124</v>
      </c>
      <c r="G18" s="1" t="s">
        <v>94</v>
      </c>
      <c r="H18" s="1" t="s">
        <v>125</v>
      </c>
      <c r="I18" s="1" t="s">
        <v>126</v>
      </c>
      <c r="J18" s="1" t="s">
        <v>87</v>
      </c>
      <c r="K18" s="1" t="s">
        <v>127</v>
      </c>
      <c r="L18" s="1" t="s">
        <v>29</v>
      </c>
      <c r="M18" s="1" t="s">
        <v>34</v>
      </c>
      <c r="N18" s="1" t="s">
        <v>128</v>
      </c>
      <c r="O18">
        <v>213.11500000000001</v>
      </c>
      <c r="P18">
        <v>5</v>
      </c>
      <c r="Q18">
        <v>-15.2225</v>
      </c>
      <c r="R18" s="1" t="s">
        <v>4422</v>
      </c>
      <c r="S18">
        <v>2015</v>
      </c>
      <c r="T18" s="1" t="s">
        <v>107</v>
      </c>
    </row>
    <row r="19" spans="1:20" x14ac:dyDescent="0.25">
      <c r="A19" s="1" t="s">
        <v>129</v>
      </c>
      <c r="B19" s="2">
        <v>42120</v>
      </c>
      <c r="C19" s="2">
        <v>42126</v>
      </c>
      <c r="D19" s="1" t="s">
        <v>37</v>
      </c>
      <c r="E19" s="1" t="s">
        <v>130</v>
      </c>
      <c r="F19" s="1" t="s">
        <v>131</v>
      </c>
      <c r="G19" s="1" t="s">
        <v>24</v>
      </c>
      <c r="H19" s="1" t="s">
        <v>132</v>
      </c>
      <c r="I19" s="1" t="s">
        <v>133</v>
      </c>
      <c r="J19" s="1" t="s">
        <v>27</v>
      </c>
      <c r="K19" s="1" t="s">
        <v>134</v>
      </c>
      <c r="L19" s="1" t="s">
        <v>29</v>
      </c>
      <c r="M19" s="1" t="s">
        <v>34</v>
      </c>
      <c r="N19" s="1" t="s">
        <v>135</v>
      </c>
      <c r="O19">
        <v>831.93600000000004</v>
      </c>
      <c r="P19">
        <v>8</v>
      </c>
      <c r="Q19">
        <v>-114.3912</v>
      </c>
      <c r="R19" s="1" t="s">
        <v>4426</v>
      </c>
      <c r="S19">
        <v>2015</v>
      </c>
      <c r="T19" s="1" t="s">
        <v>107</v>
      </c>
    </row>
    <row r="20" spans="1:20" x14ac:dyDescent="0.25">
      <c r="A20" s="1" t="s">
        <v>129</v>
      </c>
      <c r="B20" s="2">
        <v>42120</v>
      </c>
      <c r="C20" s="2">
        <v>42126</v>
      </c>
      <c r="D20" s="1" t="s">
        <v>37</v>
      </c>
      <c r="E20" s="1" t="s">
        <v>130</v>
      </c>
      <c r="F20" s="1" t="s">
        <v>131</v>
      </c>
      <c r="G20" s="1" t="s">
        <v>24</v>
      </c>
      <c r="H20" s="1" t="s">
        <v>132</v>
      </c>
      <c r="I20" s="1" t="s">
        <v>133</v>
      </c>
      <c r="J20" s="1" t="s">
        <v>27</v>
      </c>
      <c r="K20" s="1" t="s">
        <v>136</v>
      </c>
      <c r="L20" s="1" t="s">
        <v>29</v>
      </c>
      <c r="M20" s="1" t="s">
        <v>53</v>
      </c>
      <c r="N20" s="1" t="s">
        <v>137</v>
      </c>
      <c r="O20">
        <v>97.04</v>
      </c>
      <c r="P20">
        <v>2</v>
      </c>
      <c r="Q20">
        <v>1.2130000000000001</v>
      </c>
      <c r="R20" s="1" t="s">
        <v>4426</v>
      </c>
      <c r="S20">
        <v>2015</v>
      </c>
      <c r="T20" s="1" t="s">
        <v>107</v>
      </c>
    </row>
    <row r="21" spans="1:20" x14ac:dyDescent="0.25">
      <c r="A21" s="1" t="s">
        <v>138</v>
      </c>
      <c r="B21" s="2">
        <v>43078</v>
      </c>
      <c r="C21" s="2">
        <v>43080</v>
      </c>
      <c r="D21" s="1" t="s">
        <v>81</v>
      </c>
      <c r="E21" s="1" t="s">
        <v>139</v>
      </c>
      <c r="F21" s="1" t="s">
        <v>140</v>
      </c>
      <c r="G21" s="1" t="s">
        <v>84</v>
      </c>
      <c r="H21" s="1" t="s">
        <v>95</v>
      </c>
      <c r="I21" s="1" t="s">
        <v>86</v>
      </c>
      <c r="J21" s="1" t="s">
        <v>87</v>
      </c>
      <c r="K21" s="1" t="s">
        <v>141</v>
      </c>
      <c r="L21" s="1" t="s">
        <v>29</v>
      </c>
      <c r="M21" s="1" t="s">
        <v>53</v>
      </c>
      <c r="N21" s="1" t="s">
        <v>142</v>
      </c>
      <c r="O21">
        <v>9.7080000000000002</v>
      </c>
      <c r="P21">
        <v>3</v>
      </c>
      <c r="Q21">
        <v>-5.8247999999999998</v>
      </c>
      <c r="R21" s="1" t="s">
        <v>4423</v>
      </c>
      <c r="S21">
        <v>2017</v>
      </c>
      <c r="T21" s="1" t="s">
        <v>90</v>
      </c>
    </row>
    <row r="22" spans="1:20" x14ac:dyDescent="0.25">
      <c r="A22" s="1" t="s">
        <v>143</v>
      </c>
      <c r="B22" s="2">
        <v>41969</v>
      </c>
      <c r="C22" s="2">
        <v>41974</v>
      </c>
      <c r="D22" s="1" t="s">
        <v>21</v>
      </c>
      <c r="E22" s="1" t="s">
        <v>130</v>
      </c>
      <c r="F22" s="1" t="s">
        <v>131</v>
      </c>
      <c r="G22" s="1" t="s">
        <v>24</v>
      </c>
      <c r="H22" s="1" t="s">
        <v>95</v>
      </c>
      <c r="I22" s="1" t="s">
        <v>86</v>
      </c>
      <c r="J22" s="1" t="s">
        <v>87</v>
      </c>
      <c r="K22" s="1" t="s">
        <v>144</v>
      </c>
      <c r="L22" s="1" t="s">
        <v>29</v>
      </c>
      <c r="M22" s="1" t="s">
        <v>53</v>
      </c>
      <c r="N22" s="1" t="s">
        <v>145</v>
      </c>
      <c r="O22">
        <v>19.3</v>
      </c>
      <c r="P22">
        <v>5</v>
      </c>
      <c r="Q22">
        <v>-14.475</v>
      </c>
      <c r="R22" s="1" t="s">
        <v>4422</v>
      </c>
      <c r="S22">
        <v>2014</v>
      </c>
      <c r="T22" s="1" t="s">
        <v>32</v>
      </c>
    </row>
    <row r="23" spans="1:20" x14ac:dyDescent="0.25">
      <c r="A23" s="1" t="s">
        <v>146</v>
      </c>
      <c r="B23" s="2">
        <v>42883</v>
      </c>
      <c r="C23" s="2">
        <v>42885</v>
      </c>
      <c r="D23" s="1" t="s">
        <v>21</v>
      </c>
      <c r="E23" s="1" t="s">
        <v>147</v>
      </c>
      <c r="F23" s="1" t="s">
        <v>148</v>
      </c>
      <c r="G23" s="1" t="s">
        <v>24</v>
      </c>
      <c r="H23" s="1" t="s">
        <v>149</v>
      </c>
      <c r="I23" s="1" t="s">
        <v>150</v>
      </c>
      <c r="J23" s="1" t="s">
        <v>27</v>
      </c>
      <c r="K23" s="1" t="s">
        <v>151</v>
      </c>
      <c r="L23" s="1" t="s">
        <v>29</v>
      </c>
      <c r="M23" s="1" t="s">
        <v>34</v>
      </c>
      <c r="N23" s="1" t="s">
        <v>152</v>
      </c>
      <c r="O23">
        <v>301.95999999999998</v>
      </c>
      <c r="P23">
        <v>2</v>
      </c>
      <c r="Q23">
        <v>33.215600000000002</v>
      </c>
      <c r="R23" s="1" t="s">
        <v>4423</v>
      </c>
      <c r="S23">
        <v>2017</v>
      </c>
      <c r="T23" s="1" t="s">
        <v>153</v>
      </c>
    </row>
    <row r="24" spans="1:20" x14ac:dyDescent="0.25">
      <c r="A24" s="1" t="s">
        <v>154</v>
      </c>
      <c r="B24" s="2">
        <v>42035</v>
      </c>
      <c r="C24" s="2">
        <v>42040</v>
      </c>
      <c r="D24" s="1" t="s">
        <v>21</v>
      </c>
      <c r="E24" s="1" t="s">
        <v>155</v>
      </c>
      <c r="F24" s="1" t="s">
        <v>156</v>
      </c>
      <c r="G24" s="1" t="s">
        <v>24</v>
      </c>
      <c r="H24" s="1" t="s">
        <v>157</v>
      </c>
      <c r="I24" s="1" t="s">
        <v>158</v>
      </c>
      <c r="J24" s="1" t="s">
        <v>87</v>
      </c>
      <c r="K24" s="1" t="s">
        <v>159</v>
      </c>
      <c r="L24" s="1" t="s">
        <v>29</v>
      </c>
      <c r="M24" s="1" t="s">
        <v>53</v>
      </c>
      <c r="N24" s="1" t="s">
        <v>160</v>
      </c>
      <c r="O24">
        <v>53.34</v>
      </c>
      <c r="P24">
        <v>3</v>
      </c>
      <c r="Q24">
        <v>16.535399999999999</v>
      </c>
      <c r="R24" s="1" t="s">
        <v>4422</v>
      </c>
      <c r="S24">
        <v>2015</v>
      </c>
      <c r="T24" s="1" t="s">
        <v>161</v>
      </c>
    </row>
    <row r="25" spans="1:20" x14ac:dyDescent="0.25">
      <c r="A25" s="1" t="s">
        <v>162</v>
      </c>
      <c r="B25" s="2">
        <v>43048</v>
      </c>
      <c r="C25" s="2">
        <v>43050</v>
      </c>
      <c r="D25" s="1" t="s">
        <v>21</v>
      </c>
      <c r="E25" s="1" t="s">
        <v>163</v>
      </c>
      <c r="F25" s="1" t="s">
        <v>164</v>
      </c>
      <c r="G25" s="1" t="s">
        <v>94</v>
      </c>
      <c r="H25" s="1" t="s">
        <v>165</v>
      </c>
      <c r="I25" s="1" t="s">
        <v>114</v>
      </c>
      <c r="J25" s="1" t="s">
        <v>63</v>
      </c>
      <c r="K25" s="1" t="s">
        <v>166</v>
      </c>
      <c r="L25" s="1" t="s">
        <v>29</v>
      </c>
      <c r="M25" s="1" t="s">
        <v>53</v>
      </c>
      <c r="N25" s="1" t="s">
        <v>167</v>
      </c>
      <c r="O25">
        <v>96.53</v>
      </c>
      <c r="P25">
        <v>7</v>
      </c>
      <c r="Q25">
        <v>40.5426</v>
      </c>
      <c r="R25" s="1" t="s">
        <v>4423</v>
      </c>
      <c r="S25">
        <v>2017</v>
      </c>
      <c r="T25" s="1" t="s">
        <v>32</v>
      </c>
    </row>
    <row r="26" spans="1:20" x14ac:dyDescent="0.25">
      <c r="A26" s="1" t="s">
        <v>168</v>
      </c>
      <c r="B26" s="2">
        <v>42321</v>
      </c>
      <c r="C26" s="2">
        <v>42325</v>
      </c>
      <c r="D26" s="1" t="s">
        <v>37</v>
      </c>
      <c r="E26" s="1" t="s">
        <v>169</v>
      </c>
      <c r="F26" s="1" t="s">
        <v>170</v>
      </c>
      <c r="G26" s="1" t="s">
        <v>24</v>
      </c>
      <c r="H26" s="1" t="s">
        <v>171</v>
      </c>
      <c r="I26" s="1" t="s">
        <v>172</v>
      </c>
      <c r="J26" s="1" t="s">
        <v>51</v>
      </c>
      <c r="K26" s="1" t="s">
        <v>173</v>
      </c>
      <c r="L26" s="1" t="s">
        <v>29</v>
      </c>
      <c r="M26" s="1" t="s">
        <v>53</v>
      </c>
      <c r="N26" s="1" t="s">
        <v>174</v>
      </c>
      <c r="O26">
        <v>102.36</v>
      </c>
      <c r="P26">
        <v>3</v>
      </c>
      <c r="Q26">
        <v>-3.8384999999999998</v>
      </c>
      <c r="R26" s="1" t="s">
        <v>4424</v>
      </c>
      <c r="S26">
        <v>2015</v>
      </c>
      <c r="T26" s="1" t="s">
        <v>32</v>
      </c>
    </row>
    <row r="27" spans="1:20" x14ac:dyDescent="0.25">
      <c r="A27" s="1" t="s">
        <v>175</v>
      </c>
      <c r="B27" s="2">
        <v>43094</v>
      </c>
      <c r="C27" s="2">
        <v>43099</v>
      </c>
      <c r="D27" s="1" t="s">
        <v>37</v>
      </c>
      <c r="E27" s="1" t="s">
        <v>176</v>
      </c>
      <c r="F27" s="1" t="s">
        <v>177</v>
      </c>
      <c r="G27" s="1" t="s">
        <v>84</v>
      </c>
      <c r="H27" s="1" t="s">
        <v>165</v>
      </c>
      <c r="I27" s="1" t="s">
        <v>114</v>
      </c>
      <c r="J27" s="1" t="s">
        <v>63</v>
      </c>
      <c r="K27" s="1" t="s">
        <v>178</v>
      </c>
      <c r="L27" s="1" t="s">
        <v>29</v>
      </c>
      <c r="M27" s="1" t="s">
        <v>53</v>
      </c>
      <c r="N27" s="1" t="s">
        <v>179</v>
      </c>
      <c r="O27">
        <v>41.96</v>
      </c>
      <c r="P27">
        <v>2</v>
      </c>
      <c r="Q27">
        <v>10.909599999999999</v>
      </c>
      <c r="R27" s="1" t="s">
        <v>4422</v>
      </c>
      <c r="S27">
        <v>2017</v>
      </c>
      <c r="T27" s="1" t="s">
        <v>90</v>
      </c>
    </row>
    <row r="28" spans="1:20" x14ac:dyDescent="0.25">
      <c r="A28" s="1" t="s">
        <v>180</v>
      </c>
      <c r="B28" s="2">
        <v>42065</v>
      </c>
      <c r="C28" s="2">
        <v>42069</v>
      </c>
      <c r="D28" s="1" t="s">
        <v>37</v>
      </c>
      <c r="E28" s="1" t="s">
        <v>181</v>
      </c>
      <c r="F28" s="1" t="s">
        <v>182</v>
      </c>
      <c r="G28" s="1" t="s">
        <v>24</v>
      </c>
      <c r="H28" s="1" t="s">
        <v>183</v>
      </c>
      <c r="I28" s="1" t="s">
        <v>184</v>
      </c>
      <c r="J28" s="1" t="s">
        <v>51</v>
      </c>
      <c r="K28" s="1" t="s">
        <v>185</v>
      </c>
      <c r="L28" s="1" t="s">
        <v>29</v>
      </c>
      <c r="M28" s="1" t="s">
        <v>43</v>
      </c>
      <c r="N28" s="1" t="s">
        <v>186</v>
      </c>
      <c r="O28">
        <v>787.53</v>
      </c>
      <c r="P28">
        <v>3</v>
      </c>
      <c r="Q28">
        <v>165.38130000000001</v>
      </c>
      <c r="R28" s="1" t="s">
        <v>4424</v>
      </c>
      <c r="S28">
        <v>2015</v>
      </c>
      <c r="T28" s="1" t="s">
        <v>187</v>
      </c>
    </row>
    <row r="29" spans="1:20" x14ac:dyDescent="0.25">
      <c r="A29" s="1" t="s">
        <v>188</v>
      </c>
      <c r="B29" s="2">
        <v>42533</v>
      </c>
      <c r="C29" s="2">
        <v>42536</v>
      </c>
      <c r="D29" s="1" t="s">
        <v>81</v>
      </c>
      <c r="E29" s="1" t="s">
        <v>189</v>
      </c>
      <c r="F29" s="1" t="s">
        <v>190</v>
      </c>
      <c r="G29" s="1" t="s">
        <v>24</v>
      </c>
      <c r="H29" s="1" t="s">
        <v>191</v>
      </c>
      <c r="I29" s="1" t="s">
        <v>192</v>
      </c>
      <c r="J29" s="1" t="s">
        <v>63</v>
      </c>
      <c r="K29" s="1" t="s">
        <v>193</v>
      </c>
      <c r="L29" s="1" t="s">
        <v>29</v>
      </c>
      <c r="M29" s="1" t="s">
        <v>53</v>
      </c>
      <c r="N29" s="1" t="s">
        <v>194</v>
      </c>
      <c r="O29">
        <v>47.04</v>
      </c>
      <c r="P29">
        <v>3</v>
      </c>
      <c r="Q29">
        <v>18.345600000000001</v>
      </c>
      <c r="R29" s="1" t="s">
        <v>4420</v>
      </c>
      <c r="S29">
        <v>2016</v>
      </c>
      <c r="T29" s="1" t="s">
        <v>55</v>
      </c>
    </row>
    <row r="30" spans="1:20" x14ac:dyDescent="0.25">
      <c r="A30" s="1" t="s">
        <v>195</v>
      </c>
      <c r="B30" s="2">
        <v>41999</v>
      </c>
      <c r="C30" s="2">
        <v>42001</v>
      </c>
      <c r="D30" s="1" t="s">
        <v>21</v>
      </c>
      <c r="E30" s="1" t="s">
        <v>196</v>
      </c>
      <c r="F30" s="1" t="s">
        <v>197</v>
      </c>
      <c r="G30" s="1" t="s">
        <v>94</v>
      </c>
      <c r="H30" s="1" t="s">
        <v>95</v>
      </c>
      <c r="I30" s="1" t="s">
        <v>86</v>
      </c>
      <c r="J30" s="1" t="s">
        <v>87</v>
      </c>
      <c r="K30" s="1" t="s">
        <v>198</v>
      </c>
      <c r="L30" s="1" t="s">
        <v>29</v>
      </c>
      <c r="M30" s="1" t="s">
        <v>34</v>
      </c>
      <c r="N30" s="1" t="s">
        <v>199</v>
      </c>
      <c r="O30">
        <v>600.55799999999999</v>
      </c>
      <c r="P30">
        <v>3</v>
      </c>
      <c r="Q30">
        <v>-8.5793999999999997</v>
      </c>
      <c r="R30" s="1" t="s">
        <v>4423</v>
      </c>
      <c r="S30">
        <v>2014</v>
      </c>
      <c r="T30" s="1" t="s">
        <v>90</v>
      </c>
    </row>
    <row r="31" spans="1:20" x14ac:dyDescent="0.25">
      <c r="A31" s="1" t="s">
        <v>200</v>
      </c>
      <c r="B31" s="2">
        <v>41902</v>
      </c>
      <c r="C31" s="2">
        <v>41907</v>
      </c>
      <c r="D31" s="1" t="s">
        <v>37</v>
      </c>
      <c r="E31" s="1" t="s">
        <v>201</v>
      </c>
      <c r="F31" s="1" t="s">
        <v>202</v>
      </c>
      <c r="G31" s="1" t="s">
        <v>24</v>
      </c>
      <c r="H31" s="1" t="s">
        <v>203</v>
      </c>
      <c r="I31" s="1" t="s">
        <v>126</v>
      </c>
      <c r="J31" s="1" t="s">
        <v>87</v>
      </c>
      <c r="K31" s="1" t="s">
        <v>204</v>
      </c>
      <c r="L31" s="1" t="s">
        <v>29</v>
      </c>
      <c r="M31" s="1" t="s">
        <v>43</v>
      </c>
      <c r="N31" s="1" t="s">
        <v>205</v>
      </c>
      <c r="O31">
        <v>617.70000000000005</v>
      </c>
      <c r="P31">
        <v>6</v>
      </c>
      <c r="Q31">
        <v>-407.68200000000002</v>
      </c>
      <c r="R31" s="1" t="s">
        <v>4422</v>
      </c>
      <c r="S31">
        <v>2014</v>
      </c>
      <c r="T31" s="1" t="s">
        <v>72</v>
      </c>
    </row>
    <row r="32" spans="1:20" x14ac:dyDescent="0.25">
      <c r="A32" s="1" t="s">
        <v>206</v>
      </c>
      <c r="B32" s="2">
        <v>42680</v>
      </c>
      <c r="C32" s="2">
        <v>42684</v>
      </c>
      <c r="D32" s="1" t="s">
        <v>21</v>
      </c>
      <c r="E32" s="1" t="s">
        <v>207</v>
      </c>
      <c r="F32" s="1" t="s">
        <v>208</v>
      </c>
      <c r="G32" s="1" t="s">
        <v>94</v>
      </c>
      <c r="H32" s="1" t="s">
        <v>49</v>
      </c>
      <c r="I32" s="1" t="s">
        <v>50</v>
      </c>
      <c r="J32" s="1" t="s">
        <v>51</v>
      </c>
      <c r="K32" s="1" t="s">
        <v>127</v>
      </c>
      <c r="L32" s="1" t="s">
        <v>29</v>
      </c>
      <c r="M32" s="1" t="s">
        <v>34</v>
      </c>
      <c r="N32" s="1" t="s">
        <v>209</v>
      </c>
      <c r="O32">
        <v>81.424000000000007</v>
      </c>
      <c r="P32">
        <v>2</v>
      </c>
      <c r="Q32">
        <v>-9.1601999999999997</v>
      </c>
      <c r="R32" s="1" t="s">
        <v>4424</v>
      </c>
      <c r="S32">
        <v>2016</v>
      </c>
      <c r="T32" s="1" t="s">
        <v>32</v>
      </c>
    </row>
    <row r="33" spans="1:20" x14ac:dyDescent="0.25">
      <c r="A33" s="1" t="s">
        <v>206</v>
      </c>
      <c r="B33" s="2">
        <v>42680</v>
      </c>
      <c r="C33" s="2">
        <v>42684</v>
      </c>
      <c r="D33" s="1" t="s">
        <v>21</v>
      </c>
      <c r="E33" s="1" t="s">
        <v>207</v>
      </c>
      <c r="F33" s="1" t="s">
        <v>208</v>
      </c>
      <c r="G33" s="1" t="s">
        <v>94</v>
      </c>
      <c r="H33" s="1" t="s">
        <v>49</v>
      </c>
      <c r="I33" s="1" t="s">
        <v>50</v>
      </c>
      <c r="J33" s="1" t="s">
        <v>51</v>
      </c>
      <c r="K33" s="1" t="s">
        <v>210</v>
      </c>
      <c r="L33" s="1" t="s">
        <v>29</v>
      </c>
      <c r="M33" s="1" t="s">
        <v>53</v>
      </c>
      <c r="N33" s="1" t="s">
        <v>211</v>
      </c>
      <c r="O33">
        <v>238.56</v>
      </c>
      <c r="P33">
        <v>3</v>
      </c>
      <c r="Q33">
        <v>26.241599999999998</v>
      </c>
      <c r="R33" s="1" t="s">
        <v>4424</v>
      </c>
      <c r="S33">
        <v>2016</v>
      </c>
      <c r="T33" s="1" t="s">
        <v>32</v>
      </c>
    </row>
    <row r="34" spans="1:20" x14ac:dyDescent="0.25">
      <c r="A34" s="1" t="s">
        <v>212</v>
      </c>
      <c r="B34" s="2">
        <v>42656</v>
      </c>
      <c r="C34" s="2">
        <v>42662</v>
      </c>
      <c r="D34" s="1" t="s">
        <v>37</v>
      </c>
      <c r="E34" s="1" t="s">
        <v>213</v>
      </c>
      <c r="F34" s="1" t="s">
        <v>214</v>
      </c>
      <c r="G34" s="1" t="s">
        <v>24</v>
      </c>
      <c r="H34" s="1" t="s">
        <v>215</v>
      </c>
      <c r="I34" s="1" t="s">
        <v>50</v>
      </c>
      <c r="J34" s="1" t="s">
        <v>51</v>
      </c>
      <c r="K34" s="1" t="s">
        <v>105</v>
      </c>
      <c r="L34" s="1" t="s">
        <v>29</v>
      </c>
      <c r="M34" s="1" t="s">
        <v>53</v>
      </c>
      <c r="N34" s="1" t="s">
        <v>106</v>
      </c>
      <c r="O34">
        <v>43.12</v>
      </c>
      <c r="P34">
        <v>14</v>
      </c>
      <c r="Q34">
        <v>20.697600000000001</v>
      </c>
      <c r="R34" s="1" t="s">
        <v>4426</v>
      </c>
      <c r="S34">
        <v>2016</v>
      </c>
      <c r="T34" s="1" t="s">
        <v>45</v>
      </c>
    </row>
    <row r="35" spans="1:20" x14ac:dyDescent="0.25">
      <c r="A35" s="1" t="s">
        <v>216</v>
      </c>
      <c r="B35" s="2">
        <v>42618</v>
      </c>
      <c r="C35" s="2">
        <v>42620</v>
      </c>
      <c r="D35" s="1" t="s">
        <v>21</v>
      </c>
      <c r="E35" s="1" t="s">
        <v>217</v>
      </c>
      <c r="F35" s="1" t="s">
        <v>218</v>
      </c>
      <c r="G35" s="1" t="s">
        <v>84</v>
      </c>
      <c r="H35" s="1" t="s">
        <v>61</v>
      </c>
      <c r="I35" s="1" t="s">
        <v>62</v>
      </c>
      <c r="J35" s="1" t="s">
        <v>63</v>
      </c>
      <c r="K35" s="1" t="s">
        <v>78</v>
      </c>
      <c r="L35" s="1" t="s">
        <v>29</v>
      </c>
      <c r="M35" s="1" t="s">
        <v>53</v>
      </c>
      <c r="N35" s="1" t="s">
        <v>79</v>
      </c>
      <c r="O35">
        <v>82.8</v>
      </c>
      <c r="P35">
        <v>2</v>
      </c>
      <c r="Q35">
        <v>10.35</v>
      </c>
      <c r="R35" s="1" t="s">
        <v>4423</v>
      </c>
      <c r="S35">
        <v>2016</v>
      </c>
      <c r="T35" s="1" t="s">
        <v>72</v>
      </c>
    </row>
    <row r="36" spans="1:20" x14ac:dyDescent="0.25">
      <c r="A36" s="1" t="s">
        <v>219</v>
      </c>
      <c r="B36" s="2">
        <v>41934</v>
      </c>
      <c r="C36" s="2">
        <v>41940</v>
      </c>
      <c r="D36" s="1" t="s">
        <v>37</v>
      </c>
      <c r="E36" s="1" t="s">
        <v>220</v>
      </c>
      <c r="F36" s="1" t="s">
        <v>221</v>
      </c>
      <c r="G36" s="1" t="s">
        <v>94</v>
      </c>
      <c r="H36" s="1" t="s">
        <v>222</v>
      </c>
      <c r="I36" s="1" t="s">
        <v>223</v>
      </c>
      <c r="J36" s="1" t="s">
        <v>63</v>
      </c>
      <c r="K36" s="1" t="s">
        <v>224</v>
      </c>
      <c r="L36" s="1" t="s">
        <v>29</v>
      </c>
      <c r="M36" s="1" t="s">
        <v>53</v>
      </c>
      <c r="N36" s="1" t="s">
        <v>225</v>
      </c>
      <c r="O36">
        <v>93.888000000000005</v>
      </c>
      <c r="P36">
        <v>4</v>
      </c>
      <c r="Q36">
        <v>12.909599999999999</v>
      </c>
      <c r="R36" s="1" t="s">
        <v>4426</v>
      </c>
      <c r="S36">
        <v>2014</v>
      </c>
      <c r="T36" s="1" t="s">
        <v>45</v>
      </c>
    </row>
    <row r="37" spans="1:20" x14ac:dyDescent="0.25">
      <c r="A37" s="1" t="s">
        <v>226</v>
      </c>
      <c r="B37" s="2">
        <v>42709</v>
      </c>
      <c r="C37" s="2">
        <v>42713</v>
      </c>
      <c r="D37" s="1" t="s">
        <v>37</v>
      </c>
      <c r="E37" s="1" t="s">
        <v>227</v>
      </c>
      <c r="F37" s="1" t="s">
        <v>228</v>
      </c>
      <c r="G37" s="1" t="s">
        <v>84</v>
      </c>
      <c r="H37" s="1" t="s">
        <v>229</v>
      </c>
      <c r="I37" s="1" t="s">
        <v>230</v>
      </c>
      <c r="J37" s="1" t="s">
        <v>87</v>
      </c>
      <c r="K37" s="1" t="s">
        <v>33</v>
      </c>
      <c r="L37" s="1" t="s">
        <v>29</v>
      </c>
      <c r="M37" s="1" t="s">
        <v>34</v>
      </c>
      <c r="N37" s="1" t="s">
        <v>35</v>
      </c>
      <c r="O37">
        <v>1951.84</v>
      </c>
      <c r="P37">
        <v>8</v>
      </c>
      <c r="Q37">
        <v>585.55200000000002</v>
      </c>
      <c r="R37" s="1" t="s">
        <v>4424</v>
      </c>
      <c r="S37">
        <v>2016</v>
      </c>
      <c r="T37" s="1" t="s">
        <v>90</v>
      </c>
    </row>
    <row r="38" spans="1:20" x14ac:dyDescent="0.25">
      <c r="A38" s="1" t="s">
        <v>231</v>
      </c>
      <c r="B38" s="2">
        <v>41699</v>
      </c>
      <c r="C38" s="2">
        <v>41704</v>
      </c>
      <c r="D38" s="1" t="s">
        <v>21</v>
      </c>
      <c r="E38" s="1" t="s">
        <v>232</v>
      </c>
      <c r="F38" s="1" t="s">
        <v>233</v>
      </c>
      <c r="G38" s="1" t="s">
        <v>24</v>
      </c>
      <c r="H38" s="1" t="s">
        <v>183</v>
      </c>
      <c r="I38" s="1" t="s">
        <v>184</v>
      </c>
      <c r="J38" s="1" t="s">
        <v>51</v>
      </c>
      <c r="K38" s="1" t="s">
        <v>198</v>
      </c>
      <c r="L38" s="1" t="s">
        <v>29</v>
      </c>
      <c r="M38" s="1" t="s">
        <v>34</v>
      </c>
      <c r="N38" s="1" t="s">
        <v>199</v>
      </c>
      <c r="O38">
        <v>457.56799999999998</v>
      </c>
      <c r="P38">
        <v>2</v>
      </c>
      <c r="Q38">
        <v>51.476399999999998</v>
      </c>
      <c r="R38" s="1" t="s">
        <v>4422</v>
      </c>
      <c r="S38">
        <v>2014</v>
      </c>
      <c r="T38" s="1" t="s">
        <v>187</v>
      </c>
    </row>
    <row r="39" spans="1:20" x14ac:dyDescent="0.25">
      <c r="A39" s="1" t="s">
        <v>234</v>
      </c>
      <c r="B39" s="2">
        <v>41890</v>
      </c>
      <c r="C39" s="2">
        <v>41894</v>
      </c>
      <c r="D39" s="1" t="s">
        <v>37</v>
      </c>
      <c r="E39" s="1" t="s">
        <v>235</v>
      </c>
      <c r="F39" s="1" t="s">
        <v>236</v>
      </c>
      <c r="G39" s="1" t="s">
        <v>24</v>
      </c>
      <c r="H39" s="1" t="s">
        <v>237</v>
      </c>
      <c r="I39" s="1" t="s">
        <v>86</v>
      </c>
      <c r="J39" s="1" t="s">
        <v>87</v>
      </c>
      <c r="K39" s="1" t="s">
        <v>238</v>
      </c>
      <c r="L39" s="1" t="s">
        <v>29</v>
      </c>
      <c r="M39" s="1" t="s">
        <v>34</v>
      </c>
      <c r="N39" s="1" t="s">
        <v>239</v>
      </c>
      <c r="O39">
        <v>1740.06</v>
      </c>
      <c r="P39">
        <v>9</v>
      </c>
      <c r="Q39">
        <v>-24.858000000000001</v>
      </c>
      <c r="R39" s="1" t="s">
        <v>4424</v>
      </c>
      <c r="S39">
        <v>2014</v>
      </c>
      <c r="T39" s="1" t="s">
        <v>72</v>
      </c>
    </row>
    <row r="40" spans="1:20" x14ac:dyDescent="0.25">
      <c r="A40" s="1" t="s">
        <v>240</v>
      </c>
      <c r="B40" s="2">
        <v>41856</v>
      </c>
      <c r="C40" s="2">
        <v>41860</v>
      </c>
      <c r="D40" s="1" t="s">
        <v>37</v>
      </c>
      <c r="E40" s="1" t="s">
        <v>241</v>
      </c>
      <c r="F40" s="1" t="s">
        <v>242</v>
      </c>
      <c r="G40" s="1" t="s">
        <v>24</v>
      </c>
      <c r="H40" s="1" t="s">
        <v>49</v>
      </c>
      <c r="I40" s="1" t="s">
        <v>50</v>
      </c>
      <c r="J40" s="1" t="s">
        <v>51</v>
      </c>
      <c r="K40" s="1" t="s">
        <v>243</v>
      </c>
      <c r="L40" s="1" t="s">
        <v>29</v>
      </c>
      <c r="M40" s="1" t="s">
        <v>34</v>
      </c>
      <c r="N40" s="1" t="s">
        <v>244</v>
      </c>
      <c r="O40">
        <v>340.14400000000001</v>
      </c>
      <c r="P40">
        <v>7</v>
      </c>
      <c r="Q40">
        <v>21.259</v>
      </c>
      <c r="R40" s="1" t="s">
        <v>4424</v>
      </c>
      <c r="S40">
        <v>2014</v>
      </c>
      <c r="T40" s="1" t="s">
        <v>245</v>
      </c>
    </row>
    <row r="41" spans="1:20" x14ac:dyDescent="0.25">
      <c r="A41" s="1" t="s">
        <v>246</v>
      </c>
      <c r="B41" s="2">
        <v>42329</v>
      </c>
      <c r="C41" s="2">
        <v>42331</v>
      </c>
      <c r="D41" s="1" t="s">
        <v>21</v>
      </c>
      <c r="E41" s="1" t="s">
        <v>130</v>
      </c>
      <c r="F41" s="1" t="s">
        <v>131</v>
      </c>
      <c r="G41" s="1" t="s">
        <v>24</v>
      </c>
      <c r="H41" s="1" t="s">
        <v>222</v>
      </c>
      <c r="I41" s="1" t="s">
        <v>223</v>
      </c>
      <c r="J41" s="1" t="s">
        <v>63</v>
      </c>
      <c r="K41" s="1" t="s">
        <v>247</v>
      </c>
      <c r="L41" s="1" t="s">
        <v>29</v>
      </c>
      <c r="M41" s="1" t="s">
        <v>34</v>
      </c>
      <c r="N41" s="1" t="s">
        <v>248</v>
      </c>
      <c r="O41">
        <v>396.80200000000002</v>
      </c>
      <c r="P41">
        <v>7</v>
      </c>
      <c r="Q41">
        <v>-11.337199999999999</v>
      </c>
      <c r="R41" s="1" t="s">
        <v>4423</v>
      </c>
      <c r="S41">
        <v>2015</v>
      </c>
      <c r="T41" s="1" t="s">
        <v>32</v>
      </c>
    </row>
    <row r="42" spans="1:20" x14ac:dyDescent="0.25">
      <c r="A42" s="1" t="s">
        <v>249</v>
      </c>
      <c r="B42" s="2">
        <v>42289</v>
      </c>
      <c r="C42" s="2">
        <v>42291</v>
      </c>
      <c r="D42" s="1" t="s">
        <v>81</v>
      </c>
      <c r="E42" s="1" t="s">
        <v>250</v>
      </c>
      <c r="F42" s="1" t="s">
        <v>251</v>
      </c>
      <c r="G42" s="1" t="s">
        <v>94</v>
      </c>
      <c r="H42" s="1" t="s">
        <v>165</v>
      </c>
      <c r="I42" s="1" t="s">
        <v>114</v>
      </c>
      <c r="J42" s="1" t="s">
        <v>63</v>
      </c>
      <c r="K42" s="1" t="s">
        <v>252</v>
      </c>
      <c r="L42" s="1" t="s">
        <v>29</v>
      </c>
      <c r="M42" s="1" t="s">
        <v>30</v>
      </c>
      <c r="N42" s="1" t="s">
        <v>253</v>
      </c>
      <c r="O42">
        <v>899.13599999999997</v>
      </c>
      <c r="P42">
        <v>4</v>
      </c>
      <c r="Q42">
        <v>112.392</v>
      </c>
      <c r="R42" s="1" t="s">
        <v>4423</v>
      </c>
      <c r="S42">
        <v>2015</v>
      </c>
      <c r="T42" s="1" t="s">
        <v>45</v>
      </c>
    </row>
    <row r="43" spans="1:20" x14ac:dyDescent="0.25">
      <c r="A43" s="1" t="s">
        <v>249</v>
      </c>
      <c r="B43" s="2">
        <v>42289</v>
      </c>
      <c r="C43" s="2">
        <v>42291</v>
      </c>
      <c r="D43" s="1" t="s">
        <v>81</v>
      </c>
      <c r="E43" s="1" t="s">
        <v>250</v>
      </c>
      <c r="F43" s="1" t="s">
        <v>251</v>
      </c>
      <c r="G43" s="1" t="s">
        <v>94</v>
      </c>
      <c r="H43" s="1" t="s">
        <v>165</v>
      </c>
      <c r="I43" s="1" t="s">
        <v>114</v>
      </c>
      <c r="J43" s="1" t="s">
        <v>63</v>
      </c>
      <c r="K43" s="1" t="s">
        <v>96</v>
      </c>
      <c r="L43" s="1" t="s">
        <v>29</v>
      </c>
      <c r="M43" s="1" t="s">
        <v>30</v>
      </c>
      <c r="N43" s="1" t="s">
        <v>97</v>
      </c>
      <c r="O43">
        <v>626.35199999999998</v>
      </c>
      <c r="P43">
        <v>3</v>
      </c>
      <c r="Q43">
        <v>46.976399999999998</v>
      </c>
      <c r="R43" s="1" t="s">
        <v>4423</v>
      </c>
      <c r="S43">
        <v>2015</v>
      </c>
      <c r="T43" s="1" t="s">
        <v>45</v>
      </c>
    </row>
    <row r="44" spans="1:20" x14ac:dyDescent="0.25">
      <c r="A44" s="1" t="s">
        <v>254</v>
      </c>
      <c r="B44" s="2">
        <v>41854</v>
      </c>
      <c r="C44" s="2">
        <v>41856</v>
      </c>
      <c r="D44" s="1" t="s">
        <v>81</v>
      </c>
      <c r="E44" s="1" t="s">
        <v>255</v>
      </c>
      <c r="F44" s="1" t="s">
        <v>256</v>
      </c>
      <c r="G44" s="1" t="s">
        <v>24</v>
      </c>
      <c r="H44" s="1" t="s">
        <v>257</v>
      </c>
      <c r="I44" s="1" t="s">
        <v>172</v>
      </c>
      <c r="J44" s="1" t="s">
        <v>51</v>
      </c>
      <c r="K44" s="1" t="s">
        <v>258</v>
      </c>
      <c r="L44" s="1" t="s">
        <v>29</v>
      </c>
      <c r="M44" s="1" t="s">
        <v>43</v>
      </c>
      <c r="N44" s="1" t="s">
        <v>259</v>
      </c>
      <c r="O44">
        <v>218.75</v>
      </c>
      <c r="P44">
        <v>2</v>
      </c>
      <c r="Q44">
        <v>-161.875</v>
      </c>
      <c r="R44" s="1" t="s">
        <v>4423</v>
      </c>
      <c r="S44">
        <v>2014</v>
      </c>
      <c r="T44" s="1" t="s">
        <v>245</v>
      </c>
    </row>
    <row r="45" spans="1:20" x14ac:dyDescent="0.25">
      <c r="A45" s="1" t="s">
        <v>260</v>
      </c>
      <c r="B45" s="2">
        <v>42889</v>
      </c>
      <c r="C45" s="2">
        <v>42893</v>
      </c>
      <c r="D45" s="1" t="s">
        <v>37</v>
      </c>
      <c r="E45" s="1" t="s">
        <v>261</v>
      </c>
      <c r="F45" s="1" t="s">
        <v>262</v>
      </c>
      <c r="G45" s="1" t="s">
        <v>84</v>
      </c>
      <c r="H45" s="1" t="s">
        <v>229</v>
      </c>
      <c r="I45" s="1" t="s">
        <v>133</v>
      </c>
      <c r="J45" s="1" t="s">
        <v>27</v>
      </c>
      <c r="K45" s="1" t="s">
        <v>263</v>
      </c>
      <c r="L45" s="1" t="s">
        <v>29</v>
      </c>
      <c r="M45" s="1" t="s">
        <v>53</v>
      </c>
      <c r="N45" s="1" t="s">
        <v>264</v>
      </c>
      <c r="O45">
        <v>35.167999999999999</v>
      </c>
      <c r="P45">
        <v>7</v>
      </c>
      <c r="Q45">
        <v>9.6712000000000007</v>
      </c>
      <c r="R45" s="1" t="s">
        <v>4424</v>
      </c>
      <c r="S45">
        <v>2017</v>
      </c>
      <c r="T45" s="1" t="s">
        <v>55</v>
      </c>
    </row>
    <row r="46" spans="1:20" x14ac:dyDescent="0.25">
      <c r="A46" s="1" t="s">
        <v>265</v>
      </c>
      <c r="B46" s="2">
        <v>42006</v>
      </c>
      <c r="C46" s="2">
        <v>42013</v>
      </c>
      <c r="D46" s="1" t="s">
        <v>37</v>
      </c>
      <c r="E46" s="1" t="s">
        <v>266</v>
      </c>
      <c r="F46" s="1" t="s">
        <v>267</v>
      </c>
      <c r="G46" s="1" t="s">
        <v>84</v>
      </c>
      <c r="H46" s="1" t="s">
        <v>268</v>
      </c>
      <c r="I46" s="1" t="s">
        <v>223</v>
      </c>
      <c r="J46" s="1" t="s">
        <v>63</v>
      </c>
      <c r="K46" s="1" t="s">
        <v>269</v>
      </c>
      <c r="L46" s="1" t="s">
        <v>29</v>
      </c>
      <c r="M46" s="1" t="s">
        <v>30</v>
      </c>
      <c r="N46" s="1" t="s">
        <v>270</v>
      </c>
      <c r="O46">
        <v>452.45</v>
      </c>
      <c r="P46">
        <v>5</v>
      </c>
      <c r="Q46">
        <v>-244.32300000000001</v>
      </c>
      <c r="R46" s="1" t="s">
        <v>4421</v>
      </c>
      <c r="S46">
        <v>2015</v>
      </c>
      <c r="T46" s="1" t="s">
        <v>161</v>
      </c>
    </row>
    <row r="47" spans="1:20" x14ac:dyDescent="0.25">
      <c r="A47" s="1" t="s">
        <v>271</v>
      </c>
      <c r="B47" s="2">
        <v>42362</v>
      </c>
      <c r="C47" s="2">
        <v>42365</v>
      </c>
      <c r="D47" s="1" t="s">
        <v>81</v>
      </c>
      <c r="E47" s="1" t="s">
        <v>272</v>
      </c>
      <c r="F47" s="1" t="s">
        <v>273</v>
      </c>
      <c r="G47" s="1" t="s">
        <v>24</v>
      </c>
      <c r="H47" s="1" t="s">
        <v>274</v>
      </c>
      <c r="I47" s="1" t="s">
        <v>223</v>
      </c>
      <c r="J47" s="1" t="s">
        <v>63</v>
      </c>
      <c r="K47" s="1" t="s">
        <v>275</v>
      </c>
      <c r="L47" s="1" t="s">
        <v>29</v>
      </c>
      <c r="M47" s="1" t="s">
        <v>53</v>
      </c>
      <c r="N47" s="1" t="s">
        <v>276</v>
      </c>
      <c r="O47">
        <v>72.703999999999994</v>
      </c>
      <c r="P47">
        <v>4</v>
      </c>
      <c r="Q47">
        <v>19.084800000000001</v>
      </c>
      <c r="R47" s="1" t="s">
        <v>4420</v>
      </c>
      <c r="S47">
        <v>2015</v>
      </c>
      <c r="T47" s="1" t="s">
        <v>90</v>
      </c>
    </row>
    <row r="48" spans="1:20" x14ac:dyDescent="0.25">
      <c r="A48" s="1" t="s">
        <v>277</v>
      </c>
      <c r="B48" s="2">
        <v>42225</v>
      </c>
      <c r="C48" s="2">
        <v>42232</v>
      </c>
      <c r="D48" s="1" t="s">
        <v>37</v>
      </c>
      <c r="E48" s="1" t="s">
        <v>278</v>
      </c>
      <c r="F48" s="1" t="s">
        <v>279</v>
      </c>
      <c r="G48" s="1" t="s">
        <v>84</v>
      </c>
      <c r="H48" s="1" t="s">
        <v>280</v>
      </c>
      <c r="I48" s="1" t="s">
        <v>281</v>
      </c>
      <c r="J48" s="1" t="s">
        <v>87</v>
      </c>
      <c r="K48" s="1" t="s">
        <v>282</v>
      </c>
      <c r="L48" s="1" t="s">
        <v>29</v>
      </c>
      <c r="M48" s="1" t="s">
        <v>43</v>
      </c>
      <c r="N48" s="1" t="s">
        <v>283</v>
      </c>
      <c r="O48">
        <v>622.45000000000005</v>
      </c>
      <c r="P48">
        <v>5</v>
      </c>
      <c r="Q48">
        <v>136.93899999999999</v>
      </c>
      <c r="R48" s="1" t="s">
        <v>4421</v>
      </c>
      <c r="S48">
        <v>2015</v>
      </c>
      <c r="T48" s="1" t="s">
        <v>245</v>
      </c>
    </row>
    <row r="49" spans="1:20" x14ac:dyDescent="0.25">
      <c r="A49" s="1" t="s">
        <v>284</v>
      </c>
      <c r="B49" s="2">
        <v>42063</v>
      </c>
      <c r="C49" s="2">
        <v>42067</v>
      </c>
      <c r="D49" s="1" t="s">
        <v>37</v>
      </c>
      <c r="E49" s="1" t="s">
        <v>285</v>
      </c>
      <c r="F49" s="1" t="s">
        <v>286</v>
      </c>
      <c r="G49" s="1" t="s">
        <v>24</v>
      </c>
      <c r="H49" s="1" t="s">
        <v>149</v>
      </c>
      <c r="I49" s="1" t="s">
        <v>133</v>
      </c>
      <c r="J49" s="1" t="s">
        <v>27</v>
      </c>
      <c r="K49" s="1" t="s">
        <v>287</v>
      </c>
      <c r="L49" s="1" t="s">
        <v>29</v>
      </c>
      <c r="M49" s="1" t="s">
        <v>34</v>
      </c>
      <c r="N49" s="1" t="s">
        <v>288</v>
      </c>
      <c r="O49">
        <v>161.56800000000001</v>
      </c>
      <c r="P49">
        <v>2</v>
      </c>
      <c r="Q49">
        <v>-28.2744</v>
      </c>
      <c r="R49" s="1" t="s">
        <v>4424</v>
      </c>
      <c r="S49">
        <v>2015</v>
      </c>
      <c r="T49" s="1" t="s">
        <v>289</v>
      </c>
    </row>
    <row r="50" spans="1:20" x14ac:dyDescent="0.25">
      <c r="A50" s="1" t="s">
        <v>284</v>
      </c>
      <c r="B50" s="2">
        <v>42063</v>
      </c>
      <c r="C50" s="2">
        <v>42067</v>
      </c>
      <c r="D50" s="1" t="s">
        <v>37</v>
      </c>
      <c r="E50" s="1" t="s">
        <v>285</v>
      </c>
      <c r="F50" s="1" t="s">
        <v>286</v>
      </c>
      <c r="G50" s="1" t="s">
        <v>24</v>
      </c>
      <c r="H50" s="1" t="s">
        <v>149</v>
      </c>
      <c r="I50" s="1" t="s">
        <v>133</v>
      </c>
      <c r="J50" s="1" t="s">
        <v>27</v>
      </c>
      <c r="K50" s="1" t="s">
        <v>290</v>
      </c>
      <c r="L50" s="1" t="s">
        <v>29</v>
      </c>
      <c r="M50" s="1" t="s">
        <v>34</v>
      </c>
      <c r="N50" s="1" t="s">
        <v>291</v>
      </c>
      <c r="O50">
        <v>389.69600000000003</v>
      </c>
      <c r="P50">
        <v>8</v>
      </c>
      <c r="Q50">
        <v>43.840800000000002</v>
      </c>
      <c r="R50" s="1" t="s">
        <v>4424</v>
      </c>
      <c r="S50">
        <v>2015</v>
      </c>
      <c r="T50" s="1" t="s">
        <v>289</v>
      </c>
    </row>
    <row r="51" spans="1:20" x14ac:dyDescent="0.25">
      <c r="A51" s="1" t="s">
        <v>292</v>
      </c>
      <c r="B51" s="2">
        <v>42832</v>
      </c>
      <c r="C51" s="2">
        <v>42837</v>
      </c>
      <c r="D51" s="1" t="s">
        <v>37</v>
      </c>
      <c r="E51" s="1" t="s">
        <v>293</v>
      </c>
      <c r="F51" s="1" t="s">
        <v>294</v>
      </c>
      <c r="G51" s="1" t="s">
        <v>94</v>
      </c>
      <c r="H51" s="1" t="s">
        <v>295</v>
      </c>
      <c r="I51" s="1" t="s">
        <v>41</v>
      </c>
      <c r="J51" s="1" t="s">
        <v>27</v>
      </c>
      <c r="K51" s="1" t="s">
        <v>296</v>
      </c>
      <c r="L51" s="1" t="s">
        <v>29</v>
      </c>
      <c r="M51" s="1" t="s">
        <v>43</v>
      </c>
      <c r="N51" s="1" t="s">
        <v>297</v>
      </c>
      <c r="O51">
        <v>233.86</v>
      </c>
      <c r="P51">
        <v>2</v>
      </c>
      <c r="Q51">
        <v>-102.048</v>
      </c>
      <c r="R51" s="1" t="s">
        <v>4422</v>
      </c>
      <c r="S51">
        <v>2017</v>
      </c>
      <c r="T51" s="1" t="s">
        <v>107</v>
      </c>
    </row>
    <row r="52" spans="1:20" x14ac:dyDescent="0.25">
      <c r="A52" s="1" t="s">
        <v>292</v>
      </c>
      <c r="B52" s="2">
        <v>42832</v>
      </c>
      <c r="C52" s="2">
        <v>42837</v>
      </c>
      <c r="D52" s="1" t="s">
        <v>37</v>
      </c>
      <c r="E52" s="1" t="s">
        <v>293</v>
      </c>
      <c r="F52" s="1" t="s">
        <v>294</v>
      </c>
      <c r="G52" s="1" t="s">
        <v>94</v>
      </c>
      <c r="H52" s="1" t="s">
        <v>295</v>
      </c>
      <c r="I52" s="1" t="s">
        <v>41</v>
      </c>
      <c r="J52" s="1" t="s">
        <v>27</v>
      </c>
      <c r="K52" s="1" t="s">
        <v>298</v>
      </c>
      <c r="L52" s="1" t="s">
        <v>29</v>
      </c>
      <c r="M52" s="1" t="s">
        <v>43</v>
      </c>
      <c r="N52" s="1" t="s">
        <v>299</v>
      </c>
      <c r="O52">
        <v>620.61450000000002</v>
      </c>
      <c r="P52">
        <v>3</v>
      </c>
      <c r="Q52">
        <v>-248.2458</v>
      </c>
      <c r="R52" s="1" t="s">
        <v>4422</v>
      </c>
      <c r="S52">
        <v>2017</v>
      </c>
      <c r="T52" s="1" t="s">
        <v>107</v>
      </c>
    </row>
    <row r="53" spans="1:20" x14ac:dyDescent="0.25">
      <c r="A53" s="1" t="s">
        <v>292</v>
      </c>
      <c r="B53" s="2">
        <v>42832</v>
      </c>
      <c r="C53" s="2">
        <v>42837</v>
      </c>
      <c r="D53" s="1" t="s">
        <v>37</v>
      </c>
      <c r="E53" s="1" t="s">
        <v>293</v>
      </c>
      <c r="F53" s="1" t="s">
        <v>294</v>
      </c>
      <c r="G53" s="1" t="s">
        <v>94</v>
      </c>
      <c r="H53" s="1" t="s">
        <v>295</v>
      </c>
      <c r="I53" s="1" t="s">
        <v>41</v>
      </c>
      <c r="J53" s="1" t="s">
        <v>27</v>
      </c>
      <c r="K53" s="1" t="s">
        <v>300</v>
      </c>
      <c r="L53" s="1" t="s">
        <v>29</v>
      </c>
      <c r="M53" s="1" t="s">
        <v>53</v>
      </c>
      <c r="N53" s="1" t="s">
        <v>301</v>
      </c>
      <c r="O53">
        <v>258.072</v>
      </c>
      <c r="P53">
        <v>3</v>
      </c>
      <c r="Q53">
        <v>0</v>
      </c>
      <c r="R53" s="1" t="s">
        <v>4422</v>
      </c>
      <c r="S53">
        <v>2017</v>
      </c>
      <c r="T53" s="1" t="s">
        <v>107</v>
      </c>
    </row>
    <row r="54" spans="1:20" x14ac:dyDescent="0.25">
      <c r="A54" s="1" t="s">
        <v>302</v>
      </c>
      <c r="B54" s="2">
        <v>42525</v>
      </c>
      <c r="C54" s="2">
        <v>42530</v>
      </c>
      <c r="D54" s="1" t="s">
        <v>21</v>
      </c>
      <c r="E54" s="1" t="s">
        <v>303</v>
      </c>
      <c r="F54" s="1" t="s">
        <v>304</v>
      </c>
      <c r="G54" s="1" t="s">
        <v>24</v>
      </c>
      <c r="H54" s="1" t="s">
        <v>125</v>
      </c>
      <c r="I54" s="1" t="s">
        <v>126</v>
      </c>
      <c r="J54" s="1" t="s">
        <v>87</v>
      </c>
      <c r="K54" s="1" t="s">
        <v>305</v>
      </c>
      <c r="L54" s="1" t="s">
        <v>29</v>
      </c>
      <c r="M54" s="1" t="s">
        <v>53</v>
      </c>
      <c r="N54" s="1" t="s">
        <v>306</v>
      </c>
      <c r="O54">
        <v>419.68</v>
      </c>
      <c r="P54">
        <v>5</v>
      </c>
      <c r="Q54">
        <v>-356.72800000000001</v>
      </c>
      <c r="R54" s="1" t="s">
        <v>4422</v>
      </c>
      <c r="S54">
        <v>2016</v>
      </c>
      <c r="T54" s="1" t="s">
        <v>55</v>
      </c>
    </row>
    <row r="55" spans="1:20" x14ac:dyDescent="0.25">
      <c r="A55" s="1" t="s">
        <v>302</v>
      </c>
      <c r="B55" s="2">
        <v>42525</v>
      </c>
      <c r="C55" s="2">
        <v>42530</v>
      </c>
      <c r="D55" s="1" t="s">
        <v>21</v>
      </c>
      <c r="E55" s="1" t="s">
        <v>303</v>
      </c>
      <c r="F55" s="1" t="s">
        <v>304</v>
      </c>
      <c r="G55" s="1" t="s">
        <v>24</v>
      </c>
      <c r="H55" s="1" t="s">
        <v>125</v>
      </c>
      <c r="I55" s="1" t="s">
        <v>126</v>
      </c>
      <c r="J55" s="1" t="s">
        <v>87</v>
      </c>
      <c r="K55" s="1" t="s">
        <v>307</v>
      </c>
      <c r="L55" s="1" t="s">
        <v>29</v>
      </c>
      <c r="M55" s="1" t="s">
        <v>53</v>
      </c>
      <c r="N55" s="1" t="s">
        <v>308</v>
      </c>
      <c r="O55">
        <v>11.688000000000001</v>
      </c>
      <c r="P55">
        <v>3</v>
      </c>
      <c r="Q55">
        <v>-4.6752000000000002</v>
      </c>
      <c r="R55" s="1" t="s">
        <v>4422</v>
      </c>
      <c r="S55">
        <v>2016</v>
      </c>
      <c r="T55" s="1" t="s">
        <v>55</v>
      </c>
    </row>
    <row r="56" spans="1:20" x14ac:dyDescent="0.25">
      <c r="A56" s="1" t="s">
        <v>302</v>
      </c>
      <c r="B56" s="2">
        <v>42525</v>
      </c>
      <c r="C56" s="2">
        <v>42530</v>
      </c>
      <c r="D56" s="1" t="s">
        <v>21</v>
      </c>
      <c r="E56" s="1" t="s">
        <v>303</v>
      </c>
      <c r="F56" s="1" t="s">
        <v>304</v>
      </c>
      <c r="G56" s="1" t="s">
        <v>24</v>
      </c>
      <c r="H56" s="1" t="s">
        <v>125</v>
      </c>
      <c r="I56" s="1" t="s">
        <v>126</v>
      </c>
      <c r="J56" s="1" t="s">
        <v>87</v>
      </c>
      <c r="K56" s="1" t="s">
        <v>309</v>
      </c>
      <c r="L56" s="1" t="s">
        <v>29</v>
      </c>
      <c r="M56" s="1" t="s">
        <v>43</v>
      </c>
      <c r="N56" s="1" t="s">
        <v>310</v>
      </c>
      <c r="O56">
        <v>177.22499999999999</v>
      </c>
      <c r="P56">
        <v>5</v>
      </c>
      <c r="Q56">
        <v>-120.51300000000001</v>
      </c>
      <c r="R56" s="1" t="s">
        <v>4422</v>
      </c>
      <c r="S56">
        <v>2016</v>
      </c>
      <c r="T56" s="1" t="s">
        <v>55</v>
      </c>
    </row>
    <row r="57" spans="1:20" x14ac:dyDescent="0.25">
      <c r="A57" s="1" t="s">
        <v>302</v>
      </c>
      <c r="B57" s="2">
        <v>42525</v>
      </c>
      <c r="C57" s="2">
        <v>42530</v>
      </c>
      <c r="D57" s="1" t="s">
        <v>21</v>
      </c>
      <c r="E57" s="1" t="s">
        <v>303</v>
      </c>
      <c r="F57" s="1" t="s">
        <v>304</v>
      </c>
      <c r="G57" s="1" t="s">
        <v>24</v>
      </c>
      <c r="H57" s="1" t="s">
        <v>125</v>
      </c>
      <c r="I57" s="1" t="s">
        <v>126</v>
      </c>
      <c r="J57" s="1" t="s">
        <v>87</v>
      </c>
      <c r="K57" s="1" t="s">
        <v>311</v>
      </c>
      <c r="L57" s="1" t="s">
        <v>29</v>
      </c>
      <c r="M57" s="1" t="s">
        <v>53</v>
      </c>
      <c r="N57" s="1" t="s">
        <v>312</v>
      </c>
      <c r="O57">
        <v>4.0439999999999996</v>
      </c>
      <c r="P57">
        <v>3</v>
      </c>
      <c r="Q57">
        <v>-2.8308</v>
      </c>
      <c r="R57" s="1" t="s">
        <v>4422</v>
      </c>
      <c r="S57">
        <v>2016</v>
      </c>
      <c r="T57" s="1" t="s">
        <v>55</v>
      </c>
    </row>
    <row r="58" spans="1:20" x14ac:dyDescent="0.25">
      <c r="A58" s="1" t="s">
        <v>313</v>
      </c>
      <c r="B58" s="2">
        <v>41791</v>
      </c>
      <c r="C58" s="2">
        <v>41796</v>
      </c>
      <c r="D58" s="1" t="s">
        <v>21</v>
      </c>
      <c r="E58" s="1" t="s">
        <v>314</v>
      </c>
      <c r="F58" s="1" t="s">
        <v>315</v>
      </c>
      <c r="G58" s="1" t="s">
        <v>94</v>
      </c>
      <c r="H58" s="1" t="s">
        <v>316</v>
      </c>
      <c r="I58" s="1" t="s">
        <v>158</v>
      </c>
      <c r="J58" s="1" t="s">
        <v>87</v>
      </c>
      <c r="K58" s="1" t="s">
        <v>198</v>
      </c>
      <c r="L58" s="1" t="s">
        <v>29</v>
      </c>
      <c r="M58" s="1" t="s">
        <v>34</v>
      </c>
      <c r="N58" s="1" t="s">
        <v>199</v>
      </c>
      <c r="O58">
        <v>2001.86</v>
      </c>
      <c r="P58">
        <v>7</v>
      </c>
      <c r="Q58">
        <v>580.5394</v>
      </c>
      <c r="R58" s="1" t="s">
        <v>4422</v>
      </c>
      <c r="S58">
        <v>2014</v>
      </c>
      <c r="T58" s="1" t="s">
        <v>55</v>
      </c>
    </row>
    <row r="59" spans="1:20" x14ac:dyDescent="0.25">
      <c r="A59" s="1" t="s">
        <v>317</v>
      </c>
      <c r="B59" s="2">
        <v>42714</v>
      </c>
      <c r="C59" s="2">
        <v>42719</v>
      </c>
      <c r="D59" s="1" t="s">
        <v>21</v>
      </c>
      <c r="E59" s="1" t="s">
        <v>318</v>
      </c>
      <c r="F59" s="1" t="s">
        <v>319</v>
      </c>
      <c r="G59" s="1" t="s">
        <v>24</v>
      </c>
      <c r="H59" s="1" t="s">
        <v>320</v>
      </c>
      <c r="I59" s="1" t="s">
        <v>50</v>
      </c>
      <c r="J59" s="1" t="s">
        <v>51</v>
      </c>
      <c r="K59" s="1" t="s">
        <v>321</v>
      </c>
      <c r="L59" s="1" t="s">
        <v>29</v>
      </c>
      <c r="M59" s="1" t="s">
        <v>34</v>
      </c>
      <c r="N59" s="1" t="s">
        <v>322</v>
      </c>
      <c r="O59">
        <v>321.56799999999998</v>
      </c>
      <c r="P59">
        <v>2</v>
      </c>
      <c r="Q59">
        <v>28.1372</v>
      </c>
      <c r="R59" s="1" t="s">
        <v>4422</v>
      </c>
      <c r="S59">
        <v>2016</v>
      </c>
      <c r="T59" s="1" t="s">
        <v>90</v>
      </c>
    </row>
    <row r="60" spans="1:20" x14ac:dyDescent="0.25">
      <c r="A60" s="1" t="s">
        <v>323</v>
      </c>
      <c r="B60" s="2">
        <v>42336</v>
      </c>
      <c r="C60" s="2">
        <v>42342</v>
      </c>
      <c r="D60" s="1" t="s">
        <v>37</v>
      </c>
      <c r="E60" s="1" t="s">
        <v>324</v>
      </c>
      <c r="F60" s="1" t="s">
        <v>325</v>
      </c>
      <c r="G60" s="1" t="s">
        <v>84</v>
      </c>
      <c r="H60" s="1" t="s">
        <v>125</v>
      </c>
      <c r="I60" s="1" t="s">
        <v>126</v>
      </c>
      <c r="J60" s="1" t="s">
        <v>87</v>
      </c>
      <c r="K60" s="1" t="s">
        <v>311</v>
      </c>
      <c r="L60" s="1" t="s">
        <v>29</v>
      </c>
      <c r="M60" s="1" t="s">
        <v>53</v>
      </c>
      <c r="N60" s="1" t="s">
        <v>312</v>
      </c>
      <c r="O60">
        <v>12.132</v>
      </c>
      <c r="P60">
        <v>9</v>
      </c>
      <c r="Q60">
        <v>-8.4923999999999999</v>
      </c>
      <c r="R60" s="1" t="s">
        <v>4426</v>
      </c>
      <c r="S60">
        <v>2015</v>
      </c>
      <c r="T60" s="1" t="s">
        <v>32</v>
      </c>
    </row>
    <row r="61" spans="1:20" x14ac:dyDescent="0.25">
      <c r="A61" s="1" t="s">
        <v>326</v>
      </c>
      <c r="B61" s="2">
        <v>42215</v>
      </c>
      <c r="C61" s="2">
        <v>42216</v>
      </c>
      <c r="D61" s="1" t="s">
        <v>81</v>
      </c>
      <c r="E61" s="1" t="s">
        <v>327</v>
      </c>
      <c r="F61" s="1" t="s">
        <v>328</v>
      </c>
      <c r="G61" s="1" t="s">
        <v>24</v>
      </c>
      <c r="H61" s="1" t="s">
        <v>320</v>
      </c>
      <c r="I61" s="1" t="s">
        <v>50</v>
      </c>
      <c r="J61" s="1" t="s">
        <v>51</v>
      </c>
      <c r="K61" s="1" t="s">
        <v>329</v>
      </c>
      <c r="L61" s="1" t="s">
        <v>29</v>
      </c>
      <c r="M61" s="1" t="s">
        <v>53</v>
      </c>
      <c r="N61" s="1" t="s">
        <v>330</v>
      </c>
      <c r="O61">
        <v>5.28</v>
      </c>
      <c r="P61">
        <v>3</v>
      </c>
      <c r="Q61">
        <v>2.3231999999999999</v>
      </c>
      <c r="R61" s="1" t="s">
        <v>4425</v>
      </c>
      <c r="S61">
        <v>2015</v>
      </c>
      <c r="T61" s="1" t="s">
        <v>66</v>
      </c>
    </row>
    <row r="62" spans="1:20" x14ac:dyDescent="0.25">
      <c r="A62" s="1" t="s">
        <v>331</v>
      </c>
      <c r="B62" s="2">
        <v>42310</v>
      </c>
      <c r="C62" s="2">
        <v>42314</v>
      </c>
      <c r="D62" s="1" t="s">
        <v>37</v>
      </c>
      <c r="E62" s="1" t="s">
        <v>332</v>
      </c>
      <c r="F62" s="1" t="s">
        <v>333</v>
      </c>
      <c r="G62" s="1" t="s">
        <v>24</v>
      </c>
      <c r="H62" s="1" t="s">
        <v>49</v>
      </c>
      <c r="I62" s="1" t="s">
        <v>50</v>
      </c>
      <c r="J62" s="1" t="s">
        <v>51</v>
      </c>
      <c r="K62" s="1" t="s">
        <v>334</v>
      </c>
      <c r="L62" s="1" t="s">
        <v>29</v>
      </c>
      <c r="M62" s="1" t="s">
        <v>43</v>
      </c>
      <c r="N62" s="1" t="s">
        <v>335</v>
      </c>
      <c r="O62">
        <v>1038.8399999999999</v>
      </c>
      <c r="P62">
        <v>5</v>
      </c>
      <c r="Q62">
        <v>51.942</v>
      </c>
      <c r="R62" s="1" t="s">
        <v>4424</v>
      </c>
      <c r="S62">
        <v>2015</v>
      </c>
      <c r="T62" s="1" t="s">
        <v>32</v>
      </c>
    </row>
    <row r="63" spans="1:20" x14ac:dyDescent="0.25">
      <c r="A63" s="1" t="s">
        <v>336</v>
      </c>
      <c r="B63" s="2">
        <v>42694</v>
      </c>
      <c r="C63" s="2">
        <v>42698</v>
      </c>
      <c r="D63" s="1" t="s">
        <v>21</v>
      </c>
      <c r="E63" s="1" t="s">
        <v>337</v>
      </c>
      <c r="F63" s="1" t="s">
        <v>338</v>
      </c>
      <c r="G63" s="1" t="s">
        <v>94</v>
      </c>
      <c r="H63" s="1" t="s">
        <v>339</v>
      </c>
      <c r="I63" s="1" t="s">
        <v>223</v>
      </c>
      <c r="J63" s="1" t="s">
        <v>63</v>
      </c>
      <c r="K63" s="1" t="s">
        <v>340</v>
      </c>
      <c r="L63" s="1" t="s">
        <v>29</v>
      </c>
      <c r="M63" s="1" t="s">
        <v>30</v>
      </c>
      <c r="N63" s="1" t="s">
        <v>341</v>
      </c>
      <c r="O63">
        <v>86.97</v>
      </c>
      <c r="P63">
        <v>3</v>
      </c>
      <c r="Q63">
        <v>-48.703200000000002</v>
      </c>
      <c r="R63" s="1" t="s">
        <v>4424</v>
      </c>
      <c r="S63">
        <v>2016</v>
      </c>
      <c r="T63" s="1" t="s">
        <v>32</v>
      </c>
    </row>
    <row r="64" spans="1:20" x14ac:dyDescent="0.25">
      <c r="A64" s="1" t="s">
        <v>342</v>
      </c>
      <c r="B64" s="2">
        <v>41999</v>
      </c>
      <c r="C64" s="2">
        <v>42001</v>
      </c>
      <c r="D64" s="1" t="s">
        <v>81</v>
      </c>
      <c r="E64" s="1" t="s">
        <v>343</v>
      </c>
      <c r="F64" s="1" t="s">
        <v>344</v>
      </c>
      <c r="G64" s="1" t="s">
        <v>84</v>
      </c>
      <c r="H64" s="1" t="s">
        <v>345</v>
      </c>
      <c r="I64" s="1" t="s">
        <v>172</v>
      </c>
      <c r="J64" s="1" t="s">
        <v>51</v>
      </c>
      <c r="K64" s="1" t="s">
        <v>346</v>
      </c>
      <c r="L64" s="1" t="s">
        <v>29</v>
      </c>
      <c r="M64" s="1" t="s">
        <v>53</v>
      </c>
      <c r="N64" s="1" t="s">
        <v>347</v>
      </c>
      <c r="O64">
        <v>300.416</v>
      </c>
      <c r="P64">
        <v>8</v>
      </c>
      <c r="Q64">
        <v>78.859200000000001</v>
      </c>
      <c r="R64" s="1" t="s">
        <v>4423</v>
      </c>
      <c r="S64">
        <v>2014</v>
      </c>
      <c r="T64" s="1" t="s">
        <v>90</v>
      </c>
    </row>
    <row r="65" spans="1:20" x14ac:dyDescent="0.25">
      <c r="A65" s="1" t="s">
        <v>342</v>
      </c>
      <c r="B65" s="2">
        <v>41999</v>
      </c>
      <c r="C65" s="2">
        <v>42001</v>
      </c>
      <c r="D65" s="1" t="s">
        <v>81</v>
      </c>
      <c r="E65" s="1" t="s">
        <v>343</v>
      </c>
      <c r="F65" s="1" t="s">
        <v>344</v>
      </c>
      <c r="G65" s="1" t="s">
        <v>84</v>
      </c>
      <c r="H65" s="1" t="s">
        <v>345</v>
      </c>
      <c r="I65" s="1" t="s">
        <v>172</v>
      </c>
      <c r="J65" s="1" t="s">
        <v>51</v>
      </c>
      <c r="K65" s="1" t="s">
        <v>348</v>
      </c>
      <c r="L65" s="1" t="s">
        <v>29</v>
      </c>
      <c r="M65" s="1" t="s">
        <v>34</v>
      </c>
      <c r="N65" s="1" t="s">
        <v>349</v>
      </c>
      <c r="O65">
        <v>230.352</v>
      </c>
      <c r="P65">
        <v>3</v>
      </c>
      <c r="Q65">
        <v>20.155799999999999</v>
      </c>
      <c r="R65" s="1" t="s">
        <v>4423</v>
      </c>
      <c r="S65">
        <v>2014</v>
      </c>
      <c r="T65" s="1" t="s">
        <v>90</v>
      </c>
    </row>
    <row r="66" spans="1:20" x14ac:dyDescent="0.25">
      <c r="A66" s="1" t="s">
        <v>342</v>
      </c>
      <c r="B66" s="2">
        <v>41999</v>
      </c>
      <c r="C66" s="2">
        <v>42001</v>
      </c>
      <c r="D66" s="1" t="s">
        <v>81</v>
      </c>
      <c r="E66" s="1" t="s">
        <v>343</v>
      </c>
      <c r="F66" s="1" t="s">
        <v>344</v>
      </c>
      <c r="G66" s="1" t="s">
        <v>84</v>
      </c>
      <c r="H66" s="1" t="s">
        <v>345</v>
      </c>
      <c r="I66" s="1" t="s">
        <v>172</v>
      </c>
      <c r="J66" s="1" t="s">
        <v>51</v>
      </c>
      <c r="K66" s="1" t="s">
        <v>350</v>
      </c>
      <c r="L66" s="1" t="s">
        <v>29</v>
      </c>
      <c r="M66" s="1" t="s">
        <v>53</v>
      </c>
      <c r="N66" s="1" t="s">
        <v>351</v>
      </c>
      <c r="O66">
        <v>218.352</v>
      </c>
      <c r="P66">
        <v>3</v>
      </c>
      <c r="Q66">
        <v>-24.564599999999999</v>
      </c>
      <c r="R66" s="1" t="s">
        <v>4423</v>
      </c>
      <c r="S66">
        <v>2014</v>
      </c>
      <c r="T66" s="1" t="s">
        <v>90</v>
      </c>
    </row>
    <row r="67" spans="1:20" x14ac:dyDescent="0.25">
      <c r="A67" s="1" t="s">
        <v>352</v>
      </c>
      <c r="B67" s="2">
        <v>42671</v>
      </c>
      <c r="C67" s="2">
        <v>42677</v>
      </c>
      <c r="D67" s="1" t="s">
        <v>37</v>
      </c>
      <c r="E67" s="1" t="s">
        <v>217</v>
      </c>
      <c r="F67" s="1" t="s">
        <v>218</v>
      </c>
      <c r="G67" s="1" t="s">
        <v>84</v>
      </c>
      <c r="H67" s="1" t="s">
        <v>353</v>
      </c>
      <c r="I67" s="1" t="s">
        <v>354</v>
      </c>
      <c r="J67" s="1" t="s">
        <v>63</v>
      </c>
      <c r="K67" s="1" t="s">
        <v>355</v>
      </c>
      <c r="L67" s="1" t="s">
        <v>29</v>
      </c>
      <c r="M67" s="1" t="s">
        <v>53</v>
      </c>
      <c r="N67" s="1" t="s">
        <v>356</v>
      </c>
      <c r="O67">
        <v>77.599999999999994</v>
      </c>
      <c r="P67">
        <v>4</v>
      </c>
      <c r="Q67">
        <v>38.024000000000001</v>
      </c>
      <c r="R67" s="1" t="s">
        <v>4426</v>
      </c>
      <c r="S67">
        <v>2016</v>
      </c>
      <c r="T67" s="1" t="s">
        <v>45</v>
      </c>
    </row>
    <row r="68" spans="1:20" x14ac:dyDescent="0.25">
      <c r="A68" s="1" t="s">
        <v>357</v>
      </c>
      <c r="B68" s="2">
        <v>43058</v>
      </c>
      <c r="C68" s="2">
        <v>43062</v>
      </c>
      <c r="D68" s="1" t="s">
        <v>37</v>
      </c>
      <c r="E68" s="1" t="s">
        <v>358</v>
      </c>
      <c r="F68" s="1" t="s">
        <v>359</v>
      </c>
      <c r="G68" s="1" t="s">
        <v>24</v>
      </c>
      <c r="H68" s="1" t="s">
        <v>125</v>
      </c>
      <c r="I68" s="1" t="s">
        <v>126</v>
      </c>
      <c r="J68" s="1" t="s">
        <v>87</v>
      </c>
      <c r="K68" s="1" t="s">
        <v>360</v>
      </c>
      <c r="L68" s="1" t="s">
        <v>29</v>
      </c>
      <c r="M68" s="1" t="s">
        <v>43</v>
      </c>
      <c r="N68" s="1" t="s">
        <v>361</v>
      </c>
      <c r="O68">
        <v>219.07499999999999</v>
      </c>
      <c r="P68">
        <v>3</v>
      </c>
      <c r="Q68">
        <v>-131.44499999999999</v>
      </c>
      <c r="R68" s="1" t="s">
        <v>4424</v>
      </c>
      <c r="S68">
        <v>2017</v>
      </c>
      <c r="T68" s="1" t="s">
        <v>32</v>
      </c>
    </row>
    <row r="69" spans="1:20" x14ac:dyDescent="0.25">
      <c r="A69" s="1" t="s">
        <v>362</v>
      </c>
      <c r="B69" s="2">
        <v>42128</v>
      </c>
      <c r="C69" s="2">
        <v>42133</v>
      </c>
      <c r="D69" s="1" t="s">
        <v>21</v>
      </c>
      <c r="E69" s="1" t="s">
        <v>363</v>
      </c>
      <c r="F69" s="1" t="s">
        <v>364</v>
      </c>
      <c r="G69" s="1" t="s">
        <v>84</v>
      </c>
      <c r="H69" s="1" t="s">
        <v>165</v>
      </c>
      <c r="I69" s="1" t="s">
        <v>114</v>
      </c>
      <c r="J69" s="1" t="s">
        <v>63</v>
      </c>
      <c r="K69" s="1" t="s">
        <v>365</v>
      </c>
      <c r="L69" s="1" t="s">
        <v>29</v>
      </c>
      <c r="M69" s="1" t="s">
        <v>53</v>
      </c>
      <c r="N69" s="1" t="s">
        <v>366</v>
      </c>
      <c r="O69">
        <v>26.8</v>
      </c>
      <c r="P69">
        <v>2</v>
      </c>
      <c r="Q69">
        <v>12.864000000000001</v>
      </c>
      <c r="R69" s="1" t="s">
        <v>4422</v>
      </c>
      <c r="S69">
        <v>2015</v>
      </c>
      <c r="T69" s="1" t="s">
        <v>153</v>
      </c>
    </row>
    <row r="70" spans="1:20" x14ac:dyDescent="0.25">
      <c r="A70" s="1" t="s">
        <v>367</v>
      </c>
      <c r="B70" s="2">
        <v>42625</v>
      </c>
      <c r="C70" s="2">
        <v>42627</v>
      </c>
      <c r="D70" s="1" t="s">
        <v>21</v>
      </c>
      <c r="E70" s="1" t="s">
        <v>368</v>
      </c>
      <c r="F70" s="1" t="s">
        <v>369</v>
      </c>
      <c r="G70" s="1" t="s">
        <v>84</v>
      </c>
      <c r="H70" s="1" t="s">
        <v>370</v>
      </c>
      <c r="I70" s="1" t="s">
        <v>172</v>
      </c>
      <c r="J70" s="1" t="s">
        <v>51</v>
      </c>
      <c r="K70" s="1" t="s">
        <v>371</v>
      </c>
      <c r="L70" s="1" t="s">
        <v>29</v>
      </c>
      <c r="M70" s="1" t="s">
        <v>53</v>
      </c>
      <c r="N70" s="1" t="s">
        <v>372</v>
      </c>
      <c r="O70">
        <v>15.135999999999999</v>
      </c>
      <c r="P70">
        <v>4</v>
      </c>
      <c r="Q70">
        <v>3.5948000000000002</v>
      </c>
      <c r="R70" s="1" t="s">
        <v>4423</v>
      </c>
      <c r="S70">
        <v>2016</v>
      </c>
      <c r="T70" s="1" t="s">
        <v>72</v>
      </c>
    </row>
    <row r="71" spans="1:20" x14ac:dyDescent="0.25">
      <c r="A71" s="1" t="s">
        <v>367</v>
      </c>
      <c r="B71" s="2">
        <v>42625</v>
      </c>
      <c r="C71" s="2">
        <v>42627</v>
      </c>
      <c r="D71" s="1" t="s">
        <v>21</v>
      </c>
      <c r="E71" s="1" t="s">
        <v>368</v>
      </c>
      <c r="F71" s="1" t="s">
        <v>369</v>
      </c>
      <c r="G71" s="1" t="s">
        <v>84</v>
      </c>
      <c r="H71" s="1" t="s">
        <v>370</v>
      </c>
      <c r="I71" s="1" t="s">
        <v>172</v>
      </c>
      <c r="J71" s="1" t="s">
        <v>51</v>
      </c>
      <c r="K71" s="1" t="s">
        <v>373</v>
      </c>
      <c r="L71" s="1" t="s">
        <v>29</v>
      </c>
      <c r="M71" s="1" t="s">
        <v>34</v>
      </c>
      <c r="N71" s="1" t="s">
        <v>374</v>
      </c>
      <c r="O71">
        <v>466.76799999999997</v>
      </c>
      <c r="P71">
        <v>2</v>
      </c>
      <c r="Q71">
        <v>52.511400000000002</v>
      </c>
      <c r="R71" s="1" t="s">
        <v>4423</v>
      </c>
      <c r="S71">
        <v>2016</v>
      </c>
      <c r="T71" s="1" t="s">
        <v>72</v>
      </c>
    </row>
    <row r="72" spans="1:20" x14ac:dyDescent="0.25">
      <c r="A72" s="1" t="s">
        <v>367</v>
      </c>
      <c r="B72" s="2">
        <v>42625</v>
      </c>
      <c r="C72" s="2">
        <v>42627</v>
      </c>
      <c r="D72" s="1" t="s">
        <v>21</v>
      </c>
      <c r="E72" s="1" t="s">
        <v>368</v>
      </c>
      <c r="F72" s="1" t="s">
        <v>369</v>
      </c>
      <c r="G72" s="1" t="s">
        <v>84</v>
      </c>
      <c r="H72" s="1" t="s">
        <v>370</v>
      </c>
      <c r="I72" s="1" t="s">
        <v>172</v>
      </c>
      <c r="J72" s="1" t="s">
        <v>51</v>
      </c>
      <c r="K72" s="1" t="s">
        <v>375</v>
      </c>
      <c r="L72" s="1" t="s">
        <v>29</v>
      </c>
      <c r="M72" s="1" t="s">
        <v>53</v>
      </c>
      <c r="N72" s="1" t="s">
        <v>376</v>
      </c>
      <c r="O72">
        <v>15.231999999999999</v>
      </c>
      <c r="P72">
        <v>1</v>
      </c>
      <c r="Q72">
        <v>1.7136</v>
      </c>
      <c r="R72" s="1" t="s">
        <v>4423</v>
      </c>
      <c r="S72">
        <v>2016</v>
      </c>
      <c r="T72" s="1" t="s">
        <v>72</v>
      </c>
    </row>
    <row r="73" spans="1:20" x14ac:dyDescent="0.25">
      <c r="A73" s="1" t="s">
        <v>377</v>
      </c>
      <c r="B73" s="2">
        <v>41909</v>
      </c>
      <c r="C73" s="2">
        <v>41915</v>
      </c>
      <c r="D73" s="1" t="s">
        <v>37</v>
      </c>
      <c r="E73" s="1" t="s">
        <v>378</v>
      </c>
      <c r="F73" s="1" t="s">
        <v>379</v>
      </c>
      <c r="G73" s="1" t="s">
        <v>84</v>
      </c>
      <c r="H73" s="1" t="s">
        <v>380</v>
      </c>
      <c r="I73" s="1" t="s">
        <v>354</v>
      </c>
      <c r="J73" s="1" t="s">
        <v>63</v>
      </c>
      <c r="K73" s="1" t="s">
        <v>381</v>
      </c>
      <c r="L73" s="1" t="s">
        <v>29</v>
      </c>
      <c r="M73" s="1" t="s">
        <v>53</v>
      </c>
      <c r="N73" s="1" t="s">
        <v>382</v>
      </c>
      <c r="O73">
        <v>87.54</v>
      </c>
      <c r="P73">
        <v>3</v>
      </c>
      <c r="Q73">
        <v>37.642200000000003</v>
      </c>
      <c r="R73" s="1" t="s">
        <v>4426</v>
      </c>
      <c r="S73">
        <v>2014</v>
      </c>
      <c r="T73" s="1" t="s">
        <v>72</v>
      </c>
    </row>
    <row r="74" spans="1:20" x14ac:dyDescent="0.25">
      <c r="A74" s="1" t="s">
        <v>383</v>
      </c>
      <c r="B74" s="2">
        <v>41947</v>
      </c>
      <c r="C74" s="2">
        <v>41952</v>
      </c>
      <c r="D74" s="1" t="s">
        <v>37</v>
      </c>
      <c r="E74" s="1" t="s">
        <v>384</v>
      </c>
      <c r="F74" s="1" t="s">
        <v>385</v>
      </c>
      <c r="G74" s="1" t="s">
        <v>94</v>
      </c>
      <c r="H74" s="1" t="s">
        <v>165</v>
      </c>
      <c r="I74" s="1" t="s">
        <v>114</v>
      </c>
      <c r="J74" s="1" t="s">
        <v>63</v>
      </c>
      <c r="K74" s="1" t="s">
        <v>386</v>
      </c>
      <c r="L74" s="1" t="s">
        <v>29</v>
      </c>
      <c r="M74" s="1" t="s">
        <v>34</v>
      </c>
      <c r="N74" s="1" t="s">
        <v>387</v>
      </c>
      <c r="O74">
        <v>135.88200000000001</v>
      </c>
      <c r="P74">
        <v>1</v>
      </c>
      <c r="Q74">
        <v>24.1568</v>
      </c>
      <c r="R74" s="1" t="s">
        <v>4422</v>
      </c>
      <c r="S74">
        <v>2014</v>
      </c>
      <c r="T74" s="1" t="s">
        <v>32</v>
      </c>
    </row>
    <row r="75" spans="1:20" x14ac:dyDescent="0.25">
      <c r="A75" s="1" t="s">
        <v>388</v>
      </c>
      <c r="B75" s="2">
        <v>43042</v>
      </c>
      <c r="C75" s="2">
        <v>43044</v>
      </c>
      <c r="D75" s="1" t="s">
        <v>21</v>
      </c>
      <c r="E75" s="1" t="s">
        <v>389</v>
      </c>
      <c r="F75" s="1" t="s">
        <v>390</v>
      </c>
      <c r="G75" s="1" t="s">
        <v>84</v>
      </c>
      <c r="H75" s="1" t="s">
        <v>391</v>
      </c>
      <c r="I75" s="1" t="s">
        <v>133</v>
      </c>
      <c r="J75" s="1" t="s">
        <v>27</v>
      </c>
      <c r="K75" s="1" t="s">
        <v>392</v>
      </c>
      <c r="L75" s="1" t="s">
        <v>29</v>
      </c>
      <c r="M75" s="1" t="s">
        <v>53</v>
      </c>
      <c r="N75" s="1" t="s">
        <v>393</v>
      </c>
      <c r="O75">
        <v>15.992000000000001</v>
      </c>
      <c r="P75">
        <v>1</v>
      </c>
      <c r="Q75">
        <v>0.99950000000000006</v>
      </c>
      <c r="R75" s="1" t="s">
        <v>4423</v>
      </c>
      <c r="S75">
        <v>2017</v>
      </c>
      <c r="T75" s="1" t="s">
        <v>32</v>
      </c>
    </row>
    <row r="76" spans="1:20" x14ac:dyDescent="0.25">
      <c r="A76" s="1" t="s">
        <v>394</v>
      </c>
      <c r="B76" s="2">
        <v>42612</v>
      </c>
      <c r="C76" s="2">
        <v>42614</v>
      </c>
      <c r="D76" s="1" t="s">
        <v>81</v>
      </c>
      <c r="E76" s="1" t="s">
        <v>395</v>
      </c>
      <c r="F76" s="1" t="s">
        <v>396</v>
      </c>
      <c r="G76" s="1" t="s">
        <v>24</v>
      </c>
      <c r="H76" s="1" t="s">
        <v>61</v>
      </c>
      <c r="I76" s="1" t="s">
        <v>62</v>
      </c>
      <c r="J76" s="1" t="s">
        <v>63</v>
      </c>
      <c r="K76" s="1" t="s">
        <v>397</v>
      </c>
      <c r="L76" s="1" t="s">
        <v>29</v>
      </c>
      <c r="M76" s="1" t="s">
        <v>34</v>
      </c>
      <c r="N76" s="1" t="s">
        <v>398</v>
      </c>
      <c r="O76">
        <v>786.74400000000003</v>
      </c>
      <c r="P76">
        <v>4</v>
      </c>
      <c r="Q76">
        <v>-258.5016</v>
      </c>
      <c r="R76" s="1" t="s">
        <v>4423</v>
      </c>
      <c r="S76">
        <v>2016</v>
      </c>
      <c r="T76" s="1" t="s">
        <v>245</v>
      </c>
    </row>
    <row r="77" spans="1:20" x14ac:dyDescent="0.25">
      <c r="A77" s="1" t="s">
        <v>399</v>
      </c>
      <c r="B77" s="2">
        <v>41832</v>
      </c>
      <c r="C77" s="2">
        <v>41837</v>
      </c>
      <c r="D77" s="1" t="s">
        <v>37</v>
      </c>
      <c r="E77" s="1" t="s">
        <v>400</v>
      </c>
      <c r="F77" s="1" t="s">
        <v>401</v>
      </c>
      <c r="G77" s="1" t="s">
        <v>84</v>
      </c>
      <c r="H77" s="1" t="s">
        <v>320</v>
      </c>
      <c r="I77" s="1" t="s">
        <v>50</v>
      </c>
      <c r="J77" s="1" t="s">
        <v>51</v>
      </c>
      <c r="K77" s="1" t="s">
        <v>402</v>
      </c>
      <c r="L77" s="1" t="s">
        <v>29</v>
      </c>
      <c r="M77" s="1" t="s">
        <v>43</v>
      </c>
      <c r="N77" s="1" t="s">
        <v>403</v>
      </c>
      <c r="O77">
        <v>698.35199999999998</v>
      </c>
      <c r="P77">
        <v>3</v>
      </c>
      <c r="Q77">
        <v>-17.4588</v>
      </c>
      <c r="R77" s="1" t="s">
        <v>4422</v>
      </c>
      <c r="S77">
        <v>2014</v>
      </c>
      <c r="T77" s="1" t="s">
        <v>66</v>
      </c>
    </row>
    <row r="78" spans="1:20" x14ac:dyDescent="0.25">
      <c r="A78" s="1" t="s">
        <v>404</v>
      </c>
      <c r="B78" s="2">
        <v>42468</v>
      </c>
      <c r="C78" s="2">
        <v>42473</v>
      </c>
      <c r="D78" s="1" t="s">
        <v>37</v>
      </c>
      <c r="E78" s="1" t="s">
        <v>405</v>
      </c>
      <c r="F78" s="1" t="s">
        <v>406</v>
      </c>
      <c r="G78" s="1" t="s">
        <v>24</v>
      </c>
      <c r="H78" s="1" t="s">
        <v>165</v>
      </c>
      <c r="I78" s="1" t="s">
        <v>114</v>
      </c>
      <c r="J78" s="1" t="s">
        <v>63</v>
      </c>
      <c r="K78" s="1" t="s">
        <v>407</v>
      </c>
      <c r="L78" s="1" t="s">
        <v>29</v>
      </c>
      <c r="M78" s="1" t="s">
        <v>30</v>
      </c>
      <c r="N78" s="1" t="s">
        <v>408</v>
      </c>
      <c r="O78">
        <v>388.70400000000001</v>
      </c>
      <c r="P78">
        <v>6</v>
      </c>
      <c r="Q78">
        <v>-4.8587999999999996</v>
      </c>
      <c r="R78" s="1" t="s">
        <v>4422</v>
      </c>
      <c r="S78">
        <v>2016</v>
      </c>
      <c r="T78" s="1" t="s">
        <v>107</v>
      </c>
    </row>
    <row r="79" spans="1:20" x14ac:dyDescent="0.25">
      <c r="A79" s="1" t="s">
        <v>409</v>
      </c>
      <c r="B79" s="2">
        <v>43003</v>
      </c>
      <c r="C79" s="2">
        <v>43009</v>
      </c>
      <c r="D79" s="1" t="s">
        <v>37</v>
      </c>
      <c r="E79" s="1" t="s">
        <v>410</v>
      </c>
      <c r="F79" s="1" t="s">
        <v>411</v>
      </c>
      <c r="G79" s="1" t="s">
        <v>24</v>
      </c>
      <c r="H79" s="1" t="s">
        <v>165</v>
      </c>
      <c r="I79" s="1" t="s">
        <v>114</v>
      </c>
      <c r="J79" s="1" t="s">
        <v>63</v>
      </c>
      <c r="K79" s="1" t="s">
        <v>412</v>
      </c>
      <c r="L79" s="1" t="s">
        <v>29</v>
      </c>
      <c r="M79" s="1" t="s">
        <v>34</v>
      </c>
      <c r="N79" s="1" t="s">
        <v>413</v>
      </c>
      <c r="O79">
        <v>488.64600000000002</v>
      </c>
      <c r="P79">
        <v>3</v>
      </c>
      <c r="Q79">
        <v>86.870400000000004</v>
      </c>
      <c r="R79" s="1" t="s">
        <v>4426</v>
      </c>
      <c r="S79">
        <v>2017</v>
      </c>
      <c r="T79" s="1" t="s">
        <v>72</v>
      </c>
    </row>
    <row r="80" spans="1:20" x14ac:dyDescent="0.25">
      <c r="A80" s="1" t="s">
        <v>409</v>
      </c>
      <c r="B80" s="2">
        <v>43003</v>
      </c>
      <c r="C80" s="2">
        <v>43009</v>
      </c>
      <c r="D80" s="1" t="s">
        <v>37</v>
      </c>
      <c r="E80" s="1" t="s">
        <v>410</v>
      </c>
      <c r="F80" s="1" t="s">
        <v>411</v>
      </c>
      <c r="G80" s="1" t="s">
        <v>24</v>
      </c>
      <c r="H80" s="1" t="s">
        <v>165</v>
      </c>
      <c r="I80" s="1" t="s">
        <v>114</v>
      </c>
      <c r="J80" s="1" t="s">
        <v>63</v>
      </c>
      <c r="K80" s="1" t="s">
        <v>414</v>
      </c>
      <c r="L80" s="1" t="s">
        <v>29</v>
      </c>
      <c r="M80" s="1" t="s">
        <v>53</v>
      </c>
      <c r="N80" s="1" t="s">
        <v>415</v>
      </c>
      <c r="O80">
        <v>47.12</v>
      </c>
      <c r="P80">
        <v>8</v>
      </c>
      <c r="Q80">
        <v>20.732800000000001</v>
      </c>
      <c r="R80" s="1" t="s">
        <v>4426</v>
      </c>
      <c r="S80">
        <v>2017</v>
      </c>
      <c r="T80" s="1" t="s">
        <v>72</v>
      </c>
    </row>
    <row r="81" spans="1:20" x14ac:dyDescent="0.25">
      <c r="A81" s="1" t="s">
        <v>416</v>
      </c>
      <c r="B81" s="2">
        <v>42664</v>
      </c>
      <c r="C81" s="2">
        <v>42664</v>
      </c>
      <c r="D81" s="1" t="s">
        <v>417</v>
      </c>
      <c r="E81" s="1" t="s">
        <v>418</v>
      </c>
      <c r="F81" s="1" t="s">
        <v>419</v>
      </c>
      <c r="G81" s="1" t="s">
        <v>84</v>
      </c>
      <c r="H81" s="1" t="s">
        <v>420</v>
      </c>
      <c r="I81" s="1" t="s">
        <v>421</v>
      </c>
      <c r="J81" s="1" t="s">
        <v>63</v>
      </c>
      <c r="K81" s="1" t="s">
        <v>96</v>
      </c>
      <c r="L81" s="1" t="s">
        <v>29</v>
      </c>
      <c r="M81" s="1" t="s">
        <v>30</v>
      </c>
      <c r="N81" s="1" t="s">
        <v>97</v>
      </c>
      <c r="O81">
        <v>1043.92</v>
      </c>
      <c r="P81">
        <v>4</v>
      </c>
      <c r="Q81">
        <v>271.41919999999999</v>
      </c>
      <c r="R81" s="1" t="s">
        <v>4427</v>
      </c>
      <c r="S81">
        <v>2016</v>
      </c>
      <c r="T81" s="1" t="s">
        <v>45</v>
      </c>
    </row>
    <row r="82" spans="1:20" x14ac:dyDescent="0.25">
      <c r="A82" s="1" t="s">
        <v>422</v>
      </c>
      <c r="B82" s="2">
        <v>42974</v>
      </c>
      <c r="C82" s="2">
        <v>42979</v>
      </c>
      <c r="D82" s="1" t="s">
        <v>37</v>
      </c>
      <c r="E82" s="1" t="s">
        <v>423</v>
      </c>
      <c r="F82" s="1" t="s">
        <v>424</v>
      </c>
      <c r="G82" s="1" t="s">
        <v>84</v>
      </c>
      <c r="H82" s="1" t="s">
        <v>229</v>
      </c>
      <c r="I82" s="1" t="s">
        <v>425</v>
      </c>
      <c r="J82" s="1" t="s">
        <v>63</v>
      </c>
      <c r="K82" s="1" t="s">
        <v>426</v>
      </c>
      <c r="L82" s="1" t="s">
        <v>29</v>
      </c>
      <c r="M82" s="1" t="s">
        <v>43</v>
      </c>
      <c r="N82" s="1" t="s">
        <v>427</v>
      </c>
      <c r="O82">
        <v>1488.424</v>
      </c>
      <c r="P82">
        <v>7</v>
      </c>
      <c r="Q82">
        <v>-297.6848</v>
      </c>
      <c r="R82" s="1" t="s">
        <v>4422</v>
      </c>
      <c r="S82">
        <v>2017</v>
      </c>
      <c r="T82" s="1" t="s">
        <v>245</v>
      </c>
    </row>
    <row r="83" spans="1:20" x14ac:dyDescent="0.25">
      <c r="A83" s="1" t="s">
        <v>428</v>
      </c>
      <c r="B83" s="2">
        <v>42335</v>
      </c>
      <c r="C83" s="2">
        <v>42340</v>
      </c>
      <c r="D83" s="1" t="s">
        <v>37</v>
      </c>
      <c r="E83" s="1" t="s">
        <v>429</v>
      </c>
      <c r="F83" s="1" t="s">
        <v>430</v>
      </c>
      <c r="G83" s="1" t="s">
        <v>24</v>
      </c>
      <c r="H83" s="1" t="s">
        <v>431</v>
      </c>
      <c r="I83" s="1" t="s">
        <v>41</v>
      </c>
      <c r="J83" s="1" t="s">
        <v>27</v>
      </c>
      <c r="K83" s="1" t="s">
        <v>432</v>
      </c>
      <c r="L83" s="1" t="s">
        <v>29</v>
      </c>
      <c r="M83" s="1" t="s">
        <v>43</v>
      </c>
      <c r="N83" s="1" t="s">
        <v>433</v>
      </c>
      <c r="O83">
        <v>375.45749999999998</v>
      </c>
      <c r="P83">
        <v>3</v>
      </c>
      <c r="Q83">
        <v>-157.0095</v>
      </c>
      <c r="R83" s="1" t="s">
        <v>4422</v>
      </c>
      <c r="S83">
        <v>2015</v>
      </c>
      <c r="T83" s="1" t="s">
        <v>32</v>
      </c>
    </row>
    <row r="84" spans="1:20" x14ac:dyDescent="0.25">
      <c r="A84" s="1" t="s">
        <v>434</v>
      </c>
      <c r="B84" s="2">
        <v>42341</v>
      </c>
      <c r="C84" s="2">
        <v>42345</v>
      </c>
      <c r="D84" s="1" t="s">
        <v>37</v>
      </c>
      <c r="E84" s="1" t="s">
        <v>435</v>
      </c>
      <c r="F84" s="1" t="s">
        <v>436</v>
      </c>
      <c r="G84" s="1" t="s">
        <v>84</v>
      </c>
      <c r="H84" s="1" t="s">
        <v>61</v>
      </c>
      <c r="I84" s="1" t="s">
        <v>62</v>
      </c>
      <c r="J84" s="1" t="s">
        <v>63</v>
      </c>
      <c r="K84" s="1" t="s">
        <v>437</v>
      </c>
      <c r="L84" s="1" t="s">
        <v>29</v>
      </c>
      <c r="M84" s="1" t="s">
        <v>53</v>
      </c>
      <c r="N84" s="1" t="s">
        <v>438</v>
      </c>
      <c r="O84">
        <v>2.96</v>
      </c>
      <c r="P84">
        <v>1</v>
      </c>
      <c r="Q84">
        <v>0.77700000000000002</v>
      </c>
      <c r="R84" s="1" t="s">
        <v>4424</v>
      </c>
      <c r="S84">
        <v>2015</v>
      </c>
      <c r="T84" s="1" t="s">
        <v>90</v>
      </c>
    </row>
    <row r="85" spans="1:20" x14ac:dyDescent="0.25">
      <c r="A85" s="1" t="s">
        <v>439</v>
      </c>
      <c r="B85" s="2">
        <v>42621</v>
      </c>
      <c r="C85" s="2">
        <v>42623</v>
      </c>
      <c r="D85" s="1" t="s">
        <v>21</v>
      </c>
      <c r="E85" s="1" t="s">
        <v>440</v>
      </c>
      <c r="F85" s="1" t="s">
        <v>441</v>
      </c>
      <c r="G85" s="1" t="s">
        <v>24</v>
      </c>
      <c r="H85" s="1" t="s">
        <v>95</v>
      </c>
      <c r="I85" s="1" t="s">
        <v>86</v>
      </c>
      <c r="J85" s="1" t="s">
        <v>87</v>
      </c>
      <c r="K85" s="1" t="s">
        <v>76</v>
      </c>
      <c r="L85" s="1" t="s">
        <v>29</v>
      </c>
      <c r="M85" s="1" t="s">
        <v>30</v>
      </c>
      <c r="N85" s="1" t="s">
        <v>77</v>
      </c>
      <c r="O85">
        <v>2396.2656000000002</v>
      </c>
      <c r="P85">
        <v>4</v>
      </c>
      <c r="Q85">
        <v>-317.15280000000001</v>
      </c>
      <c r="R85" s="1" t="s">
        <v>4423</v>
      </c>
      <c r="S85">
        <v>2016</v>
      </c>
      <c r="T85" s="1" t="s">
        <v>72</v>
      </c>
    </row>
    <row r="86" spans="1:20" x14ac:dyDescent="0.25">
      <c r="A86" s="1" t="s">
        <v>442</v>
      </c>
      <c r="B86" s="2">
        <v>43077</v>
      </c>
      <c r="C86" s="2">
        <v>43081</v>
      </c>
      <c r="D86" s="1" t="s">
        <v>37</v>
      </c>
      <c r="E86" s="1" t="s">
        <v>443</v>
      </c>
      <c r="F86" s="1" t="s">
        <v>444</v>
      </c>
      <c r="G86" s="1" t="s">
        <v>24</v>
      </c>
      <c r="H86" s="1" t="s">
        <v>320</v>
      </c>
      <c r="I86" s="1" t="s">
        <v>50</v>
      </c>
      <c r="J86" s="1" t="s">
        <v>51</v>
      </c>
      <c r="K86" s="1" t="s">
        <v>445</v>
      </c>
      <c r="L86" s="1" t="s">
        <v>29</v>
      </c>
      <c r="M86" s="1" t="s">
        <v>43</v>
      </c>
      <c r="N86" s="1" t="s">
        <v>446</v>
      </c>
      <c r="O86">
        <v>1004.024</v>
      </c>
      <c r="P86">
        <v>7</v>
      </c>
      <c r="Q86">
        <v>-112.95269999999999</v>
      </c>
      <c r="R86" s="1" t="s">
        <v>4424</v>
      </c>
      <c r="S86">
        <v>2017</v>
      </c>
      <c r="T86" s="1" t="s">
        <v>90</v>
      </c>
    </row>
    <row r="87" spans="1:20" x14ac:dyDescent="0.25">
      <c r="A87" s="1" t="s">
        <v>442</v>
      </c>
      <c r="B87" s="2">
        <v>43077</v>
      </c>
      <c r="C87" s="2">
        <v>43081</v>
      </c>
      <c r="D87" s="1" t="s">
        <v>37</v>
      </c>
      <c r="E87" s="1" t="s">
        <v>443</v>
      </c>
      <c r="F87" s="1" t="s">
        <v>444</v>
      </c>
      <c r="G87" s="1" t="s">
        <v>24</v>
      </c>
      <c r="H87" s="1" t="s">
        <v>320</v>
      </c>
      <c r="I87" s="1" t="s">
        <v>50</v>
      </c>
      <c r="J87" s="1" t="s">
        <v>51</v>
      </c>
      <c r="K87" s="1" t="s">
        <v>447</v>
      </c>
      <c r="L87" s="1" t="s">
        <v>29</v>
      </c>
      <c r="M87" s="1" t="s">
        <v>30</v>
      </c>
      <c r="N87" s="1" t="s">
        <v>448</v>
      </c>
      <c r="O87">
        <v>1336.829</v>
      </c>
      <c r="P87">
        <v>13</v>
      </c>
      <c r="Q87">
        <v>31.454799999999999</v>
      </c>
      <c r="R87" s="1" t="s">
        <v>4424</v>
      </c>
      <c r="S87">
        <v>2017</v>
      </c>
      <c r="T87" s="1" t="s">
        <v>90</v>
      </c>
    </row>
    <row r="88" spans="1:20" x14ac:dyDescent="0.25">
      <c r="A88" s="1" t="s">
        <v>442</v>
      </c>
      <c r="B88" s="2">
        <v>43077</v>
      </c>
      <c r="C88" s="2">
        <v>43081</v>
      </c>
      <c r="D88" s="1" t="s">
        <v>37</v>
      </c>
      <c r="E88" s="1" t="s">
        <v>443</v>
      </c>
      <c r="F88" s="1" t="s">
        <v>444</v>
      </c>
      <c r="G88" s="1" t="s">
        <v>24</v>
      </c>
      <c r="H88" s="1" t="s">
        <v>320</v>
      </c>
      <c r="I88" s="1" t="s">
        <v>50</v>
      </c>
      <c r="J88" s="1" t="s">
        <v>51</v>
      </c>
      <c r="K88" s="1" t="s">
        <v>449</v>
      </c>
      <c r="L88" s="1" t="s">
        <v>29</v>
      </c>
      <c r="M88" s="1" t="s">
        <v>34</v>
      </c>
      <c r="N88" s="1" t="s">
        <v>450</v>
      </c>
      <c r="O88">
        <v>113.568</v>
      </c>
      <c r="P88">
        <v>2</v>
      </c>
      <c r="Q88">
        <v>-18.454799999999999</v>
      </c>
      <c r="R88" s="1" t="s">
        <v>4424</v>
      </c>
      <c r="S88">
        <v>2017</v>
      </c>
      <c r="T88" s="1" t="s">
        <v>90</v>
      </c>
    </row>
    <row r="89" spans="1:20" x14ac:dyDescent="0.25">
      <c r="A89" s="1" t="s">
        <v>451</v>
      </c>
      <c r="B89" s="2">
        <v>43042</v>
      </c>
      <c r="C89" s="2">
        <v>43046</v>
      </c>
      <c r="D89" s="1" t="s">
        <v>37</v>
      </c>
      <c r="E89" s="1" t="s">
        <v>452</v>
      </c>
      <c r="F89" s="1" t="s">
        <v>453</v>
      </c>
      <c r="G89" s="1" t="s">
        <v>84</v>
      </c>
      <c r="H89" s="1" t="s">
        <v>183</v>
      </c>
      <c r="I89" s="1" t="s">
        <v>184</v>
      </c>
      <c r="J89" s="1" t="s">
        <v>51</v>
      </c>
      <c r="K89" s="1" t="s">
        <v>348</v>
      </c>
      <c r="L89" s="1" t="s">
        <v>29</v>
      </c>
      <c r="M89" s="1" t="s">
        <v>34</v>
      </c>
      <c r="N89" s="1" t="s">
        <v>349</v>
      </c>
      <c r="O89">
        <v>307.13600000000002</v>
      </c>
      <c r="P89">
        <v>4</v>
      </c>
      <c r="Q89">
        <v>26.874400000000001</v>
      </c>
      <c r="R89" s="1" t="s">
        <v>4424</v>
      </c>
      <c r="S89">
        <v>2017</v>
      </c>
      <c r="T89" s="1" t="s">
        <v>32</v>
      </c>
    </row>
    <row r="90" spans="1:20" x14ac:dyDescent="0.25">
      <c r="A90" s="1" t="s">
        <v>454</v>
      </c>
      <c r="B90" s="2">
        <v>42474</v>
      </c>
      <c r="C90" s="2">
        <v>42478</v>
      </c>
      <c r="D90" s="1" t="s">
        <v>37</v>
      </c>
      <c r="E90" s="1" t="s">
        <v>455</v>
      </c>
      <c r="F90" s="1" t="s">
        <v>456</v>
      </c>
      <c r="G90" s="1" t="s">
        <v>24</v>
      </c>
      <c r="H90" s="1" t="s">
        <v>49</v>
      </c>
      <c r="I90" s="1" t="s">
        <v>50</v>
      </c>
      <c r="J90" s="1" t="s">
        <v>51</v>
      </c>
      <c r="K90" s="1" t="s">
        <v>457</v>
      </c>
      <c r="L90" s="1" t="s">
        <v>29</v>
      </c>
      <c r="M90" s="1" t="s">
        <v>34</v>
      </c>
      <c r="N90" s="1" t="s">
        <v>458</v>
      </c>
      <c r="O90">
        <v>383.8</v>
      </c>
      <c r="P90">
        <v>5</v>
      </c>
      <c r="Q90">
        <v>38.380000000000003</v>
      </c>
      <c r="R90" s="1" t="s">
        <v>4424</v>
      </c>
      <c r="S90">
        <v>2016</v>
      </c>
      <c r="T90" s="1" t="s">
        <v>107</v>
      </c>
    </row>
    <row r="91" spans="1:20" x14ac:dyDescent="0.25">
      <c r="A91" s="1" t="s">
        <v>459</v>
      </c>
      <c r="B91" s="2">
        <v>43027</v>
      </c>
      <c r="C91" s="2">
        <v>43031</v>
      </c>
      <c r="D91" s="1" t="s">
        <v>37</v>
      </c>
      <c r="E91" s="1" t="s">
        <v>460</v>
      </c>
      <c r="F91" s="1" t="s">
        <v>461</v>
      </c>
      <c r="G91" s="1" t="s">
        <v>84</v>
      </c>
      <c r="H91" s="1" t="s">
        <v>462</v>
      </c>
      <c r="I91" s="1" t="s">
        <v>425</v>
      </c>
      <c r="J91" s="1" t="s">
        <v>63</v>
      </c>
      <c r="K91" s="1" t="s">
        <v>463</v>
      </c>
      <c r="L91" s="1" t="s">
        <v>29</v>
      </c>
      <c r="M91" s="1" t="s">
        <v>53</v>
      </c>
      <c r="N91" s="1" t="s">
        <v>464</v>
      </c>
      <c r="O91">
        <v>56.56</v>
      </c>
      <c r="P91">
        <v>4</v>
      </c>
      <c r="Q91">
        <v>14.7056</v>
      </c>
      <c r="R91" s="1" t="s">
        <v>4424</v>
      </c>
      <c r="S91">
        <v>2017</v>
      </c>
      <c r="T91" s="1" t="s">
        <v>45</v>
      </c>
    </row>
    <row r="92" spans="1:20" x14ac:dyDescent="0.25">
      <c r="A92" s="1" t="s">
        <v>465</v>
      </c>
      <c r="B92" s="2">
        <v>42968</v>
      </c>
      <c r="C92" s="2">
        <v>42970</v>
      </c>
      <c r="D92" s="1" t="s">
        <v>21</v>
      </c>
      <c r="E92" s="1" t="s">
        <v>466</v>
      </c>
      <c r="F92" s="1" t="s">
        <v>467</v>
      </c>
      <c r="G92" s="1" t="s">
        <v>24</v>
      </c>
      <c r="H92" s="1" t="s">
        <v>468</v>
      </c>
      <c r="I92" s="1" t="s">
        <v>469</v>
      </c>
      <c r="J92" s="1" t="s">
        <v>27</v>
      </c>
      <c r="K92" s="1" t="s">
        <v>470</v>
      </c>
      <c r="L92" s="1" t="s">
        <v>29</v>
      </c>
      <c r="M92" s="1" t="s">
        <v>34</v>
      </c>
      <c r="N92" s="1" t="s">
        <v>471</v>
      </c>
      <c r="O92">
        <v>866.4</v>
      </c>
      <c r="P92">
        <v>4</v>
      </c>
      <c r="Q92">
        <v>225.26400000000001</v>
      </c>
      <c r="R92" s="1" t="s">
        <v>4423</v>
      </c>
      <c r="S92">
        <v>2017</v>
      </c>
      <c r="T92" s="1" t="s">
        <v>245</v>
      </c>
    </row>
    <row r="93" spans="1:20" x14ac:dyDescent="0.25">
      <c r="A93" s="1" t="s">
        <v>472</v>
      </c>
      <c r="B93" s="2">
        <v>43062</v>
      </c>
      <c r="C93" s="2">
        <v>43065</v>
      </c>
      <c r="D93" s="1" t="s">
        <v>21</v>
      </c>
      <c r="E93" s="1" t="s">
        <v>473</v>
      </c>
      <c r="F93" s="1" t="s">
        <v>474</v>
      </c>
      <c r="G93" s="1" t="s">
        <v>84</v>
      </c>
      <c r="H93" s="1" t="s">
        <v>475</v>
      </c>
      <c r="I93" s="1" t="s">
        <v>281</v>
      </c>
      <c r="J93" s="1" t="s">
        <v>87</v>
      </c>
      <c r="K93" s="1" t="s">
        <v>476</v>
      </c>
      <c r="L93" s="1" t="s">
        <v>29</v>
      </c>
      <c r="M93" s="1" t="s">
        <v>53</v>
      </c>
      <c r="N93" s="1" t="s">
        <v>477</v>
      </c>
      <c r="O93">
        <v>28.4</v>
      </c>
      <c r="P93">
        <v>2</v>
      </c>
      <c r="Q93">
        <v>11.076000000000001</v>
      </c>
      <c r="R93" s="1" t="s">
        <v>4420</v>
      </c>
      <c r="S93">
        <v>2017</v>
      </c>
      <c r="T93" s="1" t="s">
        <v>32</v>
      </c>
    </row>
    <row r="94" spans="1:20" x14ac:dyDescent="0.25">
      <c r="A94" s="1" t="s">
        <v>478</v>
      </c>
      <c r="B94" s="2">
        <v>42755</v>
      </c>
      <c r="C94" s="2">
        <v>42758</v>
      </c>
      <c r="D94" s="1" t="s">
        <v>21</v>
      </c>
      <c r="E94" s="1" t="s">
        <v>176</v>
      </c>
      <c r="F94" s="1" t="s">
        <v>177</v>
      </c>
      <c r="G94" s="1" t="s">
        <v>84</v>
      </c>
      <c r="H94" s="1" t="s">
        <v>165</v>
      </c>
      <c r="I94" s="1" t="s">
        <v>114</v>
      </c>
      <c r="J94" s="1" t="s">
        <v>63</v>
      </c>
      <c r="K94" s="1" t="s">
        <v>479</v>
      </c>
      <c r="L94" s="1" t="s">
        <v>29</v>
      </c>
      <c r="M94" s="1" t="s">
        <v>34</v>
      </c>
      <c r="N94" s="1" t="s">
        <v>480</v>
      </c>
      <c r="O94">
        <v>207.846</v>
      </c>
      <c r="P94">
        <v>3</v>
      </c>
      <c r="Q94">
        <v>2.3094000000000001</v>
      </c>
      <c r="R94" s="1" t="s">
        <v>4420</v>
      </c>
      <c r="S94">
        <v>2017</v>
      </c>
      <c r="T94" s="1" t="s">
        <v>161</v>
      </c>
    </row>
    <row r="95" spans="1:20" x14ac:dyDescent="0.25">
      <c r="A95" s="1" t="s">
        <v>481</v>
      </c>
      <c r="B95" s="2">
        <v>42618</v>
      </c>
      <c r="C95" s="2">
        <v>42620</v>
      </c>
      <c r="D95" s="1" t="s">
        <v>21</v>
      </c>
      <c r="E95" s="1" t="s">
        <v>482</v>
      </c>
      <c r="F95" s="1" t="s">
        <v>483</v>
      </c>
      <c r="G95" s="1" t="s">
        <v>24</v>
      </c>
      <c r="H95" s="1" t="s">
        <v>280</v>
      </c>
      <c r="I95" s="1" t="s">
        <v>281</v>
      </c>
      <c r="J95" s="1" t="s">
        <v>87</v>
      </c>
      <c r="K95" s="1" t="s">
        <v>484</v>
      </c>
      <c r="L95" s="1" t="s">
        <v>29</v>
      </c>
      <c r="M95" s="1" t="s">
        <v>53</v>
      </c>
      <c r="N95" s="1" t="s">
        <v>485</v>
      </c>
      <c r="O95">
        <v>12.22</v>
      </c>
      <c r="P95">
        <v>1</v>
      </c>
      <c r="Q95">
        <v>3.6659999999999999</v>
      </c>
      <c r="R95" s="1" t="s">
        <v>4423</v>
      </c>
      <c r="S95">
        <v>2016</v>
      </c>
      <c r="T95" s="1" t="s">
        <v>72</v>
      </c>
    </row>
    <row r="96" spans="1:20" x14ac:dyDescent="0.25">
      <c r="A96" s="1" t="s">
        <v>481</v>
      </c>
      <c r="B96" s="2">
        <v>42618</v>
      </c>
      <c r="C96" s="2">
        <v>42620</v>
      </c>
      <c r="D96" s="1" t="s">
        <v>21</v>
      </c>
      <c r="E96" s="1" t="s">
        <v>482</v>
      </c>
      <c r="F96" s="1" t="s">
        <v>483</v>
      </c>
      <c r="G96" s="1" t="s">
        <v>24</v>
      </c>
      <c r="H96" s="1" t="s">
        <v>280</v>
      </c>
      <c r="I96" s="1" t="s">
        <v>281</v>
      </c>
      <c r="J96" s="1" t="s">
        <v>87</v>
      </c>
      <c r="K96" s="1" t="s">
        <v>486</v>
      </c>
      <c r="L96" s="1" t="s">
        <v>29</v>
      </c>
      <c r="M96" s="1" t="s">
        <v>34</v>
      </c>
      <c r="N96" s="1" t="s">
        <v>487</v>
      </c>
      <c r="O96">
        <v>242.94</v>
      </c>
      <c r="P96">
        <v>3</v>
      </c>
      <c r="Q96">
        <v>29.152799999999999</v>
      </c>
      <c r="R96" s="1" t="s">
        <v>4423</v>
      </c>
      <c r="S96">
        <v>2016</v>
      </c>
      <c r="T96" s="1" t="s">
        <v>72</v>
      </c>
    </row>
    <row r="97" spans="1:20" x14ac:dyDescent="0.25">
      <c r="A97" s="1" t="s">
        <v>488</v>
      </c>
      <c r="B97" s="2">
        <v>42814</v>
      </c>
      <c r="C97" s="2">
        <v>42819</v>
      </c>
      <c r="D97" s="1" t="s">
        <v>21</v>
      </c>
      <c r="E97" s="1" t="s">
        <v>489</v>
      </c>
      <c r="F97" s="1" t="s">
        <v>490</v>
      </c>
      <c r="G97" s="1" t="s">
        <v>24</v>
      </c>
      <c r="H97" s="1" t="s">
        <v>339</v>
      </c>
      <c r="I97" s="1" t="s">
        <v>104</v>
      </c>
      <c r="J97" s="1" t="s">
        <v>87</v>
      </c>
      <c r="K97" s="1" t="s">
        <v>491</v>
      </c>
      <c r="L97" s="1" t="s">
        <v>29</v>
      </c>
      <c r="M97" s="1" t="s">
        <v>53</v>
      </c>
      <c r="N97" s="1" t="s">
        <v>492</v>
      </c>
      <c r="O97">
        <v>2.91</v>
      </c>
      <c r="P97">
        <v>1</v>
      </c>
      <c r="Q97">
        <v>1.3676999999999999</v>
      </c>
      <c r="R97" s="1" t="s">
        <v>4422</v>
      </c>
      <c r="S97">
        <v>2017</v>
      </c>
      <c r="T97" s="1" t="s">
        <v>187</v>
      </c>
    </row>
    <row r="98" spans="1:20" x14ac:dyDescent="0.25">
      <c r="A98" s="1" t="s">
        <v>493</v>
      </c>
      <c r="B98" s="2">
        <v>43028</v>
      </c>
      <c r="C98" s="2">
        <v>43032</v>
      </c>
      <c r="D98" s="1" t="s">
        <v>37</v>
      </c>
      <c r="E98" s="1" t="s">
        <v>494</v>
      </c>
      <c r="F98" s="1" t="s">
        <v>495</v>
      </c>
      <c r="G98" s="1" t="s">
        <v>84</v>
      </c>
      <c r="H98" s="1" t="s">
        <v>496</v>
      </c>
      <c r="I98" s="1" t="s">
        <v>223</v>
      </c>
      <c r="J98" s="1" t="s">
        <v>63</v>
      </c>
      <c r="K98" s="1" t="s">
        <v>56</v>
      </c>
      <c r="L98" s="1" t="s">
        <v>29</v>
      </c>
      <c r="M98" s="1" t="s">
        <v>43</v>
      </c>
      <c r="N98" s="1" t="s">
        <v>57</v>
      </c>
      <c r="O98">
        <v>284.36399999999998</v>
      </c>
      <c r="P98">
        <v>2</v>
      </c>
      <c r="Q98">
        <v>-75.830399999999997</v>
      </c>
      <c r="R98" s="1" t="s">
        <v>4424</v>
      </c>
      <c r="S98">
        <v>2017</v>
      </c>
      <c r="T98" s="1" t="s">
        <v>45</v>
      </c>
    </row>
    <row r="99" spans="1:20" x14ac:dyDescent="0.25">
      <c r="A99" s="1" t="s">
        <v>497</v>
      </c>
      <c r="B99" s="2">
        <v>41682</v>
      </c>
      <c r="C99" s="2">
        <v>41688</v>
      </c>
      <c r="D99" s="1" t="s">
        <v>37</v>
      </c>
      <c r="E99" s="1" t="s">
        <v>498</v>
      </c>
      <c r="F99" s="1" t="s">
        <v>499</v>
      </c>
      <c r="G99" s="1" t="s">
        <v>24</v>
      </c>
      <c r="H99" s="1" t="s">
        <v>500</v>
      </c>
      <c r="I99" s="1" t="s">
        <v>50</v>
      </c>
      <c r="J99" s="1" t="s">
        <v>51</v>
      </c>
      <c r="K99" s="1" t="s">
        <v>501</v>
      </c>
      <c r="L99" s="1" t="s">
        <v>29</v>
      </c>
      <c r="M99" s="1" t="s">
        <v>34</v>
      </c>
      <c r="N99" s="1" t="s">
        <v>502</v>
      </c>
      <c r="O99">
        <v>129.56800000000001</v>
      </c>
      <c r="P99">
        <v>2</v>
      </c>
      <c r="Q99">
        <v>-24.294</v>
      </c>
      <c r="R99" s="1" t="s">
        <v>4426</v>
      </c>
      <c r="S99">
        <v>2014</v>
      </c>
      <c r="T99" s="1" t="s">
        <v>289</v>
      </c>
    </row>
    <row r="100" spans="1:20" x14ac:dyDescent="0.25">
      <c r="A100" s="1" t="s">
        <v>503</v>
      </c>
      <c r="B100" s="2">
        <v>42639</v>
      </c>
      <c r="C100" s="2">
        <v>42644</v>
      </c>
      <c r="D100" s="1" t="s">
        <v>37</v>
      </c>
      <c r="E100" s="1" t="s">
        <v>466</v>
      </c>
      <c r="F100" s="1" t="s">
        <v>467</v>
      </c>
      <c r="G100" s="1" t="s">
        <v>24</v>
      </c>
      <c r="H100" s="1" t="s">
        <v>504</v>
      </c>
      <c r="I100" s="1" t="s">
        <v>126</v>
      </c>
      <c r="J100" s="1" t="s">
        <v>87</v>
      </c>
      <c r="K100" s="1" t="s">
        <v>505</v>
      </c>
      <c r="L100" s="1" t="s">
        <v>29</v>
      </c>
      <c r="M100" s="1" t="s">
        <v>34</v>
      </c>
      <c r="N100" s="1" t="s">
        <v>506</v>
      </c>
      <c r="O100">
        <v>747.55799999999999</v>
      </c>
      <c r="P100">
        <v>3</v>
      </c>
      <c r="Q100">
        <v>-96.114599999999996</v>
      </c>
      <c r="R100" s="1" t="s">
        <v>4422</v>
      </c>
      <c r="S100">
        <v>2016</v>
      </c>
      <c r="T100" s="1" t="s">
        <v>72</v>
      </c>
    </row>
    <row r="101" spans="1:20" x14ac:dyDescent="0.25">
      <c r="A101" s="1" t="s">
        <v>507</v>
      </c>
      <c r="B101" s="2">
        <v>42482</v>
      </c>
      <c r="C101" s="2">
        <v>42489</v>
      </c>
      <c r="D101" s="1" t="s">
        <v>37</v>
      </c>
      <c r="E101" s="1" t="s">
        <v>508</v>
      </c>
      <c r="F101" s="1" t="s">
        <v>509</v>
      </c>
      <c r="G101" s="1" t="s">
        <v>94</v>
      </c>
      <c r="H101" s="1" t="s">
        <v>510</v>
      </c>
      <c r="I101" s="1" t="s">
        <v>511</v>
      </c>
      <c r="J101" s="1" t="s">
        <v>51</v>
      </c>
      <c r="K101" s="1" t="s">
        <v>414</v>
      </c>
      <c r="L101" s="1" t="s">
        <v>29</v>
      </c>
      <c r="M101" s="1" t="s">
        <v>53</v>
      </c>
      <c r="N101" s="1" t="s">
        <v>415</v>
      </c>
      <c r="O101">
        <v>23.56</v>
      </c>
      <c r="P101">
        <v>5</v>
      </c>
      <c r="Q101">
        <v>7.0679999999999996</v>
      </c>
      <c r="R101" s="1" t="s">
        <v>4421</v>
      </c>
      <c r="S101">
        <v>2016</v>
      </c>
      <c r="T101" s="1" t="s">
        <v>107</v>
      </c>
    </row>
    <row r="102" spans="1:20" x14ac:dyDescent="0.25">
      <c r="A102" s="1" t="s">
        <v>507</v>
      </c>
      <c r="B102" s="2">
        <v>42482</v>
      </c>
      <c r="C102" s="2">
        <v>42489</v>
      </c>
      <c r="D102" s="1" t="s">
        <v>37</v>
      </c>
      <c r="E102" s="1" t="s">
        <v>508</v>
      </c>
      <c r="F102" s="1" t="s">
        <v>509</v>
      </c>
      <c r="G102" s="1" t="s">
        <v>94</v>
      </c>
      <c r="H102" s="1" t="s">
        <v>510</v>
      </c>
      <c r="I102" s="1" t="s">
        <v>511</v>
      </c>
      <c r="J102" s="1" t="s">
        <v>51</v>
      </c>
      <c r="K102" s="1" t="s">
        <v>512</v>
      </c>
      <c r="L102" s="1" t="s">
        <v>29</v>
      </c>
      <c r="M102" s="1" t="s">
        <v>43</v>
      </c>
      <c r="N102" s="1" t="s">
        <v>513</v>
      </c>
      <c r="O102">
        <v>1272.6300000000001</v>
      </c>
      <c r="P102">
        <v>6</v>
      </c>
      <c r="Q102">
        <v>-814.48320000000001</v>
      </c>
      <c r="R102" s="1" t="s">
        <v>4421</v>
      </c>
      <c r="S102">
        <v>2016</v>
      </c>
      <c r="T102" s="1" t="s">
        <v>107</v>
      </c>
    </row>
    <row r="103" spans="1:20" x14ac:dyDescent="0.25">
      <c r="A103" s="1" t="s">
        <v>514</v>
      </c>
      <c r="B103" s="2">
        <v>42021</v>
      </c>
      <c r="C103" s="2">
        <v>42028</v>
      </c>
      <c r="D103" s="1" t="s">
        <v>37</v>
      </c>
      <c r="E103" s="1" t="s">
        <v>515</v>
      </c>
      <c r="F103" s="1" t="s">
        <v>516</v>
      </c>
      <c r="G103" s="1" t="s">
        <v>94</v>
      </c>
      <c r="H103" s="1" t="s">
        <v>517</v>
      </c>
      <c r="I103" s="1" t="s">
        <v>126</v>
      </c>
      <c r="J103" s="1" t="s">
        <v>87</v>
      </c>
      <c r="K103" s="1" t="s">
        <v>350</v>
      </c>
      <c r="L103" s="1" t="s">
        <v>29</v>
      </c>
      <c r="M103" s="1" t="s">
        <v>53</v>
      </c>
      <c r="N103" s="1" t="s">
        <v>351</v>
      </c>
      <c r="O103">
        <v>254.744</v>
      </c>
      <c r="P103">
        <v>7</v>
      </c>
      <c r="Q103">
        <v>-312.06139999999999</v>
      </c>
      <c r="R103" s="1" t="s">
        <v>4421</v>
      </c>
      <c r="S103">
        <v>2015</v>
      </c>
      <c r="T103" s="1" t="s">
        <v>161</v>
      </c>
    </row>
    <row r="104" spans="1:20" x14ac:dyDescent="0.25">
      <c r="A104" s="1" t="s">
        <v>518</v>
      </c>
      <c r="B104" s="2">
        <v>42825</v>
      </c>
      <c r="C104" s="2">
        <v>42829</v>
      </c>
      <c r="D104" s="1" t="s">
        <v>37</v>
      </c>
      <c r="E104" s="1" t="s">
        <v>278</v>
      </c>
      <c r="F104" s="1" t="s">
        <v>279</v>
      </c>
      <c r="G104" s="1" t="s">
        <v>84</v>
      </c>
      <c r="H104" s="1" t="s">
        <v>519</v>
      </c>
      <c r="I104" s="1" t="s">
        <v>86</v>
      </c>
      <c r="J104" s="1" t="s">
        <v>87</v>
      </c>
      <c r="K104" s="1" t="s">
        <v>520</v>
      </c>
      <c r="L104" s="1" t="s">
        <v>29</v>
      </c>
      <c r="M104" s="1" t="s">
        <v>30</v>
      </c>
      <c r="N104" s="1" t="s">
        <v>521</v>
      </c>
      <c r="O104">
        <v>205.33279999999999</v>
      </c>
      <c r="P104">
        <v>2</v>
      </c>
      <c r="Q104">
        <v>-36.235199999999999</v>
      </c>
      <c r="R104" s="1" t="s">
        <v>4424</v>
      </c>
      <c r="S104">
        <v>2017</v>
      </c>
      <c r="T104" s="1" t="s">
        <v>187</v>
      </c>
    </row>
    <row r="105" spans="1:20" x14ac:dyDescent="0.25">
      <c r="A105" s="1" t="s">
        <v>522</v>
      </c>
      <c r="B105" s="2">
        <v>41952</v>
      </c>
      <c r="C105" s="2">
        <v>41954</v>
      </c>
      <c r="D105" s="1" t="s">
        <v>21</v>
      </c>
      <c r="E105" s="1" t="s">
        <v>523</v>
      </c>
      <c r="F105" s="1" t="s">
        <v>524</v>
      </c>
      <c r="G105" s="1" t="s">
        <v>24</v>
      </c>
      <c r="H105" s="1" t="s">
        <v>320</v>
      </c>
      <c r="I105" s="1" t="s">
        <v>50</v>
      </c>
      <c r="J105" s="1" t="s">
        <v>51</v>
      </c>
      <c r="K105" s="1" t="s">
        <v>525</v>
      </c>
      <c r="L105" s="1" t="s">
        <v>29</v>
      </c>
      <c r="M105" s="1" t="s">
        <v>30</v>
      </c>
      <c r="N105" s="1" t="s">
        <v>526</v>
      </c>
      <c r="O105">
        <v>222.666</v>
      </c>
      <c r="P105">
        <v>2</v>
      </c>
      <c r="Q105">
        <v>10.478400000000001</v>
      </c>
      <c r="R105" s="1" t="s">
        <v>4423</v>
      </c>
      <c r="S105">
        <v>2014</v>
      </c>
      <c r="T105" s="1" t="s">
        <v>32</v>
      </c>
    </row>
    <row r="106" spans="1:20" x14ac:dyDescent="0.25">
      <c r="A106" s="1" t="s">
        <v>527</v>
      </c>
      <c r="B106" s="2">
        <v>42670</v>
      </c>
      <c r="C106" s="2">
        <v>42676</v>
      </c>
      <c r="D106" s="1" t="s">
        <v>37</v>
      </c>
      <c r="E106" s="1" t="s">
        <v>528</v>
      </c>
      <c r="F106" s="1" t="s">
        <v>529</v>
      </c>
      <c r="G106" s="1" t="s">
        <v>24</v>
      </c>
      <c r="H106" s="1" t="s">
        <v>113</v>
      </c>
      <c r="I106" s="1" t="s">
        <v>114</v>
      </c>
      <c r="J106" s="1" t="s">
        <v>63</v>
      </c>
      <c r="K106" s="1" t="s">
        <v>365</v>
      </c>
      <c r="L106" s="1" t="s">
        <v>29</v>
      </c>
      <c r="M106" s="1" t="s">
        <v>53</v>
      </c>
      <c r="N106" s="1" t="s">
        <v>366</v>
      </c>
      <c r="O106">
        <v>40.200000000000003</v>
      </c>
      <c r="P106">
        <v>3</v>
      </c>
      <c r="Q106">
        <v>19.295999999999999</v>
      </c>
      <c r="R106" s="1" t="s">
        <v>4426</v>
      </c>
      <c r="S106">
        <v>2016</v>
      </c>
      <c r="T106" s="1" t="s">
        <v>45</v>
      </c>
    </row>
    <row r="107" spans="1:20" x14ac:dyDescent="0.25">
      <c r="A107" s="1" t="s">
        <v>530</v>
      </c>
      <c r="B107" s="2">
        <v>42896</v>
      </c>
      <c r="C107" s="2">
        <v>42899</v>
      </c>
      <c r="D107" s="1" t="s">
        <v>81</v>
      </c>
      <c r="E107" s="1" t="s">
        <v>531</v>
      </c>
      <c r="F107" s="1" t="s">
        <v>532</v>
      </c>
      <c r="G107" s="1" t="s">
        <v>94</v>
      </c>
      <c r="H107" s="1" t="s">
        <v>49</v>
      </c>
      <c r="I107" s="1" t="s">
        <v>50</v>
      </c>
      <c r="J107" s="1" t="s">
        <v>51</v>
      </c>
      <c r="K107" s="1" t="s">
        <v>533</v>
      </c>
      <c r="L107" s="1" t="s">
        <v>29</v>
      </c>
      <c r="M107" s="1" t="s">
        <v>30</v>
      </c>
      <c r="N107" s="1" t="s">
        <v>534</v>
      </c>
      <c r="O107">
        <v>514.16499999999996</v>
      </c>
      <c r="P107">
        <v>5</v>
      </c>
      <c r="Q107">
        <v>-30.245000000000001</v>
      </c>
      <c r="R107" s="1" t="s">
        <v>4420</v>
      </c>
      <c r="S107">
        <v>2017</v>
      </c>
      <c r="T107" s="1" t="s">
        <v>55</v>
      </c>
    </row>
    <row r="108" spans="1:20" x14ac:dyDescent="0.25">
      <c r="A108" s="1" t="s">
        <v>535</v>
      </c>
      <c r="B108" s="2">
        <v>42447</v>
      </c>
      <c r="C108" s="2">
        <v>42450</v>
      </c>
      <c r="D108" s="1" t="s">
        <v>21</v>
      </c>
      <c r="E108" s="1" t="s">
        <v>536</v>
      </c>
      <c r="F108" s="1" t="s">
        <v>537</v>
      </c>
      <c r="G108" s="1" t="s">
        <v>24</v>
      </c>
      <c r="H108" s="1" t="s">
        <v>132</v>
      </c>
      <c r="I108" s="1" t="s">
        <v>133</v>
      </c>
      <c r="J108" s="1" t="s">
        <v>27</v>
      </c>
      <c r="K108" s="1" t="s">
        <v>538</v>
      </c>
      <c r="L108" s="1" t="s">
        <v>29</v>
      </c>
      <c r="M108" s="1" t="s">
        <v>43</v>
      </c>
      <c r="N108" s="1" t="s">
        <v>539</v>
      </c>
      <c r="O108">
        <v>189.88200000000001</v>
      </c>
      <c r="P108">
        <v>3</v>
      </c>
      <c r="Q108">
        <v>-94.941000000000003</v>
      </c>
      <c r="R108" s="1" t="s">
        <v>4420</v>
      </c>
      <c r="S108">
        <v>2016</v>
      </c>
      <c r="T108" s="1" t="s">
        <v>187</v>
      </c>
    </row>
    <row r="109" spans="1:20" x14ac:dyDescent="0.25">
      <c r="A109" s="1" t="s">
        <v>540</v>
      </c>
      <c r="B109" s="2">
        <v>42576</v>
      </c>
      <c r="C109" s="2">
        <v>42582</v>
      </c>
      <c r="D109" s="1" t="s">
        <v>37</v>
      </c>
      <c r="E109" s="1" t="s">
        <v>498</v>
      </c>
      <c r="F109" s="1" t="s">
        <v>499</v>
      </c>
      <c r="G109" s="1" t="s">
        <v>24</v>
      </c>
      <c r="H109" s="1" t="s">
        <v>541</v>
      </c>
      <c r="I109" s="1" t="s">
        <v>50</v>
      </c>
      <c r="J109" s="1" t="s">
        <v>51</v>
      </c>
      <c r="K109" s="1" t="s">
        <v>542</v>
      </c>
      <c r="L109" s="1" t="s">
        <v>29</v>
      </c>
      <c r="M109" s="1" t="s">
        <v>53</v>
      </c>
      <c r="N109" s="1" t="s">
        <v>543</v>
      </c>
      <c r="O109">
        <v>255.76</v>
      </c>
      <c r="P109">
        <v>4</v>
      </c>
      <c r="Q109">
        <v>81.843199999999996</v>
      </c>
      <c r="R109" s="1" t="s">
        <v>4426</v>
      </c>
      <c r="S109">
        <v>2016</v>
      </c>
      <c r="T109" s="1" t="s">
        <v>66</v>
      </c>
    </row>
    <row r="110" spans="1:20" x14ac:dyDescent="0.25">
      <c r="A110" s="1" t="s">
        <v>540</v>
      </c>
      <c r="B110" s="2">
        <v>42576</v>
      </c>
      <c r="C110" s="2">
        <v>42582</v>
      </c>
      <c r="D110" s="1" t="s">
        <v>37</v>
      </c>
      <c r="E110" s="1" t="s">
        <v>498</v>
      </c>
      <c r="F110" s="1" t="s">
        <v>499</v>
      </c>
      <c r="G110" s="1" t="s">
        <v>24</v>
      </c>
      <c r="H110" s="1" t="s">
        <v>541</v>
      </c>
      <c r="I110" s="1" t="s">
        <v>50</v>
      </c>
      <c r="J110" s="1" t="s">
        <v>51</v>
      </c>
      <c r="K110" s="1" t="s">
        <v>386</v>
      </c>
      <c r="L110" s="1" t="s">
        <v>29</v>
      </c>
      <c r="M110" s="1" t="s">
        <v>34</v>
      </c>
      <c r="N110" s="1" t="s">
        <v>387</v>
      </c>
      <c r="O110">
        <v>241.56800000000001</v>
      </c>
      <c r="P110">
        <v>2</v>
      </c>
      <c r="Q110">
        <v>18.117599999999999</v>
      </c>
      <c r="R110" s="1" t="s">
        <v>4426</v>
      </c>
      <c r="S110">
        <v>2016</v>
      </c>
      <c r="T110" s="1" t="s">
        <v>66</v>
      </c>
    </row>
    <row r="111" spans="1:20" x14ac:dyDescent="0.25">
      <c r="A111" s="1" t="s">
        <v>540</v>
      </c>
      <c r="B111" s="2">
        <v>42576</v>
      </c>
      <c r="C111" s="2">
        <v>42582</v>
      </c>
      <c r="D111" s="1" t="s">
        <v>37</v>
      </c>
      <c r="E111" s="1" t="s">
        <v>498</v>
      </c>
      <c r="F111" s="1" t="s">
        <v>499</v>
      </c>
      <c r="G111" s="1" t="s">
        <v>24</v>
      </c>
      <c r="H111" s="1" t="s">
        <v>541</v>
      </c>
      <c r="I111" s="1" t="s">
        <v>50</v>
      </c>
      <c r="J111" s="1" t="s">
        <v>51</v>
      </c>
      <c r="K111" s="1" t="s">
        <v>544</v>
      </c>
      <c r="L111" s="1" t="s">
        <v>29</v>
      </c>
      <c r="M111" s="1" t="s">
        <v>53</v>
      </c>
      <c r="N111" s="1" t="s">
        <v>545</v>
      </c>
      <c r="O111">
        <v>69.3</v>
      </c>
      <c r="P111">
        <v>9</v>
      </c>
      <c r="Q111">
        <v>22.869</v>
      </c>
      <c r="R111" s="1" t="s">
        <v>4426</v>
      </c>
      <c r="S111">
        <v>2016</v>
      </c>
      <c r="T111" s="1" t="s">
        <v>66</v>
      </c>
    </row>
    <row r="112" spans="1:20" x14ac:dyDescent="0.25">
      <c r="A112" s="1" t="s">
        <v>546</v>
      </c>
      <c r="B112" s="2">
        <v>42520</v>
      </c>
      <c r="C112" s="2">
        <v>42525</v>
      </c>
      <c r="D112" s="1" t="s">
        <v>37</v>
      </c>
      <c r="E112" s="1" t="s">
        <v>547</v>
      </c>
      <c r="F112" s="1" t="s">
        <v>548</v>
      </c>
      <c r="G112" s="1" t="s">
        <v>84</v>
      </c>
      <c r="H112" s="1" t="s">
        <v>549</v>
      </c>
      <c r="I112" s="1" t="s">
        <v>172</v>
      </c>
      <c r="J112" s="1" t="s">
        <v>51</v>
      </c>
      <c r="K112" s="1" t="s">
        <v>550</v>
      </c>
      <c r="L112" s="1" t="s">
        <v>29</v>
      </c>
      <c r="M112" s="1" t="s">
        <v>34</v>
      </c>
      <c r="N112" s="1" t="s">
        <v>551</v>
      </c>
      <c r="O112">
        <v>801.56799999999998</v>
      </c>
      <c r="P112">
        <v>2</v>
      </c>
      <c r="Q112">
        <v>50.097999999999999</v>
      </c>
      <c r="R112" s="1" t="s">
        <v>4422</v>
      </c>
      <c r="S112">
        <v>2016</v>
      </c>
      <c r="T112" s="1" t="s">
        <v>153</v>
      </c>
    </row>
    <row r="113" spans="1:20" x14ac:dyDescent="0.25">
      <c r="A113" s="1" t="s">
        <v>552</v>
      </c>
      <c r="B113" s="2">
        <v>43065</v>
      </c>
      <c r="C113" s="2">
        <v>43066</v>
      </c>
      <c r="D113" s="1" t="s">
        <v>81</v>
      </c>
      <c r="E113" s="1" t="s">
        <v>553</v>
      </c>
      <c r="F113" s="1" t="s">
        <v>554</v>
      </c>
      <c r="G113" s="1" t="s">
        <v>24</v>
      </c>
      <c r="H113" s="1" t="s">
        <v>555</v>
      </c>
      <c r="I113" s="1" t="s">
        <v>556</v>
      </c>
      <c r="J113" s="1" t="s">
        <v>87</v>
      </c>
      <c r="K113" s="1" t="s">
        <v>557</v>
      </c>
      <c r="L113" s="1" t="s">
        <v>29</v>
      </c>
      <c r="M113" s="1" t="s">
        <v>53</v>
      </c>
      <c r="N113" s="1" t="s">
        <v>558</v>
      </c>
      <c r="O113">
        <v>126.3</v>
      </c>
      <c r="P113">
        <v>3</v>
      </c>
      <c r="Q113">
        <v>40.415999999999997</v>
      </c>
      <c r="R113" s="1" t="s">
        <v>4425</v>
      </c>
      <c r="S113">
        <v>2017</v>
      </c>
      <c r="T113" s="1" t="s">
        <v>32</v>
      </c>
    </row>
    <row r="114" spans="1:20" x14ac:dyDescent="0.25">
      <c r="A114" s="1" t="s">
        <v>559</v>
      </c>
      <c r="B114" s="2">
        <v>42758</v>
      </c>
      <c r="C114" s="2">
        <v>42760</v>
      </c>
      <c r="D114" s="1" t="s">
        <v>81</v>
      </c>
      <c r="E114" s="1" t="s">
        <v>560</v>
      </c>
      <c r="F114" s="1" t="s">
        <v>561</v>
      </c>
      <c r="G114" s="1" t="s">
        <v>84</v>
      </c>
      <c r="H114" s="1" t="s">
        <v>280</v>
      </c>
      <c r="I114" s="1" t="s">
        <v>281</v>
      </c>
      <c r="J114" s="1" t="s">
        <v>87</v>
      </c>
      <c r="K114" s="1" t="s">
        <v>538</v>
      </c>
      <c r="L114" s="1" t="s">
        <v>29</v>
      </c>
      <c r="M114" s="1" t="s">
        <v>43</v>
      </c>
      <c r="N114" s="1" t="s">
        <v>539</v>
      </c>
      <c r="O114">
        <v>210.98</v>
      </c>
      <c r="P114">
        <v>2</v>
      </c>
      <c r="Q114">
        <v>21.097999999999999</v>
      </c>
      <c r="R114" s="1" t="s">
        <v>4423</v>
      </c>
      <c r="S114">
        <v>2017</v>
      </c>
      <c r="T114" s="1" t="s">
        <v>161</v>
      </c>
    </row>
    <row r="115" spans="1:20" x14ac:dyDescent="0.25">
      <c r="A115" s="1" t="s">
        <v>562</v>
      </c>
      <c r="B115" s="2">
        <v>43029</v>
      </c>
      <c r="C115" s="2">
        <v>43034</v>
      </c>
      <c r="D115" s="1" t="s">
        <v>37</v>
      </c>
      <c r="E115" s="1" t="s">
        <v>563</v>
      </c>
      <c r="F115" s="1" t="s">
        <v>564</v>
      </c>
      <c r="G115" s="1" t="s">
        <v>94</v>
      </c>
      <c r="H115" s="1" t="s">
        <v>565</v>
      </c>
      <c r="I115" s="1" t="s">
        <v>41</v>
      </c>
      <c r="J115" s="1" t="s">
        <v>27</v>
      </c>
      <c r="K115" s="1" t="s">
        <v>566</v>
      </c>
      <c r="L115" s="1" t="s">
        <v>29</v>
      </c>
      <c r="M115" s="1" t="s">
        <v>34</v>
      </c>
      <c r="N115" s="1" t="s">
        <v>567</v>
      </c>
      <c r="O115">
        <v>683.952</v>
      </c>
      <c r="P115">
        <v>3</v>
      </c>
      <c r="Q115">
        <v>42.747</v>
      </c>
      <c r="R115" s="1" t="s">
        <v>4422</v>
      </c>
      <c r="S115">
        <v>2017</v>
      </c>
      <c r="T115" s="1" t="s">
        <v>45</v>
      </c>
    </row>
    <row r="116" spans="1:20" x14ac:dyDescent="0.25">
      <c r="A116" s="1" t="s">
        <v>562</v>
      </c>
      <c r="B116" s="2">
        <v>43029</v>
      </c>
      <c r="C116" s="2">
        <v>43034</v>
      </c>
      <c r="D116" s="1" t="s">
        <v>37</v>
      </c>
      <c r="E116" s="1" t="s">
        <v>563</v>
      </c>
      <c r="F116" s="1" t="s">
        <v>564</v>
      </c>
      <c r="G116" s="1" t="s">
        <v>94</v>
      </c>
      <c r="H116" s="1" t="s">
        <v>565</v>
      </c>
      <c r="I116" s="1" t="s">
        <v>41</v>
      </c>
      <c r="J116" s="1" t="s">
        <v>27</v>
      </c>
      <c r="K116" s="1" t="s">
        <v>375</v>
      </c>
      <c r="L116" s="1" t="s">
        <v>29</v>
      </c>
      <c r="M116" s="1" t="s">
        <v>53</v>
      </c>
      <c r="N116" s="1" t="s">
        <v>376</v>
      </c>
      <c r="O116">
        <v>45.695999999999998</v>
      </c>
      <c r="P116">
        <v>3</v>
      </c>
      <c r="Q116">
        <v>5.1407999999999996</v>
      </c>
      <c r="R116" s="1" t="s">
        <v>4422</v>
      </c>
      <c r="S116">
        <v>2017</v>
      </c>
      <c r="T116" s="1" t="s">
        <v>45</v>
      </c>
    </row>
    <row r="117" spans="1:20" x14ac:dyDescent="0.25">
      <c r="A117" s="1" t="s">
        <v>568</v>
      </c>
      <c r="B117" s="2">
        <v>42315</v>
      </c>
      <c r="C117" s="2">
        <v>42317</v>
      </c>
      <c r="D117" s="1" t="s">
        <v>21</v>
      </c>
      <c r="E117" s="1" t="s">
        <v>569</v>
      </c>
      <c r="F117" s="1" t="s">
        <v>570</v>
      </c>
      <c r="G117" s="1" t="s">
        <v>84</v>
      </c>
      <c r="H117" s="1" t="s">
        <v>49</v>
      </c>
      <c r="I117" s="1" t="s">
        <v>50</v>
      </c>
      <c r="J117" s="1" t="s">
        <v>51</v>
      </c>
      <c r="K117" s="1" t="s">
        <v>571</v>
      </c>
      <c r="L117" s="1" t="s">
        <v>29</v>
      </c>
      <c r="M117" s="1" t="s">
        <v>34</v>
      </c>
      <c r="N117" s="1" t="s">
        <v>572</v>
      </c>
      <c r="O117">
        <v>190.72</v>
      </c>
      <c r="P117">
        <v>1</v>
      </c>
      <c r="Q117">
        <v>11.92</v>
      </c>
      <c r="R117" s="1" t="s">
        <v>4423</v>
      </c>
      <c r="S117">
        <v>2015</v>
      </c>
      <c r="T117" s="1" t="s">
        <v>32</v>
      </c>
    </row>
    <row r="118" spans="1:20" x14ac:dyDescent="0.25">
      <c r="A118" s="1" t="s">
        <v>573</v>
      </c>
      <c r="B118" s="2">
        <v>42985</v>
      </c>
      <c r="C118" s="2">
        <v>42989</v>
      </c>
      <c r="D118" s="1" t="s">
        <v>37</v>
      </c>
      <c r="E118" s="1" t="s">
        <v>574</v>
      </c>
      <c r="F118" s="1" t="s">
        <v>575</v>
      </c>
      <c r="G118" s="1" t="s">
        <v>24</v>
      </c>
      <c r="H118" s="1" t="s">
        <v>49</v>
      </c>
      <c r="I118" s="1" t="s">
        <v>50</v>
      </c>
      <c r="J118" s="1" t="s">
        <v>51</v>
      </c>
      <c r="K118" s="1" t="s">
        <v>576</v>
      </c>
      <c r="L118" s="1" t="s">
        <v>29</v>
      </c>
      <c r="M118" s="1" t="s">
        <v>53</v>
      </c>
      <c r="N118" s="1" t="s">
        <v>577</v>
      </c>
      <c r="O118">
        <v>47.94</v>
      </c>
      <c r="P118">
        <v>3</v>
      </c>
      <c r="Q118">
        <v>2.3969999999999998</v>
      </c>
      <c r="R118" s="1" t="s">
        <v>4424</v>
      </c>
      <c r="S118">
        <v>2017</v>
      </c>
      <c r="T118" s="1" t="s">
        <v>72</v>
      </c>
    </row>
    <row r="119" spans="1:20" x14ac:dyDescent="0.25">
      <c r="A119" s="1" t="s">
        <v>578</v>
      </c>
      <c r="B119" s="2">
        <v>42345</v>
      </c>
      <c r="C119" s="2">
        <v>42349</v>
      </c>
      <c r="D119" s="1" t="s">
        <v>37</v>
      </c>
      <c r="E119" s="1" t="s">
        <v>579</v>
      </c>
      <c r="F119" s="1" t="s">
        <v>580</v>
      </c>
      <c r="G119" s="1" t="s">
        <v>24</v>
      </c>
      <c r="H119" s="1" t="s">
        <v>25</v>
      </c>
      <c r="I119" s="1" t="s">
        <v>26</v>
      </c>
      <c r="J119" s="1" t="s">
        <v>27</v>
      </c>
      <c r="K119" s="1" t="s">
        <v>581</v>
      </c>
      <c r="L119" s="1" t="s">
        <v>29</v>
      </c>
      <c r="M119" s="1" t="s">
        <v>34</v>
      </c>
      <c r="N119" s="1" t="s">
        <v>582</v>
      </c>
      <c r="O119">
        <v>283.92</v>
      </c>
      <c r="P119">
        <v>4</v>
      </c>
      <c r="Q119">
        <v>70.98</v>
      </c>
      <c r="R119" s="1" t="s">
        <v>4424</v>
      </c>
      <c r="S119">
        <v>2015</v>
      </c>
      <c r="T119" s="1" t="s">
        <v>90</v>
      </c>
    </row>
    <row r="120" spans="1:20" x14ac:dyDescent="0.25">
      <c r="A120" s="1" t="s">
        <v>583</v>
      </c>
      <c r="B120" s="2">
        <v>41770</v>
      </c>
      <c r="C120" s="2">
        <v>41775</v>
      </c>
      <c r="D120" s="1" t="s">
        <v>37</v>
      </c>
      <c r="E120" s="1" t="s">
        <v>584</v>
      </c>
      <c r="F120" s="1" t="s">
        <v>585</v>
      </c>
      <c r="G120" s="1" t="s">
        <v>24</v>
      </c>
      <c r="H120" s="1" t="s">
        <v>586</v>
      </c>
      <c r="I120" s="1" t="s">
        <v>86</v>
      </c>
      <c r="J120" s="1" t="s">
        <v>87</v>
      </c>
      <c r="K120" s="1" t="s">
        <v>587</v>
      </c>
      <c r="L120" s="1" t="s">
        <v>29</v>
      </c>
      <c r="M120" s="1" t="s">
        <v>53</v>
      </c>
      <c r="N120" s="1" t="s">
        <v>588</v>
      </c>
      <c r="O120">
        <v>66.111999999999995</v>
      </c>
      <c r="P120">
        <v>4</v>
      </c>
      <c r="Q120">
        <v>-84.2928</v>
      </c>
      <c r="R120" s="1" t="s">
        <v>4422</v>
      </c>
      <c r="S120">
        <v>2014</v>
      </c>
      <c r="T120" s="1" t="s">
        <v>153</v>
      </c>
    </row>
    <row r="121" spans="1:20" x14ac:dyDescent="0.25">
      <c r="A121" s="1" t="s">
        <v>589</v>
      </c>
      <c r="B121" s="2">
        <v>42475</v>
      </c>
      <c r="C121" s="2">
        <v>42477</v>
      </c>
      <c r="D121" s="1" t="s">
        <v>21</v>
      </c>
      <c r="E121" s="1" t="s">
        <v>590</v>
      </c>
      <c r="F121" s="1" t="s">
        <v>591</v>
      </c>
      <c r="G121" s="1" t="s">
        <v>24</v>
      </c>
      <c r="H121" s="1" t="s">
        <v>320</v>
      </c>
      <c r="I121" s="1" t="s">
        <v>50</v>
      </c>
      <c r="J121" s="1" t="s">
        <v>51</v>
      </c>
      <c r="K121" s="1" t="s">
        <v>592</v>
      </c>
      <c r="L121" s="1" t="s">
        <v>29</v>
      </c>
      <c r="M121" s="1" t="s">
        <v>34</v>
      </c>
      <c r="N121" s="1" t="s">
        <v>593</v>
      </c>
      <c r="O121">
        <v>1121.568</v>
      </c>
      <c r="P121">
        <v>2</v>
      </c>
      <c r="Q121">
        <v>0</v>
      </c>
      <c r="R121" s="1" t="s">
        <v>4423</v>
      </c>
      <c r="S121">
        <v>2016</v>
      </c>
      <c r="T121" s="1" t="s">
        <v>107</v>
      </c>
    </row>
    <row r="122" spans="1:20" x14ac:dyDescent="0.25">
      <c r="A122" s="1" t="s">
        <v>594</v>
      </c>
      <c r="B122" s="2">
        <v>42989</v>
      </c>
      <c r="C122" s="2">
        <v>42990</v>
      </c>
      <c r="D122" s="1" t="s">
        <v>81</v>
      </c>
      <c r="E122" s="1" t="s">
        <v>595</v>
      </c>
      <c r="F122" s="1" t="s">
        <v>596</v>
      </c>
      <c r="G122" s="1" t="s">
        <v>24</v>
      </c>
      <c r="H122" s="1" t="s">
        <v>597</v>
      </c>
      <c r="I122" s="1" t="s">
        <v>41</v>
      </c>
      <c r="J122" s="1" t="s">
        <v>27</v>
      </c>
      <c r="K122" s="1" t="s">
        <v>598</v>
      </c>
      <c r="L122" s="1" t="s">
        <v>29</v>
      </c>
      <c r="M122" s="1" t="s">
        <v>53</v>
      </c>
      <c r="N122" s="1" t="s">
        <v>599</v>
      </c>
      <c r="O122">
        <v>34.503999999999998</v>
      </c>
      <c r="P122">
        <v>1</v>
      </c>
      <c r="Q122">
        <v>6.0381999999999998</v>
      </c>
      <c r="R122" s="1" t="s">
        <v>4425</v>
      </c>
      <c r="S122">
        <v>2017</v>
      </c>
      <c r="T122" s="1" t="s">
        <v>72</v>
      </c>
    </row>
    <row r="123" spans="1:20" x14ac:dyDescent="0.25">
      <c r="A123" s="1" t="s">
        <v>600</v>
      </c>
      <c r="B123" s="2">
        <v>42531</v>
      </c>
      <c r="C123" s="2">
        <v>42536</v>
      </c>
      <c r="D123" s="1" t="s">
        <v>37</v>
      </c>
      <c r="E123" s="1" t="s">
        <v>601</v>
      </c>
      <c r="F123" s="1" t="s">
        <v>602</v>
      </c>
      <c r="G123" s="1" t="s">
        <v>24</v>
      </c>
      <c r="H123" s="1" t="s">
        <v>49</v>
      </c>
      <c r="I123" s="1" t="s">
        <v>50</v>
      </c>
      <c r="J123" s="1" t="s">
        <v>51</v>
      </c>
      <c r="K123" s="1" t="s">
        <v>603</v>
      </c>
      <c r="L123" s="1" t="s">
        <v>29</v>
      </c>
      <c r="M123" s="1" t="s">
        <v>43</v>
      </c>
      <c r="N123" s="1" t="s">
        <v>604</v>
      </c>
      <c r="O123">
        <v>1335.68</v>
      </c>
      <c r="P123">
        <v>4</v>
      </c>
      <c r="Q123">
        <v>-217.048</v>
      </c>
      <c r="R123" s="1" t="s">
        <v>4422</v>
      </c>
      <c r="S123">
        <v>2016</v>
      </c>
      <c r="T123" s="1" t="s">
        <v>55</v>
      </c>
    </row>
    <row r="124" spans="1:20" x14ac:dyDescent="0.25">
      <c r="A124" s="1" t="s">
        <v>605</v>
      </c>
      <c r="B124" s="2">
        <v>43059</v>
      </c>
      <c r="C124" s="2">
        <v>43061</v>
      </c>
      <c r="D124" s="1" t="s">
        <v>21</v>
      </c>
      <c r="E124" s="1" t="s">
        <v>606</v>
      </c>
      <c r="F124" s="1" t="s">
        <v>607</v>
      </c>
      <c r="G124" s="1" t="s">
        <v>24</v>
      </c>
      <c r="H124" s="1" t="s">
        <v>320</v>
      </c>
      <c r="I124" s="1" t="s">
        <v>50</v>
      </c>
      <c r="J124" s="1" t="s">
        <v>51</v>
      </c>
      <c r="K124" s="1" t="s">
        <v>476</v>
      </c>
      <c r="L124" s="1" t="s">
        <v>29</v>
      </c>
      <c r="M124" s="1" t="s">
        <v>53</v>
      </c>
      <c r="N124" s="1" t="s">
        <v>477</v>
      </c>
      <c r="O124">
        <v>42.6</v>
      </c>
      <c r="P124">
        <v>3</v>
      </c>
      <c r="Q124">
        <v>16.614000000000001</v>
      </c>
      <c r="R124" s="1" t="s">
        <v>4423</v>
      </c>
      <c r="S124">
        <v>2017</v>
      </c>
      <c r="T124" s="1" t="s">
        <v>32</v>
      </c>
    </row>
    <row r="125" spans="1:20" x14ac:dyDescent="0.25">
      <c r="A125" s="1" t="s">
        <v>608</v>
      </c>
      <c r="B125" s="2">
        <v>41896</v>
      </c>
      <c r="C125" s="2">
        <v>41900</v>
      </c>
      <c r="D125" s="1" t="s">
        <v>21</v>
      </c>
      <c r="E125" s="1" t="s">
        <v>609</v>
      </c>
      <c r="F125" s="1" t="s">
        <v>610</v>
      </c>
      <c r="G125" s="1" t="s">
        <v>24</v>
      </c>
      <c r="H125" s="1" t="s">
        <v>295</v>
      </c>
      <c r="I125" s="1" t="s">
        <v>41</v>
      </c>
      <c r="J125" s="1" t="s">
        <v>27</v>
      </c>
      <c r="K125" s="1" t="s">
        <v>611</v>
      </c>
      <c r="L125" s="1" t="s">
        <v>29</v>
      </c>
      <c r="M125" s="1" t="s">
        <v>53</v>
      </c>
      <c r="N125" s="1" t="s">
        <v>612</v>
      </c>
      <c r="O125">
        <v>13.128</v>
      </c>
      <c r="P125">
        <v>3</v>
      </c>
      <c r="Q125">
        <v>3.7743000000000002</v>
      </c>
      <c r="R125" s="1" t="s">
        <v>4424</v>
      </c>
      <c r="S125">
        <v>2014</v>
      </c>
      <c r="T125" s="1" t="s">
        <v>72</v>
      </c>
    </row>
    <row r="126" spans="1:20" x14ac:dyDescent="0.25">
      <c r="A126" s="1" t="s">
        <v>613</v>
      </c>
      <c r="B126" s="2">
        <v>43009</v>
      </c>
      <c r="C126" s="2">
        <v>43016</v>
      </c>
      <c r="D126" s="1" t="s">
        <v>37</v>
      </c>
      <c r="E126" s="1" t="s">
        <v>614</v>
      </c>
      <c r="F126" s="1" t="s">
        <v>615</v>
      </c>
      <c r="G126" s="1" t="s">
        <v>84</v>
      </c>
      <c r="H126" s="1" t="s">
        <v>183</v>
      </c>
      <c r="I126" s="1" t="s">
        <v>184</v>
      </c>
      <c r="J126" s="1" t="s">
        <v>51</v>
      </c>
      <c r="K126" s="1" t="s">
        <v>616</v>
      </c>
      <c r="L126" s="1" t="s">
        <v>29</v>
      </c>
      <c r="M126" s="1" t="s">
        <v>34</v>
      </c>
      <c r="N126" s="1" t="s">
        <v>617</v>
      </c>
      <c r="O126">
        <v>451.15199999999999</v>
      </c>
      <c r="P126">
        <v>3</v>
      </c>
      <c r="Q126">
        <v>0</v>
      </c>
      <c r="R126" s="1" t="s">
        <v>4421</v>
      </c>
      <c r="S126">
        <v>2017</v>
      </c>
      <c r="T126" s="1" t="s">
        <v>45</v>
      </c>
    </row>
    <row r="127" spans="1:20" x14ac:dyDescent="0.25">
      <c r="A127" s="1" t="s">
        <v>618</v>
      </c>
      <c r="B127" s="2">
        <v>42936</v>
      </c>
      <c r="C127" s="2">
        <v>42942</v>
      </c>
      <c r="D127" s="1" t="s">
        <v>37</v>
      </c>
      <c r="E127" s="1" t="s">
        <v>619</v>
      </c>
      <c r="F127" s="1" t="s">
        <v>620</v>
      </c>
      <c r="G127" s="1" t="s">
        <v>24</v>
      </c>
      <c r="H127" s="1" t="s">
        <v>125</v>
      </c>
      <c r="I127" s="1" t="s">
        <v>126</v>
      </c>
      <c r="J127" s="1" t="s">
        <v>87</v>
      </c>
      <c r="K127" s="1" t="s">
        <v>621</v>
      </c>
      <c r="L127" s="1" t="s">
        <v>29</v>
      </c>
      <c r="M127" s="1" t="s">
        <v>53</v>
      </c>
      <c r="N127" s="1" t="s">
        <v>622</v>
      </c>
      <c r="O127">
        <v>8.7919999999999998</v>
      </c>
      <c r="P127">
        <v>1</v>
      </c>
      <c r="Q127">
        <v>-5.7148000000000003</v>
      </c>
      <c r="R127" s="1" t="s">
        <v>4426</v>
      </c>
      <c r="S127">
        <v>2017</v>
      </c>
      <c r="T127" s="1" t="s">
        <v>66</v>
      </c>
    </row>
    <row r="128" spans="1:20" x14ac:dyDescent="0.25">
      <c r="A128" s="1" t="s">
        <v>623</v>
      </c>
      <c r="B128" s="2">
        <v>42188</v>
      </c>
      <c r="C128" s="2">
        <v>42194</v>
      </c>
      <c r="D128" s="1" t="s">
        <v>37</v>
      </c>
      <c r="E128" s="1" t="s">
        <v>624</v>
      </c>
      <c r="F128" s="1" t="s">
        <v>625</v>
      </c>
      <c r="G128" s="1" t="s">
        <v>24</v>
      </c>
      <c r="H128" s="1" t="s">
        <v>626</v>
      </c>
      <c r="I128" s="1" t="s">
        <v>26</v>
      </c>
      <c r="J128" s="1" t="s">
        <v>27</v>
      </c>
      <c r="K128" s="1" t="s">
        <v>449</v>
      </c>
      <c r="L128" s="1" t="s">
        <v>29</v>
      </c>
      <c r="M128" s="1" t="s">
        <v>34</v>
      </c>
      <c r="N128" s="1" t="s">
        <v>450</v>
      </c>
      <c r="O128">
        <v>70.98</v>
      </c>
      <c r="P128">
        <v>1</v>
      </c>
      <c r="Q128">
        <v>4.9686000000000003</v>
      </c>
      <c r="R128" s="1" t="s">
        <v>4426</v>
      </c>
      <c r="S128">
        <v>2015</v>
      </c>
      <c r="T128" s="1" t="s">
        <v>66</v>
      </c>
    </row>
    <row r="129" spans="1:20" x14ac:dyDescent="0.25">
      <c r="A129" s="1" t="s">
        <v>627</v>
      </c>
      <c r="B129" s="2">
        <v>41859</v>
      </c>
      <c r="C129" s="2">
        <v>41866</v>
      </c>
      <c r="D129" s="1" t="s">
        <v>37</v>
      </c>
      <c r="E129" s="1" t="s">
        <v>628</v>
      </c>
      <c r="F129" s="1" t="s">
        <v>629</v>
      </c>
      <c r="G129" s="1" t="s">
        <v>24</v>
      </c>
      <c r="H129" s="1" t="s">
        <v>630</v>
      </c>
      <c r="I129" s="1" t="s">
        <v>50</v>
      </c>
      <c r="J129" s="1" t="s">
        <v>51</v>
      </c>
      <c r="K129" s="1" t="s">
        <v>631</v>
      </c>
      <c r="L129" s="1" t="s">
        <v>29</v>
      </c>
      <c r="M129" s="1" t="s">
        <v>53</v>
      </c>
      <c r="N129" s="1" t="s">
        <v>632</v>
      </c>
      <c r="O129">
        <v>327.76</v>
      </c>
      <c r="P129">
        <v>8</v>
      </c>
      <c r="Q129">
        <v>91.772800000000004</v>
      </c>
      <c r="R129" s="1" t="s">
        <v>4421</v>
      </c>
      <c r="S129">
        <v>2014</v>
      </c>
      <c r="T129" s="1" t="s">
        <v>245</v>
      </c>
    </row>
    <row r="130" spans="1:20" x14ac:dyDescent="0.25">
      <c r="A130" s="1" t="s">
        <v>633</v>
      </c>
      <c r="B130" s="2">
        <v>41713</v>
      </c>
      <c r="C130" s="2">
        <v>41717</v>
      </c>
      <c r="D130" s="1" t="s">
        <v>37</v>
      </c>
      <c r="E130" s="1" t="s">
        <v>634</v>
      </c>
      <c r="F130" s="1" t="s">
        <v>635</v>
      </c>
      <c r="G130" s="1" t="s">
        <v>24</v>
      </c>
      <c r="H130" s="1" t="s">
        <v>295</v>
      </c>
      <c r="I130" s="1" t="s">
        <v>41</v>
      </c>
      <c r="J130" s="1" t="s">
        <v>27</v>
      </c>
      <c r="K130" s="1" t="s">
        <v>375</v>
      </c>
      <c r="L130" s="1" t="s">
        <v>29</v>
      </c>
      <c r="M130" s="1" t="s">
        <v>53</v>
      </c>
      <c r="N130" s="1" t="s">
        <v>376</v>
      </c>
      <c r="O130">
        <v>45.695999999999998</v>
      </c>
      <c r="P130">
        <v>3</v>
      </c>
      <c r="Q130">
        <v>5.1407999999999996</v>
      </c>
      <c r="R130" s="1" t="s">
        <v>4424</v>
      </c>
      <c r="S130">
        <v>2014</v>
      </c>
      <c r="T130" s="1" t="s">
        <v>187</v>
      </c>
    </row>
    <row r="131" spans="1:20" x14ac:dyDescent="0.25">
      <c r="A131" s="1" t="s">
        <v>636</v>
      </c>
      <c r="B131" s="2">
        <v>42965</v>
      </c>
      <c r="C131" s="2">
        <v>42970</v>
      </c>
      <c r="D131" s="1" t="s">
        <v>21</v>
      </c>
      <c r="E131" s="1" t="s">
        <v>637</v>
      </c>
      <c r="F131" s="1" t="s">
        <v>638</v>
      </c>
      <c r="G131" s="1" t="s">
        <v>84</v>
      </c>
      <c r="H131" s="1" t="s">
        <v>165</v>
      </c>
      <c r="I131" s="1" t="s">
        <v>114</v>
      </c>
      <c r="J131" s="1" t="s">
        <v>63</v>
      </c>
      <c r="K131" s="1" t="s">
        <v>639</v>
      </c>
      <c r="L131" s="1" t="s">
        <v>29</v>
      </c>
      <c r="M131" s="1" t="s">
        <v>53</v>
      </c>
      <c r="N131" s="1" t="s">
        <v>640</v>
      </c>
      <c r="O131">
        <v>40.479999999999997</v>
      </c>
      <c r="P131">
        <v>2</v>
      </c>
      <c r="Q131">
        <v>15.7872</v>
      </c>
      <c r="R131" s="1" t="s">
        <v>4422</v>
      </c>
      <c r="S131">
        <v>2017</v>
      </c>
      <c r="T131" s="1" t="s">
        <v>245</v>
      </c>
    </row>
    <row r="132" spans="1:20" x14ac:dyDescent="0.25">
      <c r="A132" s="1" t="s">
        <v>636</v>
      </c>
      <c r="B132" s="2">
        <v>42965</v>
      </c>
      <c r="C132" s="2">
        <v>42970</v>
      </c>
      <c r="D132" s="1" t="s">
        <v>21</v>
      </c>
      <c r="E132" s="1" t="s">
        <v>637</v>
      </c>
      <c r="F132" s="1" t="s">
        <v>638</v>
      </c>
      <c r="G132" s="1" t="s">
        <v>84</v>
      </c>
      <c r="H132" s="1" t="s">
        <v>165</v>
      </c>
      <c r="I132" s="1" t="s">
        <v>114</v>
      </c>
      <c r="J132" s="1" t="s">
        <v>63</v>
      </c>
      <c r="K132" s="1" t="s">
        <v>641</v>
      </c>
      <c r="L132" s="1" t="s">
        <v>29</v>
      </c>
      <c r="M132" s="1" t="s">
        <v>53</v>
      </c>
      <c r="N132" s="1" t="s">
        <v>642</v>
      </c>
      <c r="O132">
        <v>9.94</v>
      </c>
      <c r="P132">
        <v>2</v>
      </c>
      <c r="Q132">
        <v>3.0813999999999999</v>
      </c>
      <c r="R132" s="1" t="s">
        <v>4422</v>
      </c>
      <c r="S132">
        <v>2017</v>
      </c>
      <c r="T132" s="1" t="s">
        <v>245</v>
      </c>
    </row>
    <row r="133" spans="1:20" x14ac:dyDescent="0.25">
      <c r="A133" s="1" t="s">
        <v>636</v>
      </c>
      <c r="B133" s="2">
        <v>42965</v>
      </c>
      <c r="C133" s="2">
        <v>42970</v>
      </c>
      <c r="D133" s="1" t="s">
        <v>21</v>
      </c>
      <c r="E133" s="1" t="s">
        <v>637</v>
      </c>
      <c r="F133" s="1" t="s">
        <v>638</v>
      </c>
      <c r="G133" s="1" t="s">
        <v>84</v>
      </c>
      <c r="H133" s="1" t="s">
        <v>165</v>
      </c>
      <c r="I133" s="1" t="s">
        <v>114</v>
      </c>
      <c r="J133" s="1" t="s">
        <v>63</v>
      </c>
      <c r="K133" s="1" t="s">
        <v>224</v>
      </c>
      <c r="L133" s="1" t="s">
        <v>29</v>
      </c>
      <c r="M133" s="1" t="s">
        <v>53</v>
      </c>
      <c r="N133" s="1" t="s">
        <v>225</v>
      </c>
      <c r="O133">
        <v>88.02</v>
      </c>
      <c r="P133">
        <v>3</v>
      </c>
      <c r="Q133">
        <v>27.286200000000001</v>
      </c>
      <c r="R133" s="1" t="s">
        <v>4422</v>
      </c>
      <c r="S133">
        <v>2017</v>
      </c>
      <c r="T133" s="1" t="s">
        <v>245</v>
      </c>
    </row>
    <row r="134" spans="1:20" x14ac:dyDescent="0.25">
      <c r="A134" s="1" t="s">
        <v>643</v>
      </c>
      <c r="B134" s="2">
        <v>42337</v>
      </c>
      <c r="C134" s="2">
        <v>42341</v>
      </c>
      <c r="D134" s="1" t="s">
        <v>37</v>
      </c>
      <c r="E134" s="1" t="s">
        <v>644</v>
      </c>
      <c r="F134" s="1" t="s">
        <v>645</v>
      </c>
      <c r="G134" s="1" t="s">
        <v>84</v>
      </c>
      <c r="H134" s="1" t="s">
        <v>646</v>
      </c>
      <c r="I134" s="1" t="s">
        <v>281</v>
      </c>
      <c r="J134" s="1" t="s">
        <v>87</v>
      </c>
      <c r="K134" s="1" t="s">
        <v>647</v>
      </c>
      <c r="L134" s="1" t="s">
        <v>29</v>
      </c>
      <c r="M134" s="1" t="s">
        <v>34</v>
      </c>
      <c r="N134" s="1" t="s">
        <v>648</v>
      </c>
      <c r="O134">
        <v>301.95999999999998</v>
      </c>
      <c r="P134">
        <v>2</v>
      </c>
      <c r="Q134">
        <v>87.568399999999997</v>
      </c>
      <c r="R134" s="1" t="s">
        <v>4424</v>
      </c>
      <c r="S134">
        <v>2015</v>
      </c>
      <c r="T134" s="1" t="s">
        <v>32</v>
      </c>
    </row>
    <row r="135" spans="1:20" x14ac:dyDescent="0.25">
      <c r="A135" s="1" t="s">
        <v>649</v>
      </c>
      <c r="B135" s="2">
        <v>42993</v>
      </c>
      <c r="C135" s="2">
        <v>42997</v>
      </c>
      <c r="D135" s="1" t="s">
        <v>37</v>
      </c>
      <c r="E135" s="1" t="s">
        <v>650</v>
      </c>
      <c r="F135" s="1" t="s">
        <v>651</v>
      </c>
      <c r="G135" s="1" t="s">
        <v>94</v>
      </c>
      <c r="H135" s="1" t="s">
        <v>165</v>
      </c>
      <c r="I135" s="1" t="s">
        <v>114</v>
      </c>
      <c r="J135" s="1" t="s">
        <v>63</v>
      </c>
      <c r="K135" s="1" t="s">
        <v>652</v>
      </c>
      <c r="L135" s="1" t="s">
        <v>29</v>
      </c>
      <c r="M135" s="1" t="s">
        <v>53</v>
      </c>
      <c r="N135" s="1" t="s">
        <v>653</v>
      </c>
      <c r="O135">
        <v>35.56</v>
      </c>
      <c r="P135">
        <v>7</v>
      </c>
      <c r="Q135">
        <v>12.090400000000001</v>
      </c>
      <c r="R135" s="1" t="s">
        <v>4424</v>
      </c>
      <c r="S135">
        <v>2017</v>
      </c>
      <c r="T135" s="1" t="s">
        <v>72</v>
      </c>
    </row>
    <row r="136" spans="1:20" x14ac:dyDescent="0.25">
      <c r="A136" s="1" t="s">
        <v>654</v>
      </c>
      <c r="B136" s="2">
        <v>42281</v>
      </c>
      <c r="C136" s="2">
        <v>42286</v>
      </c>
      <c r="D136" s="1" t="s">
        <v>21</v>
      </c>
      <c r="E136" s="1" t="s">
        <v>655</v>
      </c>
      <c r="F136" s="1" t="s">
        <v>656</v>
      </c>
      <c r="G136" s="1" t="s">
        <v>84</v>
      </c>
      <c r="H136" s="1" t="s">
        <v>657</v>
      </c>
      <c r="I136" s="1" t="s">
        <v>658</v>
      </c>
      <c r="J136" s="1" t="s">
        <v>27</v>
      </c>
      <c r="K136" s="1" t="s">
        <v>659</v>
      </c>
      <c r="L136" s="1" t="s">
        <v>29</v>
      </c>
      <c r="M136" s="1" t="s">
        <v>34</v>
      </c>
      <c r="N136" s="1" t="s">
        <v>660</v>
      </c>
      <c r="O136">
        <v>392.94</v>
      </c>
      <c r="P136">
        <v>3</v>
      </c>
      <c r="Q136">
        <v>43.223399999999998</v>
      </c>
      <c r="R136" s="1" t="s">
        <v>4422</v>
      </c>
      <c r="S136">
        <v>2015</v>
      </c>
      <c r="T136" s="1" t="s">
        <v>45</v>
      </c>
    </row>
    <row r="137" spans="1:20" x14ac:dyDescent="0.25">
      <c r="A137" s="1" t="s">
        <v>661</v>
      </c>
      <c r="B137" s="2">
        <v>42510</v>
      </c>
      <c r="C137" s="2">
        <v>42515</v>
      </c>
      <c r="D137" s="1" t="s">
        <v>37</v>
      </c>
      <c r="E137" s="1" t="s">
        <v>662</v>
      </c>
      <c r="F137" s="1" t="s">
        <v>663</v>
      </c>
      <c r="G137" s="1" t="s">
        <v>94</v>
      </c>
      <c r="H137" s="1" t="s">
        <v>664</v>
      </c>
      <c r="I137" s="1" t="s">
        <v>50</v>
      </c>
      <c r="J137" s="1" t="s">
        <v>51</v>
      </c>
      <c r="K137" s="1" t="s">
        <v>305</v>
      </c>
      <c r="L137" s="1" t="s">
        <v>29</v>
      </c>
      <c r="M137" s="1" t="s">
        <v>53</v>
      </c>
      <c r="N137" s="1" t="s">
        <v>306</v>
      </c>
      <c r="O137">
        <v>1049.2</v>
      </c>
      <c r="P137">
        <v>5</v>
      </c>
      <c r="Q137">
        <v>272.79199999999997</v>
      </c>
      <c r="R137" s="1" t="s">
        <v>4422</v>
      </c>
      <c r="S137">
        <v>2016</v>
      </c>
      <c r="T137" s="1" t="s">
        <v>153</v>
      </c>
    </row>
    <row r="138" spans="1:20" x14ac:dyDescent="0.25">
      <c r="A138" s="1" t="s">
        <v>665</v>
      </c>
      <c r="B138" s="2">
        <v>42722</v>
      </c>
      <c r="C138" s="2">
        <v>42726</v>
      </c>
      <c r="D138" s="1" t="s">
        <v>37</v>
      </c>
      <c r="E138" s="1" t="s">
        <v>666</v>
      </c>
      <c r="F138" s="1" t="s">
        <v>667</v>
      </c>
      <c r="G138" s="1" t="s">
        <v>84</v>
      </c>
      <c r="H138" s="1" t="s">
        <v>157</v>
      </c>
      <c r="I138" s="1" t="s">
        <v>158</v>
      </c>
      <c r="J138" s="1" t="s">
        <v>87</v>
      </c>
      <c r="K138" s="1" t="s">
        <v>668</v>
      </c>
      <c r="L138" s="1" t="s">
        <v>29</v>
      </c>
      <c r="M138" s="1" t="s">
        <v>53</v>
      </c>
      <c r="N138" s="1" t="s">
        <v>669</v>
      </c>
      <c r="O138">
        <v>18.84</v>
      </c>
      <c r="P138">
        <v>3</v>
      </c>
      <c r="Q138">
        <v>6.0288000000000004</v>
      </c>
      <c r="R138" s="1" t="s">
        <v>4424</v>
      </c>
      <c r="S138">
        <v>2016</v>
      </c>
      <c r="T138" s="1" t="s">
        <v>90</v>
      </c>
    </row>
    <row r="139" spans="1:20" x14ac:dyDescent="0.25">
      <c r="A139" s="1" t="s">
        <v>670</v>
      </c>
      <c r="B139" s="2">
        <v>42715</v>
      </c>
      <c r="C139" s="2">
        <v>42720</v>
      </c>
      <c r="D139" s="1" t="s">
        <v>21</v>
      </c>
      <c r="E139" s="1" t="s">
        <v>671</v>
      </c>
      <c r="F139" s="1" t="s">
        <v>672</v>
      </c>
      <c r="G139" s="1" t="s">
        <v>84</v>
      </c>
      <c r="H139" s="1" t="s">
        <v>673</v>
      </c>
      <c r="I139" s="1" t="s">
        <v>184</v>
      </c>
      <c r="J139" s="1" t="s">
        <v>51</v>
      </c>
      <c r="K139" s="1" t="s">
        <v>437</v>
      </c>
      <c r="L139" s="1" t="s">
        <v>29</v>
      </c>
      <c r="M139" s="1" t="s">
        <v>53</v>
      </c>
      <c r="N139" s="1" t="s">
        <v>438</v>
      </c>
      <c r="O139">
        <v>14.8</v>
      </c>
      <c r="P139">
        <v>4</v>
      </c>
      <c r="Q139">
        <v>6.0679999999999996</v>
      </c>
      <c r="R139" s="1" t="s">
        <v>4422</v>
      </c>
      <c r="S139">
        <v>2016</v>
      </c>
      <c r="T139" s="1" t="s">
        <v>90</v>
      </c>
    </row>
    <row r="140" spans="1:20" x14ac:dyDescent="0.25">
      <c r="A140" s="1" t="s">
        <v>674</v>
      </c>
      <c r="B140" s="2">
        <v>42632</v>
      </c>
      <c r="C140" s="2">
        <v>42632</v>
      </c>
      <c r="D140" s="1" t="s">
        <v>417</v>
      </c>
      <c r="E140" s="1" t="s">
        <v>675</v>
      </c>
      <c r="F140" s="1" t="s">
        <v>676</v>
      </c>
      <c r="G140" s="1" t="s">
        <v>94</v>
      </c>
      <c r="H140" s="1" t="s">
        <v>171</v>
      </c>
      <c r="I140" s="1" t="s">
        <v>126</v>
      </c>
      <c r="J140" s="1" t="s">
        <v>87</v>
      </c>
      <c r="K140" s="1" t="s">
        <v>550</v>
      </c>
      <c r="L140" s="1" t="s">
        <v>29</v>
      </c>
      <c r="M140" s="1" t="s">
        <v>34</v>
      </c>
      <c r="N140" s="1" t="s">
        <v>551</v>
      </c>
      <c r="O140">
        <v>701.37199999999996</v>
      </c>
      <c r="P140">
        <v>2</v>
      </c>
      <c r="Q140">
        <v>-50.097999999999999</v>
      </c>
      <c r="R140" s="1" t="s">
        <v>4427</v>
      </c>
      <c r="S140">
        <v>2016</v>
      </c>
      <c r="T140" s="1" t="s">
        <v>72</v>
      </c>
    </row>
    <row r="141" spans="1:20" x14ac:dyDescent="0.25">
      <c r="A141" s="1" t="s">
        <v>677</v>
      </c>
      <c r="B141" s="2">
        <v>42240</v>
      </c>
      <c r="C141" s="2">
        <v>42244</v>
      </c>
      <c r="D141" s="1" t="s">
        <v>37</v>
      </c>
      <c r="E141" s="1" t="s">
        <v>678</v>
      </c>
      <c r="F141" s="1" t="s">
        <v>679</v>
      </c>
      <c r="G141" s="1" t="s">
        <v>24</v>
      </c>
      <c r="H141" s="1" t="s">
        <v>680</v>
      </c>
      <c r="I141" s="1" t="s">
        <v>86</v>
      </c>
      <c r="J141" s="1" t="s">
        <v>87</v>
      </c>
      <c r="K141" s="1" t="s">
        <v>185</v>
      </c>
      <c r="L141" s="1" t="s">
        <v>29</v>
      </c>
      <c r="M141" s="1" t="s">
        <v>43</v>
      </c>
      <c r="N141" s="1" t="s">
        <v>186</v>
      </c>
      <c r="O141">
        <v>918.78499999999997</v>
      </c>
      <c r="P141">
        <v>5</v>
      </c>
      <c r="Q141">
        <v>-118.12949999999999</v>
      </c>
      <c r="R141" s="1" t="s">
        <v>4424</v>
      </c>
      <c r="S141">
        <v>2015</v>
      </c>
      <c r="T141" s="1" t="s">
        <v>245</v>
      </c>
    </row>
    <row r="142" spans="1:20" x14ac:dyDescent="0.25">
      <c r="A142" s="1" t="s">
        <v>681</v>
      </c>
      <c r="B142" s="2">
        <v>41997</v>
      </c>
      <c r="C142" s="2">
        <v>41999</v>
      </c>
      <c r="D142" s="1" t="s">
        <v>81</v>
      </c>
      <c r="E142" s="1" t="s">
        <v>682</v>
      </c>
      <c r="F142" s="1" t="s">
        <v>683</v>
      </c>
      <c r="G142" s="1" t="s">
        <v>24</v>
      </c>
      <c r="H142" s="1" t="s">
        <v>684</v>
      </c>
      <c r="I142" s="1" t="s">
        <v>223</v>
      </c>
      <c r="J142" s="1" t="s">
        <v>63</v>
      </c>
      <c r="K142" s="1" t="s">
        <v>685</v>
      </c>
      <c r="L142" s="1" t="s">
        <v>29</v>
      </c>
      <c r="M142" s="1" t="s">
        <v>53</v>
      </c>
      <c r="N142" s="1" t="s">
        <v>686</v>
      </c>
      <c r="O142">
        <v>30.36</v>
      </c>
      <c r="P142">
        <v>5</v>
      </c>
      <c r="Q142">
        <v>8.7285000000000004</v>
      </c>
      <c r="R142" s="1" t="s">
        <v>4423</v>
      </c>
      <c r="S142">
        <v>2014</v>
      </c>
      <c r="T142" s="1" t="s">
        <v>90</v>
      </c>
    </row>
    <row r="143" spans="1:20" x14ac:dyDescent="0.25">
      <c r="A143" s="1" t="s">
        <v>687</v>
      </c>
      <c r="B143" s="2">
        <v>42895</v>
      </c>
      <c r="C143" s="2">
        <v>42899</v>
      </c>
      <c r="D143" s="1" t="s">
        <v>37</v>
      </c>
      <c r="E143" s="1" t="s">
        <v>650</v>
      </c>
      <c r="F143" s="1" t="s">
        <v>651</v>
      </c>
      <c r="G143" s="1" t="s">
        <v>94</v>
      </c>
      <c r="H143" s="1" t="s">
        <v>125</v>
      </c>
      <c r="I143" s="1" t="s">
        <v>126</v>
      </c>
      <c r="J143" s="1" t="s">
        <v>87</v>
      </c>
      <c r="K143" s="1" t="s">
        <v>688</v>
      </c>
      <c r="L143" s="1" t="s">
        <v>29</v>
      </c>
      <c r="M143" s="1" t="s">
        <v>53</v>
      </c>
      <c r="N143" s="1" t="s">
        <v>689</v>
      </c>
      <c r="O143">
        <v>23.975999999999999</v>
      </c>
      <c r="P143">
        <v>3</v>
      </c>
      <c r="Q143">
        <v>-14.3856</v>
      </c>
      <c r="R143" s="1" t="s">
        <v>4424</v>
      </c>
      <c r="S143">
        <v>2017</v>
      </c>
      <c r="T143" s="1" t="s">
        <v>55</v>
      </c>
    </row>
    <row r="144" spans="1:20" x14ac:dyDescent="0.25">
      <c r="A144" s="1" t="s">
        <v>687</v>
      </c>
      <c r="B144" s="2">
        <v>42895</v>
      </c>
      <c r="C144" s="2">
        <v>42899</v>
      </c>
      <c r="D144" s="1" t="s">
        <v>37</v>
      </c>
      <c r="E144" s="1" t="s">
        <v>650</v>
      </c>
      <c r="F144" s="1" t="s">
        <v>651</v>
      </c>
      <c r="G144" s="1" t="s">
        <v>94</v>
      </c>
      <c r="H144" s="1" t="s">
        <v>125</v>
      </c>
      <c r="I144" s="1" t="s">
        <v>126</v>
      </c>
      <c r="J144" s="1" t="s">
        <v>87</v>
      </c>
      <c r="K144" s="1" t="s">
        <v>690</v>
      </c>
      <c r="L144" s="1" t="s">
        <v>29</v>
      </c>
      <c r="M144" s="1" t="s">
        <v>43</v>
      </c>
      <c r="N144" s="1" t="s">
        <v>691</v>
      </c>
      <c r="O144">
        <v>108.925</v>
      </c>
      <c r="P144">
        <v>1</v>
      </c>
      <c r="Q144">
        <v>-71.890500000000003</v>
      </c>
      <c r="R144" s="1" t="s">
        <v>4424</v>
      </c>
      <c r="S144">
        <v>2017</v>
      </c>
      <c r="T144" s="1" t="s">
        <v>55</v>
      </c>
    </row>
    <row r="145" spans="1:20" x14ac:dyDescent="0.25">
      <c r="A145" s="1" t="s">
        <v>692</v>
      </c>
      <c r="B145" s="2">
        <v>42812</v>
      </c>
      <c r="C145" s="2">
        <v>42817</v>
      </c>
      <c r="D145" s="1" t="s">
        <v>37</v>
      </c>
      <c r="E145" s="1" t="s">
        <v>693</v>
      </c>
      <c r="F145" s="1" t="s">
        <v>694</v>
      </c>
      <c r="G145" s="1" t="s">
        <v>24</v>
      </c>
      <c r="H145" s="1" t="s">
        <v>695</v>
      </c>
      <c r="I145" s="1" t="s">
        <v>86</v>
      </c>
      <c r="J145" s="1" t="s">
        <v>87</v>
      </c>
      <c r="K145" s="1" t="s">
        <v>696</v>
      </c>
      <c r="L145" s="1" t="s">
        <v>29</v>
      </c>
      <c r="M145" s="1" t="s">
        <v>53</v>
      </c>
      <c r="N145" s="1" t="s">
        <v>697</v>
      </c>
      <c r="O145">
        <v>82.524000000000001</v>
      </c>
      <c r="P145">
        <v>3</v>
      </c>
      <c r="Q145">
        <v>-41.262</v>
      </c>
      <c r="R145" s="1" t="s">
        <v>4422</v>
      </c>
      <c r="S145">
        <v>2017</v>
      </c>
      <c r="T145" s="1" t="s">
        <v>187</v>
      </c>
    </row>
    <row r="146" spans="1:20" x14ac:dyDescent="0.25">
      <c r="A146" s="1" t="s">
        <v>698</v>
      </c>
      <c r="B146" s="2">
        <v>43094</v>
      </c>
      <c r="C146" s="2">
        <v>43098</v>
      </c>
      <c r="D146" s="1" t="s">
        <v>37</v>
      </c>
      <c r="E146" s="1" t="s">
        <v>699</v>
      </c>
      <c r="F146" s="1" t="s">
        <v>700</v>
      </c>
      <c r="G146" s="1" t="s">
        <v>24</v>
      </c>
      <c r="H146" s="1" t="s">
        <v>165</v>
      </c>
      <c r="I146" s="1" t="s">
        <v>114</v>
      </c>
      <c r="J146" s="1" t="s">
        <v>63</v>
      </c>
      <c r="K146" s="1" t="s">
        <v>701</v>
      </c>
      <c r="L146" s="1" t="s">
        <v>29</v>
      </c>
      <c r="M146" s="1" t="s">
        <v>30</v>
      </c>
      <c r="N146" s="1" t="s">
        <v>702</v>
      </c>
      <c r="O146">
        <v>191.98400000000001</v>
      </c>
      <c r="P146">
        <v>2</v>
      </c>
      <c r="Q146">
        <v>4.7995999999999999</v>
      </c>
      <c r="R146" s="1" t="s">
        <v>4424</v>
      </c>
      <c r="S146">
        <v>2017</v>
      </c>
      <c r="T146" s="1" t="s">
        <v>90</v>
      </c>
    </row>
    <row r="147" spans="1:20" x14ac:dyDescent="0.25">
      <c r="A147" s="1" t="s">
        <v>703</v>
      </c>
      <c r="B147" s="2">
        <v>41811</v>
      </c>
      <c r="C147" s="2">
        <v>41813</v>
      </c>
      <c r="D147" s="1" t="s">
        <v>21</v>
      </c>
      <c r="E147" s="1" t="s">
        <v>704</v>
      </c>
      <c r="F147" s="1" t="s">
        <v>705</v>
      </c>
      <c r="G147" s="1" t="s">
        <v>24</v>
      </c>
      <c r="H147" s="1" t="s">
        <v>706</v>
      </c>
      <c r="I147" s="1" t="s">
        <v>707</v>
      </c>
      <c r="J147" s="1" t="s">
        <v>27</v>
      </c>
      <c r="K147" s="1" t="s">
        <v>708</v>
      </c>
      <c r="L147" s="1" t="s">
        <v>29</v>
      </c>
      <c r="M147" s="1" t="s">
        <v>53</v>
      </c>
      <c r="N147" s="1" t="s">
        <v>709</v>
      </c>
      <c r="O147">
        <v>104.01</v>
      </c>
      <c r="P147">
        <v>1</v>
      </c>
      <c r="Q147">
        <v>14.561400000000001</v>
      </c>
      <c r="R147" s="1" t="s">
        <v>4423</v>
      </c>
      <c r="S147">
        <v>2014</v>
      </c>
      <c r="T147" s="1" t="s">
        <v>55</v>
      </c>
    </row>
    <row r="148" spans="1:20" x14ac:dyDescent="0.25">
      <c r="A148" s="1" t="s">
        <v>710</v>
      </c>
      <c r="B148" s="2">
        <v>42980</v>
      </c>
      <c r="C148" s="2">
        <v>42986</v>
      </c>
      <c r="D148" s="1" t="s">
        <v>37</v>
      </c>
      <c r="E148" s="1" t="s">
        <v>711</v>
      </c>
      <c r="F148" s="1" t="s">
        <v>712</v>
      </c>
      <c r="G148" s="1" t="s">
        <v>84</v>
      </c>
      <c r="H148" s="1" t="s">
        <v>684</v>
      </c>
      <c r="I148" s="1" t="s">
        <v>223</v>
      </c>
      <c r="J148" s="1" t="s">
        <v>63</v>
      </c>
      <c r="K148" s="1" t="s">
        <v>263</v>
      </c>
      <c r="L148" s="1" t="s">
        <v>29</v>
      </c>
      <c r="M148" s="1" t="s">
        <v>53</v>
      </c>
      <c r="N148" s="1" t="s">
        <v>264</v>
      </c>
      <c r="O148">
        <v>15.071999999999999</v>
      </c>
      <c r="P148">
        <v>3</v>
      </c>
      <c r="Q148">
        <v>4.1448</v>
      </c>
      <c r="R148" s="1" t="s">
        <v>4426</v>
      </c>
      <c r="S148">
        <v>2017</v>
      </c>
      <c r="T148" s="1" t="s">
        <v>72</v>
      </c>
    </row>
    <row r="149" spans="1:20" x14ac:dyDescent="0.25">
      <c r="A149" s="1" t="s">
        <v>713</v>
      </c>
      <c r="B149" s="2">
        <v>42678</v>
      </c>
      <c r="C149" s="2">
        <v>42682</v>
      </c>
      <c r="D149" s="1" t="s">
        <v>21</v>
      </c>
      <c r="E149" s="1" t="s">
        <v>714</v>
      </c>
      <c r="F149" s="1" t="s">
        <v>715</v>
      </c>
      <c r="G149" s="1" t="s">
        <v>84</v>
      </c>
      <c r="H149" s="1" t="s">
        <v>183</v>
      </c>
      <c r="I149" s="1" t="s">
        <v>184</v>
      </c>
      <c r="J149" s="1" t="s">
        <v>51</v>
      </c>
      <c r="K149" s="1" t="s">
        <v>716</v>
      </c>
      <c r="L149" s="1" t="s">
        <v>29</v>
      </c>
      <c r="M149" s="1" t="s">
        <v>53</v>
      </c>
      <c r="N149" s="1" t="s">
        <v>717</v>
      </c>
      <c r="O149">
        <v>209.88</v>
      </c>
      <c r="P149">
        <v>3</v>
      </c>
      <c r="Q149">
        <v>35.679600000000001</v>
      </c>
      <c r="R149" s="1" t="s">
        <v>4424</v>
      </c>
      <c r="S149">
        <v>2016</v>
      </c>
      <c r="T149" s="1" t="s">
        <v>32</v>
      </c>
    </row>
    <row r="150" spans="1:20" x14ac:dyDescent="0.25">
      <c r="A150" s="1" t="s">
        <v>718</v>
      </c>
      <c r="B150" s="2">
        <v>42103</v>
      </c>
      <c r="C150" s="2">
        <v>42108</v>
      </c>
      <c r="D150" s="1" t="s">
        <v>37</v>
      </c>
      <c r="E150" s="1" t="s">
        <v>719</v>
      </c>
      <c r="F150" s="1" t="s">
        <v>720</v>
      </c>
      <c r="G150" s="1" t="s">
        <v>24</v>
      </c>
      <c r="H150" s="1" t="s">
        <v>721</v>
      </c>
      <c r="I150" s="1" t="s">
        <v>50</v>
      </c>
      <c r="J150" s="1" t="s">
        <v>51</v>
      </c>
      <c r="K150" s="1" t="s">
        <v>722</v>
      </c>
      <c r="L150" s="1" t="s">
        <v>29</v>
      </c>
      <c r="M150" s="1" t="s">
        <v>43</v>
      </c>
      <c r="N150" s="1" t="s">
        <v>723</v>
      </c>
      <c r="O150">
        <v>369.91199999999998</v>
      </c>
      <c r="P150">
        <v>3</v>
      </c>
      <c r="Q150">
        <v>-13.871700000000001</v>
      </c>
      <c r="R150" s="1" t="s">
        <v>4422</v>
      </c>
      <c r="S150">
        <v>2015</v>
      </c>
      <c r="T150" s="1" t="s">
        <v>107</v>
      </c>
    </row>
    <row r="151" spans="1:20" x14ac:dyDescent="0.25">
      <c r="A151" s="1" t="s">
        <v>724</v>
      </c>
      <c r="B151" s="2">
        <v>41975</v>
      </c>
      <c r="C151" s="2">
        <v>41977</v>
      </c>
      <c r="D151" s="1" t="s">
        <v>81</v>
      </c>
      <c r="E151" s="1" t="s">
        <v>725</v>
      </c>
      <c r="F151" s="1" t="s">
        <v>726</v>
      </c>
      <c r="G151" s="1" t="s">
        <v>24</v>
      </c>
      <c r="H151" s="1" t="s">
        <v>165</v>
      </c>
      <c r="I151" s="1" t="s">
        <v>114</v>
      </c>
      <c r="J151" s="1" t="s">
        <v>63</v>
      </c>
      <c r="K151" s="1" t="s">
        <v>727</v>
      </c>
      <c r="L151" s="1" t="s">
        <v>29</v>
      </c>
      <c r="M151" s="1" t="s">
        <v>30</v>
      </c>
      <c r="N151" s="1" t="s">
        <v>728</v>
      </c>
      <c r="O151">
        <v>883.92</v>
      </c>
      <c r="P151">
        <v>5</v>
      </c>
      <c r="Q151">
        <v>-110.49</v>
      </c>
      <c r="R151" s="1" t="s">
        <v>4423</v>
      </c>
      <c r="S151">
        <v>2014</v>
      </c>
      <c r="T151" s="1" t="s">
        <v>90</v>
      </c>
    </row>
    <row r="152" spans="1:20" x14ac:dyDescent="0.25">
      <c r="A152" s="1" t="s">
        <v>729</v>
      </c>
      <c r="B152" s="2">
        <v>41650</v>
      </c>
      <c r="C152" s="2">
        <v>41653</v>
      </c>
      <c r="D152" s="1" t="s">
        <v>81</v>
      </c>
      <c r="E152" s="1" t="s">
        <v>730</v>
      </c>
      <c r="F152" s="1" t="s">
        <v>731</v>
      </c>
      <c r="G152" s="1" t="s">
        <v>24</v>
      </c>
      <c r="H152" s="1" t="s">
        <v>732</v>
      </c>
      <c r="I152" s="1" t="s">
        <v>192</v>
      </c>
      <c r="J152" s="1" t="s">
        <v>63</v>
      </c>
      <c r="K152" s="1" t="s">
        <v>641</v>
      </c>
      <c r="L152" s="1" t="s">
        <v>29</v>
      </c>
      <c r="M152" s="1" t="s">
        <v>53</v>
      </c>
      <c r="N152" s="1" t="s">
        <v>642</v>
      </c>
      <c r="O152">
        <v>9.94</v>
      </c>
      <c r="P152">
        <v>2</v>
      </c>
      <c r="Q152">
        <v>3.0813999999999999</v>
      </c>
      <c r="R152" s="1" t="s">
        <v>4420</v>
      </c>
      <c r="S152">
        <v>2014</v>
      </c>
      <c r="T152" s="1" t="s">
        <v>161</v>
      </c>
    </row>
    <row r="153" spans="1:20" x14ac:dyDescent="0.25">
      <c r="A153" s="1" t="s">
        <v>733</v>
      </c>
      <c r="B153" s="2">
        <v>43002</v>
      </c>
      <c r="C153" s="2">
        <v>43007</v>
      </c>
      <c r="D153" s="1" t="s">
        <v>37</v>
      </c>
      <c r="E153" s="1" t="s">
        <v>734</v>
      </c>
      <c r="F153" s="1" t="s">
        <v>735</v>
      </c>
      <c r="G153" s="1" t="s">
        <v>24</v>
      </c>
      <c r="H153" s="1" t="s">
        <v>222</v>
      </c>
      <c r="I153" s="1" t="s">
        <v>223</v>
      </c>
      <c r="J153" s="1" t="s">
        <v>63</v>
      </c>
      <c r="K153" s="1" t="s">
        <v>736</v>
      </c>
      <c r="L153" s="1" t="s">
        <v>29</v>
      </c>
      <c r="M153" s="1" t="s">
        <v>53</v>
      </c>
      <c r="N153" s="1" t="s">
        <v>737</v>
      </c>
      <c r="O153">
        <v>103.056</v>
      </c>
      <c r="P153">
        <v>3</v>
      </c>
      <c r="Q153">
        <v>24.4758</v>
      </c>
      <c r="R153" s="1" t="s">
        <v>4422</v>
      </c>
      <c r="S153">
        <v>2017</v>
      </c>
      <c r="T153" s="1" t="s">
        <v>72</v>
      </c>
    </row>
    <row r="154" spans="1:20" x14ac:dyDescent="0.25">
      <c r="A154" s="1" t="s">
        <v>738</v>
      </c>
      <c r="B154" s="2">
        <v>41792</v>
      </c>
      <c r="C154" s="2">
        <v>41797</v>
      </c>
      <c r="D154" s="1" t="s">
        <v>37</v>
      </c>
      <c r="E154" s="1" t="s">
        <v>739</v>
      </c>
      <c r="F154" s="1" t="s">
        <v>740</v>
      </c>
      <c r="G154" s="1" t="s">
        <v>94</v>
      </c>
      <c r="H154" s="1" t="s">
        <v>70</v>
      </c>
      <c r="I154" s="1" t="s">
        <v>71</v>
      </c>
      <c r="J154" s="1" t="s">
        <v>51</v>
      </c>
      <c r="K154" s="1" t="s">
        <v>484</v>
      </c>
      <c r="L154" s="1" t="s">
        <v>29</v>
      </c>
      <c r="M154" s="1" t="s">
        <v>53</v>
      </c>
      <c r="N154" s="1" t="s">
        <v>485</v>
      </c>
      <c r="O154">
        <v>73.319999999999993</v>
      </c>
      <c r="P154">
        <v>6</v>
      </c>
      <c r="Q154">
        <v>21.995999999999999</v>
      </c>
      <c r="R154" s="1" t="s">
        <v>4422</v>
      </c>
      <c r="S154">
        <v>2014</v>
      </c>
      <c r="T154" s="1" t="s">
        <v>55</v>
      </c>
    </row>
    <row r="155" spans="1:20" x14ac:dyDescent="0.25">
      <c r="A155" s="1" t="s">
        <v>741</v>
      </c>
      <c r="B155" s="2">
        <v>42719</v>
      </c>
      <c r="C155" s="2">
        <v>42723</v>
      </c>
      <c r="D155" s="1" t="s">
        <v>37</v>
      </c>
      <c r="E155" s="1" t="s">
        <v>460</v>
      </c>
      <c r="F155" s="1" t="s">
        <v>461</v>
      </c>
      <c r="G155" s="1" t="s">
        <v>84</v>
      </c>
      <c r="H155" s="1" t="s">
        <v>280</v>
      </c>
      <c r="I155" s="1" t="s">
        <v>281</v>
      </c>
      <c r="J155" s="1" t="s">
        <v>87</v>
      </c>
      <c r="K155" s="1" t="s">
        <v>742</v>
      </c>
      <c r="L155" s="1" t="s">
        <v>29</v>
      </c>
      <c r="M155" s="1" t="s">
        <v>43</v>
      </c>
      <c r="N155" s="1" t="s">
        <v>743</v>
      </c>
      <c r="O155">
        <v>1652.94</v>
      </c>
      <c r="P155">
        <v>3</v>
      </c>
      <c r="Q155">
        <v>231.41159999999999</v>
      </c>
      <c r="R155" s="1" t="s">
        <v>4424</v>
      </c>
      <c r="S155">
        <v>2016</v>
      </c>
      <c r="T155" s="1" t="s">
        <v>90</v>
      </c>
    </row>
    <row r="156" spans="1:20" x14ac:dyDescent="0.25">
      <c r="A156" s="1" t="s">
        <v>744</v>
      </c>
      <c r="B156" s="2">
        <v>41919</v>
      </c>
      <c r="C156" s="2">
        <v>41925</v>
      </c>
      <c r="D156" s="1" t="s">
        <v>37</v>
      </c>
      <c r="E156" s="1" t="s">
        <v>745</v>
      </c>
      <c r="F156" s="1" t="s">
        <v>746</v>
      </c>
      <c r="G156" s="1" t="s">
        <v>94</v>
      </c>
      <c r="H156" s="1" t="s">
        <v>61</v>
      </c>
      <c r="I156" s="1" t="s">
        <v>62</v>
      </c>
      <c r="J156" s="1" t="s">
        <v>63</v>
      </c>
      <c r="K156" s="1" t="s">
        <v>747</v>
      </c>
      <c r="L156" s="1" t="s">
        <v>29</v>
      </c>
      <c r="M156" s="1" t="s">
        <v>53</v>
      </c>
      <c r="N156" s="1" t="s">
        <v>748</v>
      </c>
      <c r="O156">
        <v>129.91999999999999</v>
      </c>
      <c r="P156">
        <v>5</v>
      </c>
      <c r="Q156">
        <v>21.111999999999998</v>
      </c>
      <c r="R156" s="1" t="s">
        <v>4426</v>
      </c>
      <c r="S156">
        <v>2014</v>
      </c>
      <c r="T156" s="1" t="s">
        <v>45</v>
      </c>
    </row>
    <row r="157" spans="1:20" x14ac:dyDescent="0.25">
      <c r="A157" s="1" t="s">
        <v>749</v>
      </c>
      <c r="B157" s="2">
        <v>42707</v>
      </c>
      <c r="C157" s="2">
        <v>42710</v>
      </c>
      <c r="D157" s="1" t="s">
        <v>81</v>
      </c>
      <c r="E157" s="1" t="s">
        <v>750</v>
      </c>
      <c r="F157" s="1" t="s">
        <v>751</v>
      </c>
      <c r="G157" s="1" t="s">
        <v>24</v>
      </c>
      <c r="H157" s="1" t="s">
        <v>752</v>
      </c>
      <c r="I157" s="1" t="s">
        <v>114</v>
      </c>
      <c r="J157" s="1" t="s">
        <v>63</v>
      </c>
      <c r="K157" s="1" t="s">
        <v>753</v>
      </c>
      <c r="L157" s="1" t="s">
        <v>29</v>
      </c>
      <c r="M157" s="1" t="s">
        <v>43</v>
      </c>
      <c r="N157" s="1" t="s">
        <v>754</v>
      </c>
      <c r="O157">
        <v>400.03199999999998</v>
      </c>
      <c r="P157">
        <v>2</v>
      </c>
      <c r="Q157">
        <v>-153.34559999999999</v>
      </c>
      <c r="R157" s="1" t="s">
        <v>4420</v>
      </c>
      <c r="S157">
        <v>2016</v>
      </c>
      <c r="T157" s="1" t="s">
        <v>90</v>
      </c>
    </row>
    <row r="158" spans="1:20" x14ac:dyDescent="0.25">
      <c r="A158" s="1" t="s">
        <v>749</v>
      </c>
      <c r="B158" s="2">
        <v>42707</v>
      </c>
      <c r="C158" s="2">
        <v>42710</v>
      </c>
      <c r="D158" s="1" t="s">
        <v>81</v>
      </c>
      <c r="E158" s="1" t="s">
        <v>750</v>
      </c>
      <c r="F158" s="1" t="s">
        <v>751</v>
      </c>
      <c r="G158" s="1" t="s">
        <v>24</v>
      </c>
      <c r="H158" s="1" t="s">
        <v>752</v>
      </c>
      <c r="I158" s="1" t="s">
        <v>114</v>
      </c>
      <c r="J158" s="1" t="s">
        <v>63</v>
      </c>
      <c r="K158" s="1" t="s">
        <v>321</v>
      </c>
      <c r="L158" s="1" t="s">
        <v>29</v>
      </c>
      <c r="M158" s="1" t="s">
        <v>34</v>
      </c>
      <c r="N158" s="1" t="s">
        <v>322</v>
      </c>
      <c r="O158">
        <v>542.64599999999996</v>
      </c>
      <c r="P158">
        <v>3</v>
      </c>
      <c r="Q158">
        <v>102.49979999999999</v>
      </c>
      <c r="R158" s="1" t="s">
        <v>4420</v>
      </c>
      <c r="S158">
        <v>2016</v>
      </c>
      <c r="T158" s="1" t="s">
        <v>90</v>
      </c>
    </row>
    <row r="159" spans="1:20" x14ac:dyDescent="0.25">
      <c r="A159" s="1" t="s">
        <v>755</v>
      </c>
      <c r="B159" s="2">
        <v>42756</v>
      </c>
      <c r="C159" s="2">
        <v>42760</v>
      </c>
      <c r="D159" s="1" t="s">
        <v>37</v>
      </c>
      <c r="E159" s="1" t="s">
        <v>756</v>
      </c>
      <c r="F159" s="1" t="s">
        <v>757</v>
      </c>
      <c r="G159" s="1" t="s">
        <v>94</v>
      </c>
      <c r="H159" s="1" t="s">
        <v>183</v>
      </c>
      <c r="I159" s="1" t="s">
        <v>184</v>
      </c>
      <c r="J159" s="1" t="s">
        <v>51</v>
      </c>
      <c r="K159" s="1" t="s">
        <v>758</v>
      </c>
      <c r="L159" s="1" t="s">
        <v>29</v>
      </c>
      <c r="M159" s="1" t="s">
        <v>30</v>
      </c>
      <c r="N159" s="1" t="s">
        <v>759</v>
      </c>
      <c r="O159">
        <v>84.98</v>
      </c>
      <c r="P159">
        <v>1</v>
      </c>
      <c r="Q159">
        <v>18.695599999999999</v>
      </c>
      <c r="R159" s="1" t="s">
        <v>4424</v>
      </c>
      <c r="S159">
        <v>2017</v>
      </c>
      <c r="T159" s="1" t="s">
        <v>161</v>
      </c>
    </row>
    <row r="160" spans="1:20" x14ac:dyDescent="0.25">
      <c r="A160" s="1" t="s">
        <v>760</v>
      </c>
      <c r="B160" s="2">
        <v>41786</v>
      </c>
      <c r="C160" s="2">
        <v>41786</v>
      </c>
      <c r="D160" s="1" t="s">
        <v>417</v>
      </c>
      <c r="E160" s="1" t="s">
        <v>761</v>
      </c>
      <c r="F160" s="1" t="s">
        <v>762</v>
      </c>
      <c r="G160" s="1" t="s">
        <v>84</v>
      </c>
      <c r="H160" s="1" t="s">
        <v>630</v>
      </c>
      <c r="I160" s="1" t="s">
        <v>50</v>
      </c>
      <c r="J160" s="1" t="s">
        <v>51</v>
      </c>
      <c r="K160" s="1" t="s">
        <v>309</v>
      </c>
      <c r="L160" s="1" t="s">
        <v>29</v>
      </c>
      <c r="M160" s="1" t="s">
        <v>43</v>
      </c>
      <c r="N160" s="1" t="s">
        <v>310</v>
      </c>
      <c r="O160">
        <v>567.12</v>
      </c>
      <c r="P160">
        <v>10</v>
      </c>
      <c r="Q160">
        <v>-28.356000000000002</v>
      </c>
      <c r="R160" s="1" t="s">
        <v>4427</v>
      </c>
      <c r="S160">
        <v>2014</v>
      </c>
      <c r="T160" s="1" t="s">
        <v>153</v>
      </c>
    </row>
    <row r="161" spans="1:20" x14ac:dyDescent="0.25">
      <c r="A161" s="1" t="s">
        <v>763</v>
      </c>
      <c r="B161" s="2">
        <v>43010</v>
      </c>
      <c r="C161" s="2">
        <v>43014</v>
      </c>
      <c r="D161" s="1" t="s">
        <v>37</v>
      </c>
      <c r="E161" s="1" t="s">
        <v>764</v>
      </c>
      <c r="F161" s="1" t="s">
        <v>765</v>
      </c>
      <c r="G161" s="1" t="s">
        <v>24</v>
      </c>
      <c r="H161" s="1" t="s">
        <v>766</v>
      </c>
      <c r="I161" s="1" t="s">
        <v>281</v>
      </c>
      <c r="J161" s="1" t="s">
        <v>87</v>
      </c>
      <c r="K161" s="1" t="s">
        <v>767</v>
      </c>
      <c r="L161" s="1" t="s">
        <v>29</v>
      </c>
      <c r="M161" s="1" t="s">
        <v>53</v>
      </c>
      <c r="N161" s="1" t="s">
        <v>768</v>
      </c>
      <c r="O161">
        <v>157.74</v>
      </c>
      <c r="P161">
        <v>11</v>
      </c>
      <c r="Q161">
        <v>56.7864</v>
      </c>
      <c r="R161" s="1" t="s">
        <v>4424</v>
      </c>
      <c r="S161">
        <v>2017</v>
      </c>
      <c r="T161" s="1" t="s">
        <v>45</v>
      </c>
    </row>
    <row r="162" spans="1:20" x14ac:dyDescent="0.25">
      <c r="A162" s="1" t="s">
        <v>769</v>
      </c>
      <c r="B162" s="2">
        <v>42345</v>
      </c>
      <c r="C162" s="2">
        <v>42350</v>
      </c>
      <c r="D162" s="1" t="s">
        <v>37</v>
      </c>
      <c r="E162" s="1" t="s">
        <v>770</v>
      </c>
      <c r="F162" s="1" t="s">
        <v>771</v>
      </c>
      <c r="G162" s="1" t="s">
        <v>24</v>
      </c>
      <c r="H162" s="1" t="s">
        <v>49</v>
      </c>
      <c r="I162" s="1" t="s">
        <v>50</v>
      </c>
      <c r="J162" s="1" t="s">
        <v>51</v>
      </c>
      <c r="K162" s="1" t="s">
        <v>688</v>
      </c>
      <c r="L162" s="1" t="s">
        <v>29</v>
      </c>
      <c r="M162" s="1" t="s">
        <v>53</v>
      </c>
      <c r="N162" s="1" t="s">
        <v>689</v>
      </c>
      <c r="O162">
        <v>79.92</v>
      </c>
      <c r="P162">
        <v>4</v>
      </c>
      <c r="Q162">
        <v>28.7712</v>
      </c>
      <c r="R162" s="1" t="s">
        <v>4422</v>
      </c>
      <c r="S162">
        <v>2015</v>
      </c>
      <c r="T162" s="1" t="s">
        <v>90</v>
      </c>
    </row>
    <row r="163" spans="1:20" x14ac:dyDescent="0.25">
      <c r="A163" s="1" t="s">
        <v>772</v>
      </c>
      <c r="B163" s="2">
        <v>42631</v>
      </c>
      <c r="C163" s="2">
        <v>42635</v>
      </c>
      <c r="D163" s="1" t="s">
        <v>37</v>
      </c>
      <c r="E163" s="1" t="s">
        <v>773</v>
      </c>
      <c r="F163" s="1" t="s">
        <v>774</v>
      </c>
      <c r="G163" s="1" t="s">
        <v>84</v>
      </c>
      <c r="H163" s="1" t="s">
        <v>597</v>
      </c>
      <c r="I163" s="1" t="s">
        <v>41</v>
      </c>
      <c r="J163" s="1" t="s">
        <v>27</v>
      </c>
      <c r="K163" s="1" t="s">
        <v>775</v>
      </c>
      <c r="L163" s="1" t="s">
        <v>29</v>
      </c>
      <c r="M163" s="1" t="s">
        <v>43</v>
      </c>
      <c r="N163" s="1" t="s">
        <v>776</v>
      </c>
      <c r="O163">
        <v>383.43799999999999</v>
      </c>
      <c r="P163">
        <v>4</v>
      </c>
      <c r="Q163">
        <v>-167.3184</v>
      </c>
      <c r="R163" s="1" t="s">
        <v>4424</v>
      </c>
      <c r="S163">
        <v>2016</v>
      </c>
      <c r="T163" s="1" t="s">
        <v>72</v>
      </c>
    </row>
    <row r="164" spans="1:20" x14ac:dyDescent="0.25">
      <c r="A164" s="1" t="s">
        <v>777</v>
      </c>
      <c r="B164" s="2">
        <v>41773</v>
      </c>
      <c r="C164" s="2">
        <v>41779</v>
      </c>
      <c r="D164" s="1" t="s">
        <v>37</v>
      </c>
      <c r="E164" s="1" t="s">
        <v>778</v>
      </c>
      <c r="F164" s="1" t="s">
        <v>779</v>
      </c>
      <c r="G164" s="1" t="s">
        <v>84</v>
      </c>
      <c r="H164" s="1" t="s">
        <v>780</v>
      </c>
      <c r="I164" s="1" t="s">
        <v>41</v>
      </c>
      <c r="J164" s="1" t="s">
        <v>27</v>
      </c>
      <c r="K164" s="1" t="s">
        <v>781</v>
      </c>
      <c r="L164" s="1" t="s">
        <v>29</v>
      </c>
      <c r="M164" s="1" t="s">
        <v>53</v>
      </c>
      <c r="N164" s="1" t="s">
        <v>782</v>
      </c>
      <c r="O164">
        <v>310.88</v>
      </c>
      <c r="P164">
        <v>2</v>
      </c>
      <c r="Q164">
        <v>23.315999999999999</v>
      </c>
      <c r="R164" s="1" t="s">
        <v>4426</v>
      </c>
      <c r="S164">
        <v>2014</v>
      </c>
      <c r="T164" s="1" t="s">
        <v>153</v>
      </c>
    </row>
    <row r="165" spans="1:20" x14ac:dyDescent="0.25">
      <c r="A165" s="1" t="s">
        <v>783</v>
      </c>
      <c r="B165" s="2">
        <v>42509</v>
      </c>
      <c r="C165" s="2">
        <v>42514</v>
      </c>
      <c r="D165" s="1" t="s">
        <v>37</v>
      </c>
      <c r="E165" s="1" t="s">
        <v>784</v>
      </c>
      <c r="F165" s="1" t="s">
        <v>785</v>
      </c>
      <c r="G165" s="1" t="s">
        <v>24</v>
      </c>
      <c r="H165" s="1" t="s">
        <v>680</v>
      </c>
      <c r="I165" s="1" t="s">
        <v>707</v>
      </c>
      <c r="J165" s="1" t="s">
        <v>27</v>
      </c>
      <c r="K165" s="1" t="s">
        <v>786</v>
      </c>
      <c r="L165" s="1" t="s">
        <v>29</v>
      </c>
      <c r="M165" s="1" t="s">
        <v>34</v>
      </c>
      <c r="N165" s="1" t="s">
        <v>787</v>
      </c>
      <c r="O165">
        <v>641.96</v>
      </c>
      <c r="P165">
        <v>2</v>
      </c>
      <c r="Q165">
        <v>179.74879999999999</v>
      </c>
      <c r="R165" s="1" t="s">
        <v>4422</v>
      </c>
      <c r="S165">
        <v>2016</v>
      </c>
      <c r="T165" s="1" t="s">
        <v>153</v>
      </c>
    </row>
    <row r="166" spans="1:20" x14ac:dyDescent="0.25">
      <c r="A166" s="1" t="s">
        <v>788</v>
      </c>
      <c r="B166" s="2">
        <v>42765</v>
      </c>
      <c r="C166" s="2">
        <v>42771</v>
      </c>
      <c r="D166" s="1" t="s">
        <v>37</v>
      </c>
      <c r="E166" s="1" t="s">
        <v>789</v>
      </c>
      <c r="F166" s="1" t="s">
        <v>790</v>
      </c>
      <c r="G166" s="1" t="s">
        <v>84</v>
      </c>
      <c r="H166" s="1" t="s">
        <v>791</v>
      </c>
      <c r="I166" s="1" t="s">
        <v>792</v>
      </c>
      <c r="J166" s="1" t="s">
        <v>87</v>
      </c>
      <c r="K166" s="1" t="s">
        <v>793</v>
      </c>
      <c r="L166" s="1" t="s">
        <v>29</v>
      </c>
      <c r="M166" s="1" t="s">
        <v>53</v>
      </c>
      <c r="N166" s="1" t="s">
        <v>794</v>
      </c>
      <c r="O166">
        <v>34.58</v>
      </c>
      <c r="P166">
        <v>7</v>
      </c>
      <c r="Q166">
        <v>14.5236</v>
      </c>
      <c r="R166" s="1" t="s">
        <v>4426</v>
      </c>
      <c r="S166">
        <v>2017</v>
      </c>
      <c r="T166" s="1" t="s">
        <v>161</v>
      </c>
    </row>
    <row r="167" spans="1:20" x14ac:dyDescent="0.25">
      <c r="A167" s="1" t="s">
        <v>795</v>
      </c>
      <c r="B167" s="2">
        <v>42237</v>
      </c>
      <c r="C167" s="2">
        <v>42239</v>
      </c>
      <c r="D167" s="1" t="s">
        <v>81</v>
      </c>
      <c r="E167" s="1" t="s">
        <v>337</v>
      </c>
      <c r="F167" s="1" t="s">
        <v>338</v>
      </c>
      <c r="G167" s="1" t="s">
        <v>94</v>
      </c>
      <c r="H167" s="1" t="s">
        <v>320</v>
      </c>
      <c r="I167" s="1" t="s">
        <v>50</v>
      </c>
      <c r="J167" s="1" t="s">
        <v>51</v>
      </c>
      <c r="K167" s="1" t="s">
        <v>796</v>
      </c>
      <c r="L167" s="1" t="s">
        <v>29</v>
      </c>
      <c r="M167" s="1" t="s">
        <v>34</v>
      </c>
      <c r="N167" s="1" t="s">
        <v>797</v>
      </c>
      <c r="O167">
        <v>544.00800000000004</v>
      </c>
      <c r="P167">
        <v>3</v>
      </c>
      <c r="Q167">
        <v>40.800600000000003</v>
      </c>
      <c r="R167" s="1" t="s">
        <v>4423</v>
      </c>
      <c r="S167">
        <v>2015</v>
      </c>
      <c r="T167" s="1" t="s">
        <v>245</v>
      </c>
    </row>
    <row r="168" spans="1:20" x14ac:dyDescent="0.25">
      <c r="A168" s="1" t="s">
        <v>798</v>
      </c>
      <c r="B168" s="2">
        <v>42280</v>
      </c>
      <c r="C168" s="2">
        <v>42283</v>
      </c>
      <c r="D168" s="1" t="s">
        <v>21</v>
      </c>
      <c r="E168" s="1" t="s">
        <v>799</v>
      </c>
      <c r="F168" s="1" t="s">
        <v>800</v>
      </c>
      <c r="G168" s="1" t="s">
        <v>24</v>
      </c>
      <c r="H168" s="1" t="s">
        <v>339</v>
      </c>
      <c r="I168" s="1" t="s">
        <v>223</v>
      </c>
      <c r="J168" s="1" t="s">
        <v>63</v>
      </c>
      <c r="K168" s="1" t="s">
        <v>801</v>
      </c>
      <c r="L168" s="1" t="s">
        <v>29</v>
      </c>
      <c r="M168" s="1" t="s">
        <v>30</v>
      </c>
      <c r="N168" s="1" t="s">
        <v>802</v>
      </c>
      <c r="O168">
        <v>35.49</v>
      </c>
      <c r="P168">
        <v>1</v>
      </c>
      <c r="Q168">
        <v>-15.615600000000001</v>
      </c>
      <c r="R168" s="1" t="s">
        <v>4420</v>
      </c>
      <c r="S168">
        <v>2015</v>
      </c>
      <c r="T168" s="1" t="s">
        <v>45</v>
      </c>
    </row>
    <row r="169" spans="1:20" x14ac:dyDescent="0.25">
      <c r="A169" s="1" t="s">
        <v>803</v>
      </c>
      <c r="B169" s="2">
        <v>42350</v>
      </c>
      <c r="C169" s="2">
        <v>42354</v>
      </c>
      <c r="D169" s="1" t="s">
        <v>37</v>
      </c>
      <c r="E169" s="1" t="s">
        <v>804</v>
      </c>
      <c r="F169" s="1" t="s">
        <v>805</v>
      </c>
      <c r="G169" s="1" t="s">
        <v>24</v>
      </c>
      <c r="H169" s="1" t="s">
        <v>806</v>
      </c>
      <c r="I169" s="1" t="s">
        <v>50</v>
      </c>
      <c r="J169" s="1" t="s">
        <v>51</v>
      </c>
      <c r="K169" s="1" t="s">
        <v>807</v>
      </c>
      <c r="L169" s="1" t="s">
        <v>29</v>
      </c>
      <c r="M169" s="1" t="s">
        <v>34</v>
      </c>
      <c r="N169" s="1" t="s">
        <v>808</v>
      </c>
      <c r="O169">
        <v>348.928</v>
      </c>
      <c r="P169">
        <v>2</v>
      </c>
      <c r="Q169">
        <v>34.892800000000001</v>
      </c>
      <c r="R169" s="1" t="s">
        <v>4424</v>
      </c>
      <c r="S169">
        <v>2015</v>
      </c>
      <c r="T169" s="1" t="s">
        <v>90</v>
      </c>
    </row>
    <row r="170" spans="1:20" x14ac:dyDescent="0.25">
      <c r="A170" s="1" t="s">
        <v>809</v>
      </c>
      <c r="B170" s="2">
        <v>42181</v>
      </c>
      <c r="C170" s="2">
        <v>42185</v>
      </c>
      <c r="D170" s="1" t="s">
        <v>37</v>
      </c>
      <c r="E170" s="1" t="s">
        <v>810</v>
      </c>
      <c r="F170" s="1" t="s">
        <v>811</v>
      </c>
      <c r="G170" s="1" t="s">
        <v>24</v>
      </c>
      <c r="H170" s="1" t="s">
        <v>626</v>
      </c>
      <c r="I170" s="1" t="s">
        <v>707</v>
      </c>
      <c r="J170" s="1" t="s">
        <v>27</v>
      </c>
      <c r="K170" s="1" t="s">
        <v>812</v>
      </c>
      <c r="L170" s="1" t="s">
        <v>29</v>
      </c>
      <c r="M170" s="1" t="s">
        <v>34</v>
      </c>
      <c r="N170" s="1" t="s">
        <v>813</v>
      </c>
      <c r="O170">
        <v>332.94</v>
      </c>
      <c r="P170">
        <v>3</v>
      </c>
      <c r="Q170">
        <v>79.905600000000007</v>
      </c>
      <c r="R170" s="1" t="s">
        <v>4424</v>
      </c>
      <c r="S170">
        <v>2015</v>
      </c>
      <c r="T170" s="1" t="s">
        <v>55</v>
      </c>
    </row>
    <row r="171" spans="1:20" x14ac:dyDescent="0.25">
      <c r="A171" s="1" t="s">
        <v>814</v>
      </c>
      <c r="B171" s="2">
        <v>42335</v>
      </c>
      <c r="C171" s="2">
        <v>42341</v>
      </c>
      <c r="D171" s="1" t="s">
        <v>37</v>
      </c>
      <c r="E171" s="1" t="s">
        <v>815</v>
      </c>
      <c r="F171" s="1" t="s">
        <v>816</v>
      </c>
      <c r="G171" s="1" t="s">
        <v>24</v>
      </c>
      <c r="H171" s="1" t="s">
        <v>817</v>
      </c>
      <c r="I171" s="1" t="s">
        <v>50</v>
      </c>
      <c r="J171" s="1" t="s">
        <v>51</v>
      </c>
      <c r="K171" s="1" t="s">
        <v>581</v>
      </c>
      <c r="L171" s="1" t="s">
        <v>29</v>
      </c>
      <c r="M171" s="1" t="s">
        <v>34</v>
      </c>
      <c r="N171" s="1" t="s">
        <v>582</v>
      </c>
      <c r="O171">
        <v>283.92</v>
      </c>
      <c r="P171">
        <v>5</v>
      </c>
      <c r="Q171">
        <v>17.745000000000001</v>
      </c>
      <c r="R171" s="1" t="s">
        <v>4426</v>
      </c>
      <c r="S171">
        <v>2015</v>
      </c>
      <c r="T171" s="1" t="s">
        <v>32</v>
      </c>
    </row>
    <row r="172" spans="1:20" x14ac:dyDescent="0.25">
      <c r="A172" s="1" t="s">
        <v>818</v>
      </c>
      <c r="B172" s="2">
        <v>42786</v>
      </c>
      <c r="C172" s="2">
        <v>42789</v>
      </c>
      <c r="D172" s="1" t="s">
        <v>81</v>
      </c>
      <c r="E172" s="1" t="s">
        <v>819</v>
      </c>
      <c r="F172" s="1" t="s">
        <v>820</v>
      </c>
      <c r="G172" s="1" t="s">
        <v>84</v>
      </c>
      <c r="H172" s="1" t="s">
        <v>630</v>
      </c>
      <c r="I172" s="1" t="s">
        <v>50</v>
      </c>
      <c r="J172" s="1" t="s">
        <v>51</v>
      </c>
      <c r="K172" s="1" t="s">
        <v>821</v>
      </c>
      <c r="L172" s="1" t="s">
        <v>29</v>
      </c>
      <c r="M172" s="1" t="s">
        <v>53</v>
      </c>
      <c r="N172" s="1" t="s">
        <v>822</v>
      </c>
      <c r="O172">
        <v>22.23</v>
      </c>
      <c r="P172">
        <v>1</v>
      </c>
      <c r="Q172">
        <v>7.3358999999999996</v>
      </c>
      <c r="R172" s="1" t="s">
        <v>4420</v>
      </c>
      <c r="S172">
        <v>2017</v>
      </c>
      <c r="T172" s="1" t="s">
        <v>289</v>
      </c>
    </row>
    <row r="173" spans="1:20" x14ac:dyDescent="0.25">
      <c r="A173" s="1" t="s">
        <v>823</v>
      </c>
      <c r="B173" s="2">
        <v>42847</v>
      </c>
      <c r="C173" s="2">
        <v>42849</v>
      </c>
      <c r="D173" s="1" t="s">
        <v>81</v>
      </c>
      <c r="E173" s="1" t="s">
        <v>824</v>
      </c>
      <c r="F173" s="1" t="s">
        <v>825</v>
      </c>
      <c r="G173" s="1" t="s">
        <v>24</v>
      </c>
      <c r="H173" s="1" t="s">
        <v>320</v>
      </c>
      <c r="I173" s="1" t="s">
        <v>50</v>
      </c>
      <c r="J173" s="1" t="s">
        <v>51</v>
      </c>
      <c r="K173" s="1" t="s">
        <v>826</v>
      </c>
      <c r="L173" s="1" t="s">
        <v>29</v>
      </c>
      <c r="M173" s="1" t="s">
        <v>53</v>
      </c>
      <c r="N173" s="1" t="s">
        <v>827</v>
      </c>
      <c r="O173">
        <v>18.28</v>
      </c>
      <c r="P173">
        <v>2</v>
      </c>
      <c r="Q173">
        <v>6.2152000000000003</v>
      </c>
      <c r="R173" s="1" t="s">
        <v>4423</v>
      </c>
      <c r="S173">
        <v>2017</v>
      </c>
      <c r="T173" s="1" t="s">
        <v>107</v>
      </c>
    </row>
    <row r="174" spans="1:20" x14ac:dyDescent="0.25">
      <c r="A174" s="1" t="s">
        <v>828</v>
      </c>
      <c r="B174" s="2">
        <v>42038</v>
      </c>
      <c r="C174" s="2">
        <v>42040</v>
      </c>
      <c r="D174" s="1" t="s">
        <v>81</v>
      </c>
      <c r="E174" s="1" t="s">
        <v>829</v>
      </c>
      <c r="F174" s="1" t="s">
        <v>830</v>
      </c>
      <c r="G174" s="1" t="s">
        <v>24</v>
      </c>
      <c r="H174" s="1" t="s">
        <v>831</v>
      </c>
      <c r="I174" s="1" t="s">
        <v>832</v>
      </c>
      <c r="J174" s="1" t="s">
        <v>87</v>
      </c>
      <c r="K174" s="1" t="s">
        <v>476</v>
      </c>
      <c r="L174" s="1" t="s">
        <v>29</v>
      </c>
      <c r="M174" s="1" t="s">
        <v>53</v>
      </c>
      <c r="N174" s="1" t="s">
        <v>477</v>
      </c>
      <c r="O174">
        <v>28.4</v>
      </c>
      <c r="P174">
        <v>2</v>
      </c>
      <c r="Q174">
        <v>11.076000000000001</v>
      </c>
      <c r="R174" s="1" t="s">
        <v>4423</v>
      </c>
      <c r="S174">
        <v>2015</v>
      </c>
      <c r="T174" s="1" t="s">
        <v>289</v>
      </c>
    </row>
    <row r="175" spans="1:20" x14ac:dyDescent="0.25">
      <c r="A175" s="1" t="s">
        <v>833</v>
      </c>
      <c r="B175" s="2">
        <v>41925</v>
      </c>
      <c r="C175" s="2">
        <v>41927</v>
      </c>
      <c r="D175" s="1" t="s">
        <v>81</v>
      </c>
      <c r="E175" s="1" t="s">
        <v>834</v>
      </c>
      <c r="F175" s="1" t="s">
        <v>835</v>
      </c>
      <c r="G175" s="1" t="s">
        <v>24</v>
      </c>
      <c r="H175" s="1" t="s">
        <v>836</v>
      </c>
      <c r="I175" s="1" t="s">
        <v>184</v>
      </c>
      <c r="J175" s="1" t="s">
        <v>51</v>
      </c>
      <c r="K175" s="1" t="s">
        <v>334</v>
      </c>
      <c r="L175" s="1" t="s">
        <v>29</v>
      </c>
      <c r="M175" s="1" t="s">
        <v>43</v>
      </c>
      <c r="N175" s="1" t="s">
        <v>335</v>
      </c>
      <c r="O175">
        <v>1298.55</v>
      </c>
      <c r="P175">
        <v>5</v>
      </c>
      <c r="Q175">
        <v>311.65199999999999</v>
      </c>
      <c r="R175" s="1" t="s">
        <v>4423</v>
      </c>
      <c r="S175">
        <v>2014</v>
      </c>
      <c r="T175" s="1" t="s">
        <v>45</v>
      </c>
    </row>
    <row r="176" spans="1:20" x14ac:dyDescent="0.25">
      <c r="A176" s="1" t="s">
        <v>837</v>
      </c>
      <c r="B176" s="2">
        <v>42869</v>
      </c>
      <c r="C176" s="2">
        <v>42869</v>
      </c>
      <c r="D176" s="1" t="s">
        <v>417</v>
      </c>
      <c r="E176" s="1" t="s">
        <v>838</v>
      </c>
      <c r="F176" s="1" t="s">
        <v>839</v>
      </c>
      <c r="G176" s="1" t="s">
        <v>24</v>
      </c>
      <c r="H176" s="1" t="s">
        <v>840</v>
      </c>
      <c r="I176" s="1" t="s">
        <v>50</v>
      </c>
      <c r="J176" s="1" t="s">
        <v>51</v>
      </c>
      <c r="K176" s="1" t="s">
        <v>826</v>
      </c>
      <c r="L176" s="1" t="s">
        <v>29</v>
      </c>
      <c r="M176" s="1" t="s">
        <v>53</v>
      </c>
      <c r="N176" s="1" t="s">
        <v>827</v>
      </c>
      <c r="O176">
        <v>18.28</v>
      </c>
      <c r="P176">
        <v>2</v>
      </c>
      <c r="Q176">
        <v>6.2152000000000003</v>
      </c>
      <c r="R176" s="1" t="s">
        <v>4427</v>
      </c>
      <c r="S176">
        <v>2017</v>
      </c>
      <c r="T176" s="1" t="s">
        <v>153</v>
      </c>
    </row>
    <row r="177" spans="1:20" x14ac:dyDescent="0.25">
      <c r="A177" s="1" t="s">
        <v>841</v>
      </c>
      <c r="B177" s="2">
        <v>41818</v>
      </c>
      <c r="C177" s="2">
        <v>41822</v>
      </c>
      <c r="D177" s="1" t="s">
        <v>37</v>
      </c>
      <c r="E177" s="1" t="s">
        <v>609</v>
      </c>
      <c r="F177" s="1" t="s">
        <v>610</v>
      </c>
      <c r="G177" s="1" t="s">
        <v>24</v>
      </c>
      <c r="H177" s="1" t="s">
        <v>61</v>
      </c>
      <c r="I177" s="1" t="s">
        <v>62</v>
      </c>
      <c r="J177" s="1" t="s">
        <v>63</v>
      </c>
      <c r="K177" s="1" t="s">
        <v>842</v>
      </c>
      <c r="L177" s="1" t="s">
        <v>29</v>
      </c>
      <c r="M177" s="1" t="s">
        <v>34</v>
      </c>
      <c r="N177" s="1" t="s">
        <v>843</v>
      </c>
      <c r="O177">
        <v>1228.4649999999999</v>
      </c>
      <c r="P177">
        <v>5</v>
      </c>
      <c r="Q177">
        <v>0</v>
      </c>
      <c r="R177" s="1" t="s">
        <v>4424</v>
      </c>
      <c r="S177">
        <v>2014</v>
      </c>
      <c r="T177" s="1" t="s">
        <v>55</v>
      </c>
    </row>
    <row r="178" spans="1:20" x14ac:dyDescent="0.25">
      <c r="A178" s="1" t="s">
        <v>844</v>
      </c>
      <c r="B178" s="2">
        <v>42902</v>
      </c>
      <c r="C178" s="2">
        <v>42907</v>
      </c>
      <c r="D178" s="1" t="s">
        <v>21</v>
      </c>
      <c r="E178" s="1" t="s">
        <v>130</v>
      </c>
      <c r="F178" s="1" t="s">
        <v>131</v>
      </c>
      <c r="G178" s="1" t="s">
        <v>24</v>
      </c>
      <c r="H178" s="1" t="s">
        <v>845</v>
      </c>
      <c r="I178" s="1" t="s">
        <v>26</v>
      </c>
      <c r="J178" s="1" t="s">
        <v>27</v>
      </c>
      <c r="K178" s="1" t="s">
        <v>846</v>
      </c>
      <c r="L178" s="1" t="s">
        <v>29</v>
      </c>
      <c r="M178" s="1" t="s">
        <v>34</v>
      </c>
      <c r="N178" s="1" t="s">
        <v>847</v>
      </c>
      <c r="O178">
        <v>301.95999999999998</v>
      </c>
      <c r="P178">
        <v>2</v>
      </c>
      <c r="Q178">
        <v>90.587999999999994</v>
      </c>
      <c r="R178" s="1" t="s">
        <v>4422</v>
      </c>
      <c r="S178">
        <v>2017</v>
      </c>
      <c r="T178" s="1" t="s">
        <v>55</v>
      </c>
    </row>
    <row r="179" spans="1:20" x14ac:dyDescent="0.25">
      <c r="A179" s="1" t="s">
        <v>848</v>
      </c>
      <c r="B179" s="2">
        <v>42328</v>
      </c>
      <c r="C179" s="2">
        <v>42333</v>
      </c>
      <c r="D179" s="1" t="s">
        <v>37</v>
      </c>
      <c r="E179" s="1" t="s">
        <v>849</v>
      </c>
      <c r="F179" s="1" t="s">
        <v>850</v>
      </c>
      <c r="G179" s="1" t="s">
        <v>84</v>
      </c>
      <c r="H179" s="1" t="s">
        <v>165</v>
      </c>
      <c r="I179" s="1" t="s">
        <v>114</v>
      </c>
      <c r="J179" s="1" t="s">
        <v>63</v>
      </c>
      <c r="K179" s="1" t="s">
        <v>851</v>
      </c>
      <c r="L179" s="1" t="s">
        <v>29</v>
      </c>
      <c r="M179" s="1" t="s">
        <v>30</v>
      </c>
      <c r="N179" s="1" t="s">
        <v>852</v>
      </c>
      <c r="O179">
        <v>186.048</v>
      </c>
      <c r="P179">
        <v>4</v>
      </c>
      <c r="Q179">
        <v>9.3024000000000004</v>
      </c>
      <c r="R179" s="1" t="s">
        <v>4422</v>
      </c>
      <c r="S179">
        <v>2015</v>
      </c>
      <c r="T179" s="1" t="s">
        <v>32</v>
      </c>
    </row>
    <row r="180" spans="1:20" x14ac:dyDescent="0.25">
      <c r="A180" s="1" t="s">
        <v>853</v>
      </c>
      <c r="B180" s="2">
        <v>42290</v>
      </c>
      <c r="C180" s="2">
        <v>42294</v>
      </c>
      <c r="D180" s="1" t="s">
        <v>37</v>
      </c>
      <c r="E180" s="1" t="s">
        <v>854</v>
      </c>
      <c r="F180" s="1" t="s">
        <v>855</v>
      </c>
      <c r="G180" s="1" t="s">
        <v>24</v>
      </c>
      <c r="H180" s="1" t="s">
        <v>856</v>
      </c>
      <c r="I180" s="1" t="s">
        <v>26</v>
      </c>
      <c r="J180" s="1" t="s">
        <v>27</v>
      </c>
      <c r="K180" s="1" t="s">
        <v>348</v>
      </c>
      <c r="L180" s="1" t="s">
        <v>29</v>
      </c>
      <c r="M180" s="1" t="s">
        <v>34</v>
      </c>
      <c r="N180" s="1" t="s">
        <v>349</v>
      </c>
      <c r="O180">
        <v>287.94</v>
      </c>
      <c r="P180">
        <v>3</v>
      </c>
      <c r="Q180">
        <v>77.743799999999993</v>
      </c>
      <c r="R180" s="1" t="s">
        <v>4424</v>
      </c>
      <c r="S180">
        <v>2015</v>
      </c>
      <c r="T180" s="1" t="s">
        <v>45</v>
      </c>
    </row>
    <row r="181" spans="1:20" x14ac:dyDescent="0.25">
      <c r="A181" s="1" t="s">
        <v>857</v>
      </c>
      <c r="B181" s="2">
        <v>42736</v>
      </c>
      <c r="C181" s="2">
        <v>42741</v>
      </c>
      <c r="D181" s="1" t="s">
        <v>37</v>
      </c>
      <c r="E181" s="1" t="s">
        <v>858</v>
      </c>
      <c r="F181" s="1" t="s">
        <v>859</v>
      </c>
      <c r="G181" s="1" t="s">
        <v>24</v>
      </c>
      <c r="H181" s="1" t="s">
        <v>860</v>
      </c>
      <c r="I181" s="1" t="s">
        <v>223</v>
      </c>
      <c r="J181" s="1" t="s">
        <v>63</v>
      </c>
      <c r="K181" s="1" t="s">
        <v>861</v>
      </c>
      <c r="L181" s="1" t="s">
        <v>29</v>
      </c>
      <c r="M181" s="1" t="s">
        <v>53</v>
      </c>
      <c r="N181" s="1" t="s">
        <v>862</v>
      </c>
      <c r="O181">
        <v>48.896000000000001</v>
      </c>
      <c r="P181">
        <v>4</v>
      </c>
      <c r="Q181">
        <v>8.5568000000000008</v>
      </c>
      <c r="R181" s="1" t="s">
        <v>4422</v>
      </c>
      <c r="S181">
        <v>2017</v>
      </c>
      <c r="T181" s="1" t="s">
        <v>161</v>
      </c>
    </row>
    <row r="182" spans="1:20" x14ac:dyDescent="0.25">
      <c r="A182" s="1" t="s">
        <v>863</v>
      </c>
      <c r="B182" s="2">
        <v>42419</v>
      </c>
      <c r="C182" s="2">
        <v>42424</v>
      </c>
      <c r="D182" s="1" t="s">
        <v>37</v>
      </c>
      <c r="E182" s="1" t="s">
        <v>864</v>
      </c>
      <c r="F182" s="1" t="s">
        <v>865</v>
      </c>
      <c r="G182" s="1" t="s">
        <v>24</v>
      </c>
      <c r="H182" s="1" t="s">
        <v>165</v>
      </c>
      <c r="I182" s="1" t="s">
        <v>114</v>
      </c>
      <c r="J182" s="1" t="s">
        <v>63</v>
      </c>
      <c r="K182" s="1" t="s">
        <v>821</v>
      </c>
      <c r="L182" s="1" t="s">
        <v>29</v>
      </c>
      <c r="M182" s="1" t="s">
        <v>53</v>
      </c>
      <c r="N182" s="1" t="s">
        <v>822</v>
      </c>
      <c r="O182">
        <v>44.46</v>
      </c>
      <c r="P182">
        <v>2</v>
      </c>
      <c r="Q182">
        <v>14.671799999999999</v>
      </c>
      <c r="R182" s="1" t="s">
        <v>4422</v>
      </c>
      <c r="S182">
        <v>2016</v>
      </c>
      <c r="T182" s="1" t="s">
        <v>289</v>
      </c>
    </row>
    <row r="183" spans="1:20" x14ac:dyDescent="0.25">
      <c r="A183" s="1" t="s">
        <v>866</v>
      </c>
      <c r="B183" s="2">
        <v>41649</v>
      </c>
      <c r="C183" s="2">
        <v>41654</v>
      </c>
      <c r="D183" s="1" t="s">
        <v>37</v>
      </c>
      <c r="E183" s="1" t="s">
        <v>867</v>
      </c>
      <c r="F183" s="1" t="s">
        <v>868</v>
      </c>
      <c r="G183" s="1" t="s">
        <v>84</v>
      </c>
      <c r="H183" s="1" t="s">
        <v>869</v>
      </c>
      <c r="I183" s="1" t="s">
        <v>707</v>
      </c>
      <c r="J183" s="1" t="s">
        <v>27</v>
      </c>
      <c r="K183" s="1" t="s">
        <v>870</v>
      </c>
      <c r="L183" s="1" t="s">
        <v>29</v>
      </c>
      <c r="M183" s="1" t="s">
        <v>53</v>
      </c>
      <c r="N183" s="1" t="s">
        <v>871</v>
      </c>
      <c r="O183">
        <v>51.94</v>
      </c>
      <c r="P183">
        <v>1</v>
      </c>
      <c r="Q183">
        <v>21.295400000000001</v>
      </c>
      <c r="R183" s="1" t="s">
        <v>4422</v>
      </c>
      <c r="S183">
        <v>2014</v>
      </c>
      <c r="T183" s="1" t="s">
        <v>161</v>
      </c>
    </row>
    <row r="184" spans="1:20" x14ac:dyDescent="0.25">
      <c r="A184" s="1" t="s">
        <v>872</v>
      </c>
      <c r="B184" s="2">
        <v>42386</v>
      </c>
      <c r="C184" s="2">
        <v>42390</v>
      </c>
      <c r="D184" s="1" t="s">
        <v>37</v>
      </c>
      <c r="E184" s="1" t="s">
        <v>873</v>
      </c>
      <c r="F184" s="1" t="s">
        <v>874</v>
      </c>
      <c r="G184" s="1" t="s">
        <v>94</v>
      </c>
      <c r="H184" s="1" t="s">
        <v>500</v>
      </c>
      <c r="I184" s="1" t="s">
        <v>875</v>
      </c>
      <c r="J184" s="1" t="s">
        <v>63</v>
      </c>
      <c r="K184" s="1" t="s">
        <v>300</v>
      </c>
      <c r="L184" s="1" t="s">
        <v>29</v>
      </c>
      <c r="M184" s="1" t="s">
        <v>53</v>
      </c>
      <c r="N184" s="1" t="s">
        <v>301</v>
      </c>
      <c r="O184">
        <v>322.58999999999997</v>
      </c>
      <c r="P184">
        <v>3</v>
      </c>
      <c r="Q184">
        <v>64.518000000000001</v>
      </c>
      <c r="R184" s="1" t="s">
        <v>4424</v>
      </c>
      <c r="S184">
        <v>2016</v>
      </c>
      <c r="T184" s="1" t="s">
        <v>161</v>
      </c>
    </row>
    <row r="185" spans="1:20" x14ac:dyDescent="0.25">
      <c r="A185" s="1" t="s">
        <v>876</v>
      </c>
      <c r="B185" s="2">
        <v>43069</v>
      </c>
      <c r="C185" s="2">
        <v>43071</v>
      </c>
      <c r="D185" s="1" t="s">
        <v>21</v>
      </c>
      <c r="E185" s="1" t="s">
        <v>877</v>
      </c>
      <c r="F185" s="1" t="s">
        <v>878</v>
      </c>
      <c r="G185" s="1" t="s">
        <v>94</v>
      </c>
      <c r="H185" s="1" t="s">
        <v>165</v>
      </c>
      <c r="I185" s="1" t="s">
        <v>114</v>
      </c>
      <c r="J185" s="1" t="s">
        <v>63</v>
      </c>
      <c r="K185" s="1" t="s">
        <v>238</v>
      </c>
      <c r="L185" s="1" t="s">
        <v>29</v>
      </c>
      <c r="M185" s="1" t="s">
        <v>34</v>
      </c>
      <c r="N185" s="1" t="s">
        <v>239</v>
      </c>
      <c r="O185">
        <v>1242.9000000000001</v>
      </c>
      <c r="P185">
        <v>5</v>
      </c>
      <c r="Q185">
        <v>262.39</v>
      </c>
      <c r="R185" s="1" t="s">
        <v>4423</v>
      </c>
      <c r="S185">
        <v>2017</v>
      </c>
      <c r="T185" s="1" t="s">
        <v>32</v>
      </c>
    </row>
    <row r="186" spans="1:20" x14ac:dyDescent="0.25">
      <c r="A186" s="1" t="s">
        <v>879</v>
      </c>
      <c r="B186" s="2">
        <v>42665</v>
      </c>
      <c r="C186" s="2">
        <v>42667</v>
      </c>
      <c r="D186" s="1" t="s">
        <v>81</v>
      </c>
      <c r="E186" s="1" t="s">
        <v>880</v>
      </c>
      <c r="F186" s="1" t="s">
        <v>881</v>
      </c>
      <c r="G186" s="1" t="s">
        <v>94</v>
      </c>
      <c r="H186" s="1" t="s">
        <v>280</v>
      </c>
      <c r="I186" s="1" t="s">
        <v>281</v>
      </c>
      <c r="J186" s="1" t="s">
        <v>87</v>
      </c>
      <c r="K186" s="1" t="s">
        <v>668</v>
      </c>
      <c r="L186" s="1" t="s">
        <v>29</v>
      </c>
      <c r="M186" s="1" t="s">
        <v>53</v>
      </c>
      <c r="N186" s="1" t="s">
        <v>669</v>
      </c>
      <c r="O186">
        <v>31.4</v>
      </c>
      <c r="P186">
        <v>5</v>
      </c>
      <c r="Q186">
        <v>10.048</v>
      </c>
      <c r="R186" s="1" t="s">
        <v>4423</v>
      </c>
      <c r="S186">
        <v>2016</v>
      </c>
      <c r="T186" s="1" t="s">
        <v>45</v>
      </c>
    </row>
    <row r="187" spans="1:20" x14ac:dyDescent="0.25">
      <c r="A187" s="1" t="s">
        <v>882</v>
      </c>
      <c r="B187" s="2">
        <v>41758</v>
      </c>
      <c r="C187" s="2">
        <v>41763</v>
      </c>
      <c r="D187" s="1" t="s">
        <v>37</v>
      </c>
      <c r="E187" s="1" t="s">
        <v>883</v>
      </c>
      <c r="F187" s="1" t="s">
        <v>884</v>
      </c>
      <c r="G187" s="1" t="s">
        <v>24</v>
      </c>
      <c r="H187" s="1" t="s">
        <v>885</v>
      </c>
      <c r="I187" s="1" t="s">
        <v>114</v>
      </c>
      <c r="J187" s="1" t="s">
        <v>63</v>
      </c>
      <c r="K187" s="1" t="s">
        <v>886</v>
      </c>
      <c r="L187" s="1" t="s">
        <v>29</v>
      </c>
      <c r="M187" s="1" t="s">
        <v>53</v>
      </c>
      <c r="N187" s="1" t="s">
        <v>887</v>
      </c>
      <c r="O187">
        <v>17.46</v>
      </c>
      <c r="P187">
        <v>2</v>
      </c>
      <c r="Q187">
        <v>5.9363999999999999</v>
      </c>
      <c r="R187" s="1" t="s">
        <v>4422</v>
      </c>
      <c r="S187">
        <v>2014</v>
      </c>
      <c r="T187" s="1" t="s">
        <v>107</v>
      </c>
    </row>
    <row r="188" spans="1:20" x14ac:dyDescent="0.25">
      <c r="A188" s="1" t="s">
        <v>888</v>
      </c>
      <c r="B188" s="2">
        <v>43099</v>
      </c>
      <c r="C188" s="2">
        <v>43103</v>
      </c>
      <c r="D188" s="1" t="s">
        <v>37</v>
      </c>
      <c r="E188" s="1" t="s">
        <v>147</v>
      </c>
      <c r="F188" s="1" t="s">
        <v>148</v>
      </c>
      <c r="G188" s="1" t="s">
        <v>24</v>
      </c>
      <c r="H188" s="1" t="s">
        <v>165</v>
      </c>
      <c r="I188" s="1" t="s">
        <v>114</v>
      </c>
      <c r="J188" s="1" t="s">
        <v>63</v>
      </c>
      <c r="K188" s="1" t="s">
        <v>889</v>
      </c>
      <c r="L188" s="1" t="s">
        <v>29</v>
      </c>
      <c r="M188" s="1" t="s">
        <v>30</v>
      </c>
      <c r="N188" s="1" t="s">
        <v>890</v>
      </c>
      <c r="O188">
        <v>323.13600000000002</v>
      </c>
      <c r="P188">
        <v>4</v>
      </c>
      <c r="Q188">
        <v>12.117599999999999</v>
      </c>
      <c r="R188" s="1" t="s">
        <v>4424</v>
      </c>
      <c r="S188">
        <v>2017</v>
      </c>
      <c r="T188" s="1" t="s">
        <v>90</v>
      </c>
    </row>
    <row r="189" spans="1:20" x14ac:dyDescent="0.25">
      <c r="A189" s="1" t="s">
        <v>891</v>
      </c>
      <c r="B189" s="2">
        <v>42155</v>
      </c>
      <c r="C189" s="2">
        <v>42162</v>
      </c>
      <c r="D189" s="1" t="s">
        <v>37</v>
      </c>
      <c r="E189" s="1" t="s">
        <v>892</v>
      </c>
      <c r="F189" s="1" t="s">
        <v>893</v>
      </c>
      <c r="G189" s="1" t="s">
        <v>94</v>
      </c>
      <c r="H189" s="1" t="s">
        <v>894</v>
      </c>
      <c r="I189" s="1" t="s">
        <v>421</v>
      </c>
      <c r="J189" s="1" t="s">
        <v>63</v>
      </c>
      <c r="K189" s="1" t="s">
        <v>437</v>
      </c>
      <c r="L189" s="1" t="s">
        <v>29</v>
      </c>
      <c r="M189" s="1" t="s">
        <v>53</v>
      </c>
      <c r="N189" s="1" t="s">
        <v>438</v>
      </c>
      <c r="O189">
        <v>22.2</v>
      </c>
      <c r="P189">
        <v>6</v>
      </c>
      <c r="Q189">
        <v>9.1020000000000003</v>
      </c>
      <c r="R189" s="1" t="s">
        <v>4421</v>
      </c>
      <c r="S189">
        <v>2015</v>
      </c>
      <c r="T189" s="1" t="s">
        <v>153</v>
      </c>
    </row>
    <row r="190" spans="1:20" x14ac:dyDescent="0.25">
      <c r="A190" s="1" t="s">
        <v>895</v>
      </c>
      <c r="B190" s="2">
        <v>43066</v>
      </c>
      <c r="C190" s="2">
        <v>43068</v>
      </c>
      <c r="D190" s="1" t="s">
        <v>81</v>
      </c>
      <c r="E190" s="1" t="s">
        <v>849</v>
      </c>
      <c r="F190" s="1" t="s">
        <v>850</v>
      </c>
      <c r="G190" s="1" t="s">
        <v>84</v>
      </c>
      <c r="H190" s="1" t="s">
        <v>896</v>
      </c>
      <c r="I190" s="1" t="s">
        <v>230</v>
      </c>
      <c r="J190" s="1" t="s">
        <v>87</v>
      </c>
      <c r="K190" s="1" t="s">
        <v>346</v>
      </c>
      <c r="L190" s="1" t="s">
        <v>29</v>
      </c>
      <c r="M190" s="1" t="s">
        <v>53</v>
      </c>
      <c r="N190" s="1" t="s">
        <v>347</v>
      </c>
      <c r="O190">
        <v>46.94</v>
      </c>
      <c r="P190">
        <v>1</v>
      </c>
      <c r="Q190">
        <v>19.2454</v>
      </c>
      <c r="R190" s="1" t="s">
        <v>4423</v>
      </c>
      <c r="S190">
        <v>2017</v>
      </c>
      <c r="T190" s="1" t="s">
        <v>32</v>
      </c>
    </row>
    <row r="191" spans="1:20" x14ac:dyDescent="0.25">
      <c r="A191" s="1" t="s">
        <v>897</v>
      </c>
      <c r="B191" s="2">
        <v>41805</v>
      </c>
      <c r="C191" s="2">
        <v>41811</v>
      </c>
      <c r="D191" s="1" t="s">
        <v>37</v>
      </c>
      <c r="E191" s="1" t="s">
        <v>343</v>
      </c>
      <c r="F191" s="1" t="s">
        <v>344</v>
      </c>
      <c r="G191" s="1" t="s">
        <v>84</v>
      </c>
      <c r="H191" s="1" t="s">
        <v>237</v>
      </c>
      <c r="I191" s="1" t="s">
        <v>86</v>
      </c>
      <c r="J191" s="1" t="s">
        <v>87</v>
      </c>
      <c r="K191" s="1" t="s">
        <v>898</v>
      </c>
      <c r="L191" s="1" t="s">
        <v>29</v>
      </c>
      <c r="M191" s="1" t="s">
        <v>43</v>
      </c>
      <c r="N191" s="1" t="s">
        <v>899</v>
      </c>
      <c r="O191">
        <v>99.918000000000006</v>
      </c>
      <c r="P191">
        <v>2</v>
      </c>
      <c r="Q191">
        <v>-18.5562</v>
      </c>
      <c r="R191" s="1" t="s">
        <v>4426</v>
      </c>
      <c r="S191">
        <v>2014</v>
      </c>
      <c r="T191" s="1" t="s">
        <v>55</v>
      </c>
    </row>
    <row r="192" spans="1:20" x14ac:dyDescent="0.25">
      <c r="A192" s="1" t="s">
        <v>897</v>
      </c>
      <c r="B192" s="2">
        <v>41805</v>
      </c>
      <c r="C192" s="2">
        <v>41811</v>
      </c>
      <c r="D192" s="1" t="s">
        <v>37</v>
      </c>
      <c r="E192" s="1" t="s">
        <v>343</v>
      </c>
      <c r="F192" s="1" t="s">
        <v>344</v>
      </c>
      <c r="G192" s="1" t="s">
        <v>84</v>
      </c>
      <c r="H192" s="1" t="s">
        <v>237</v>
      </c>
      <c r="I192" s="1" t="s">
        <v>86</v>
      </c>
      <c r="J192" s="1" t="s">
        <v>87</v>
      </c>
      <c r="K192" s="1" t="s">
        <v>566</v>
      </c>
      <c r="L192" s="1" t="s">
        <v>29</v>
      </c>
      <c r="M192" s="1" t="s">
        <v>34</v>
      </c>
      <c r="N192" s="1" t="s">
        <v>567</v>
      </c>
      <c r="O192">
        <v>797.94399999999996</v>
      </c>
      <c r="P192">
        <v>4</v>
      </c>
      <c r="Q192">
        <v>-56.996000000000002</v>
      </c>
      <c r="R192" s="1" t="s">
        <v>4426</v>
      </c>
      <c r="S192">
        <v>2014</v>
      </c>
      <c r="T192" s="1" t="s">
        <v>55</v>
      </c>
    </row>
    <row r="193" spans="1:20" x14ac:dyDescent="0.25">
      <c r="A193" s="1" t="s">
        <v>900</v>
      </c>
      <c r="B193" s="2">
        <v>42717</v>
      </c>
      <c r="C193" s="2">
        <v>42724</v>
      </c>
      <c r="D193" s="1" t="s">
        <v>37</v>
      </c>
      <c r="E193" s="1" t="s">
        <v>901</v>
      </c>
      <c r="F193" s="1" t="s">
        <v>902</v>
      </c>
      <c r="G193" s="1" t="s">
        <v>84</v>
      </c>
      <c r="H193" s="1" t="s">
        <v>903</v>
      </c>
      <c r="I193" s="1" t="s">
        <v>50</v>
      </c>
      <c r="J193" s="1" t="s">
        <v>51</v>
      </c>
      <c r="K193" s="1" t="s">
        <v>42</v>
      </c>
      <c r="L193" s="1" t="s">
        <v>29</v>
      </c>
      <c r="M193" s="1" t="s">
        <v>43</v>
      </c>
      <c r="N193" s="1" t="s">
        <v>44</v>
      </c>
      <c r="O193">
        <v>1114.2719999999999</v>
      </c>
      <c r="P193">
        <v>4</v>
      </c>
      <c r="Q193">
        <v>41.785200000000003</v>
      </c>
      <c r="R193" s="1" t="s">
        <v>4421</v>
      </c>
      <c r="S193">
        <v>2016</v>
      </c>
      <c r="T193" s="1" t="s">
        <v>90</v>
      </c>
    </row>
    <row r="194" spans="1:20" x14ac:dyDescent="0.25">
      <c r="A194" s="1" t="s">
        <v>904</v>
      </c>
      <c r="B194" s="2">
        <v>42211</v>
      </c>
      <c r="C194" s="2">
        <v>42213</v>
      </c>
      <c r="D194" s="1" t="s">
        <v>81</v>
      </c>
      <c r="E194" s="1" t="s">
        <v>609</v>
      </c>
      <c r="F194" s="1" t="s">
        <v>610</v>
      </c>
      <c r="G194" s="1" t="s">
        <v>24</v>
      </c>
      <c r="H194" s="1" t="s">
        <v>905</v>
      </c>
      <c r="I194" s="1" t="s">
        <v>511</v>
      </c>
      <c r="J194" s="1" t="s">
        <v>51</v>
      </c>
      <c r="K194" s="1" t="s">
        <v>906</v>
      </c>
      <c r="L194" s="1" t="s">
        <v>29</v>
      </c>
      <c r="M194" s="1" t="s">
        <v>43</v>
      </c>
      <c r="N194" s="1" t="s">
        <v>907</v>
      </c>
      <c r="O194">
        <v>393.16500000000002</v>
      </c>
      <c r="P194">
        <v>3</v>
      </c>
      <c r="Q194">
        <v>-204.44579999999999</v>
      </c>
      <c r="R194" s="1" t="s">
        <v>4423</v>
      </c>
      <c r="S194">
        <v>2015</v>
      </c>
      <c r="T194" s="1" t="s">
        <v>66</v>
      </c>
    </row>
    <row r="195" spans="1:20" x14ac:dyDescent="0.25">
      <c r="A195" s="1" t="s">
        <v>908</v>
      </c>
      <c r="B195" s="2">
        <v>43067</v>
      </c>
      <c r="C195" s="2">
        <v>43071</v>
      </c>
      <c r="D195" s="1" t="s">
        <v>37</v>
      </c>
      <c r="E195" s="1" t="s">
        <v>909</v>
      </c>
      <c r="F195" s="1" t="s">
        <v>910</v>
      </c>
      <c r="G195" s="1" t="s">
        <v>94</v>
      </c>
      <c r="H195" s="1" t="s">
        <v>61</v>
      </c>
      <c r="I195" s="1" t="s">
        <v>62</v>
      </c>
      <c r="J195" s="1" t="s">
        <v>63</v>
      </c>
      <c r="K195" s="1" t="s">
        <v>911</v>
      </c>
      <c r="L195" s="1" t="s">
        <v>29</v>
      </c>
      <c r="M195" s="1" t="s">
        <v>53</v>
      </c>
      <c r="N195" s="1" t="s">
        <v>912</v>
      </c>
      <c r="O195">
        <v>516.48800000000006</v>
      </c>
      <c r="P195">
        <v>7</v>
      </c>
      <c r="Q195">
        <v>-12.9122</v>
      </c>
      <c r="R195" s="1" t="s">
        <v>4424</v>
      </c>
      <c r="S195">
        <v>2017</v>
      </c>
      <c r="T195" s="1" t="s">
        <v>32</v>
      </c>
    </row>
    <row r="196" spans="1:20" x14ac:dyDescent="0.25">
      <c r="A196" s="1" t="s">
        <v>908</v>
      </c>
      <c r="B196" s="2">
        <v>43067</v>
      </c>
      <c r="C196" s="2">
        <v>43071</v>
      </c>
      <c r="D196" s="1" t="s">
        <v>37</v>
      </c>
      <c r="E196" s="1" t="s">
        <v>909</v>
      </c>
      <c r="F196" s="1" t="s">
        <v>910</v>
      </c>
      <c r="G196" s="1" t="s">
        <v>94</v>
      </c>
      <c r="H196" s="1" t="s">
        <v>61</v>
      </c>
      <c r="I196" s="1" t="s">
        <v>62</v>
      </c>
      <c r="J196" s="1" t="s">
        <v>63</v>
      </c>
      <c r="K196" s="1" t="s">
        <v>305</v>
      </c>
      <c r="L196" s="1" t="s">
        <v>29</v>
      </c>
      <c r="M196" s="1" t="s">
        <v>53</v>
      </c>
      <c r="N196" s="1" t="s">
        <v>306</v>
      </c>
      <c r="O196">
        <v>1007.232</v>
      </c>
      <c r="P196">
        <v>6</v>
      </c>
      <c r="Q196">
        <v>75.542400000000001</v>
      </c>
      <c r="R196" s="1" t="s">
        <v>4424</v>
      </c>
      <c r="S196">
        <v>2017</v>
      </c>
      <c r="T196" s="1" t="s">
        <v>32</v>
      </c>
    </row>
    <row r="197" spans="1:20" x14ac:dyDescent="0.25">
      <c r="A197" s="1" t="s">
        <v>908</v>
      </c>
      <c r="B197" s="2">
        <v>43067</v>
      </c>
      <c r="C197" s="2">
        <v>43071</v>
      </c>
      <c r="D197" s="1" t="s">
        <v>37</v>
      </c>
      <c r="E197" s="1" t="s">
        <v>909</v>
      </c>
      <c r="F197" s="1" t="s">
        <v>910</v>
      </c>
      <c r="G197" s="1" t="s">
        <v>94</v>
      </c>
      <c r="H197" s="1" t="s">
        <v>61</v>
      </c>
      <c r="I197" s="1" t="s">
        <v>62</v>
      </c>
      <c r="J197" s="1" t="s">
        <v>63</v>
      </c>
      <c r="K197" s="1" t="s">
        <v>913</v>
      </c>
      <c r="L197" s="1" t="s">
        <v>29</v>
      </c>
      <c r="M197" s="1" t="s">
        <v>43</v>
      </c>
      <c r="N197" s="1" t="s">
        <v>914</v>
      </c>
      <c r="O197">
        <v>2065.3200000000002</v>
      </c>
      <c r="P197">
        <v>12</v>
      </c>
      <c r="Q197">
        <v>-619.596</v>
      </c>
      <c r="R197" s="1" t="s">
        <v>4424</v>
      </c>
      <c r="S197">
        <v>2017</v>
      </c>
      <c r="T197" s="1" t="s">
        <v>32</v>
      </c>
    </row>
    <row r="198" spans="1:20" x14ac:dyDescent="0.25">
      <c r="A198" s="1" t="s">
        <v>915</v>
      </c>
      <c r="B198" s="2">
        <v>42828</v>
      </c>
      <c r="C198" s="2">
        <v>42832</v>
      </c>
      <c r="D198" s="1" t="s">
        <v>37</v>
      </c>
      <c r="E198" s="1" t="s">
        <v>916</v>
      </c>
      <c r="F198" s="1" t="s">
        <v>917</v>
      </c>
      <c r="G198" s="1" t="s">
        <v>24</v>
      </c>
      <c r="H198" s="1" t="s">
        <v>61</v>
      </c>
      <c r="I198" s="1" t="s">
        <v>62</v>
      </c>
      <c r="J198" s="1" t="s">
        <v>63</v>
      </c>
      <c r="K198" s="1" t="s">
        <v>918</v>
      </c>
      <c r="L198" s="1" t="s">
        <v>29</v>
      </c>
      <c r="M198" s="1" t="s">
        <v>53</v>
      </c>
      <c r="N198" s="1" t="s">
        <v>308</v>
      </c>
      <c r="O198">
        <v>25.472000000000001</v>
      </c>
      <c r="P198">
        <v>4</v>
      </c>
      <c r="Q198">
        <v>7.6416000000000004</v>
      </c>
      <c r="R198" s="1" t="s">
        <v>4424</v>
      </c>
      <c r="S198">
        <v>2017</v>
      </c>
      <c r="T198" s="1" t="s">
        <v>107</v>
      </c>
    </row>
    <row r="199" spans="1:20" x14ac:dyDescent="0.25">
      <c r="A199" s="1" t="s">
        <v>919</v>
      </c>
      <c r="B199" s="2">
        <v>43097</v>
      </c>
      <c r="C199" s="2">
        <v>43101</v>
      </c>
      <c r="D199" s="1" t="s">
        <v>37</v>
      </c>
      <c r="E199" s="1" t="s">
        <v>920</v>
      </c>
      <c r="F199" s="1" t="s">
        <v>921</v>
      </c>
      <c r="G199" s="1" t="s">
        <v>24</v>
      </c>
      <c r="H199" s="1" t="s">
        <v>922</v>
      </c>
      <c r="I199" s="1" t="s">
        <v>86</v>
      </c>
      <c r="J199" s="1" t="s">
        <v>87</v>
      </c>
      <c r="K199" s="1" t="s">
        <v>340</v>
      </c>
      <c r="L199" s="1" t="s">
        <v>29</v>
      </c>
      <c r="M199" s="1" t="s">
        <v>30</v>
      </c>
      <c r="N199" s="1" t="s">
        <v>341</v>
      </c>
      <c r="O199">
        <v>78.852800000000002</v>
      </c>
      <c r="P199">
        <v>2</v>
      </c>
      <c r="Q199">
        <v>-11.596</v>
      </c>
      <c r="R199" s="1" t="s">
        <v>4424</v>
      </c>
      <c r="S199">
        <v>2017</v>
      </c>
      <c r="T199" s="1" t="s">
        <v>90</v>
      </c>
    </row>
    <row r="200" spans="1:20" x14ac:dyDescent="0.25">
      <c r="A200" s="1" t="s">
        <v>923</v>
      </c>
      <c r="B200" s="2">
        <v>42269</v>
      </c>
      <c r="C200" s="2">
        <v>42269</v>
      </c>
      <c r="D200" s="1" t="s">
        <v>417</v>
      </c>
      <c r="E200" s="1" t="s">
        <v>924</v>
      </c>
      <c r="F200" s="1" t="s">
        <v>925</v>
      </c>
      <c r="G200" s="1" t="s">
        <v>24</v>
      </c>
      <c r="H200" s="1" t="s">
        <v>752</v>
      </c>
      <c r="I200" s="1" t="s">
        <v>50</v>
      </c>
      <c r="J200" s="1" t="s">
        <v>51</v>
      </c>
      <c r="K200" s="1" t="s">
        <v>926</v>
      </c>
      <c r="L200" s="1" t="s">
        <v>29</v>
      </c>
      <c r="M200" s="1" t="s">
        <v>53</v>
      </c>
      <c r="N200" s="1" t="s">
        <v>927</v>
      </c>
      <c r="O200">
        <v>204.6</v>
      </c>
      <c r="P200">
        <v>2</v>
      </c>
      <c r="Q200">
        <v>53.195999999999998</v>
      </c>
      <c r="R200" s="1" t="s">
        <v>4427</v>
      </c>
      <c r="S200">
        <v>2015</v>
      </c>
      <c r="T200" s="1" t="s">
        <v>72</v>
      </c>
    </row>
    <row r="201" spans="1:20" x14ac:dyDescent="0.25">
      <c r="A201" s="1" t="s">
        <v>928</v>
      </c>
      <c r="B201" s="2">
        <v>43053</v>
      </c>
      <c r="C201" s="2">
        <v>43058</v>
      </c>
      <c r="D201" s="1" t="s">
        <v>37</v>
      </c>
      <c r="E201" s="1" t="s">
        <v>929</v>
      </c>
      <c r="F201" s="1" t="s">
        <v>930</v>
      </c>
      <c r="G201" s="1" t="s">
        <v>84</v>
      </c>
      <c r="H201" s="1" t="s">
        <v>320</v>
      </c>
      <c r="I201" s="1" t="s">
        <v>50</v>
      </c>
      <c r="J201" s="1" t="s">
        <v>51</v>
      </c>
      <c r="K201" s="1" t="s">
        <v>321</v>
      </c>
      <c r="L201" s="1" t="s">
        <v>29</v>
      </c>
      <c r="M201" s="1" t="s">
        <v>34</v>
      </c>
      <c r="N201" s="1" t="s">
        <v>322</v>
      </c>
      <c r="O201">
        <v>321.56799999999998</v>
      </c>
      <c r="P201">
        <v>2</v>
      </c>
      <c r="Q201">
        <v>28.1372</v>
      </c>
      <c r="R201" s="1" t="s">
        <v>4422</v>
      </c>
      <c r="S201">
        <v>2017</v>
      </c>
      <c r="T201" s="1" t="s">
        <v>32</v>
      </c>
    </row>
    <row r="202" spans="1:20" x14ac:dyDescent="0.25">
      <c r="A202" s="1" t="s">
        <v>931</v>
      </c>
      <c r="B202" s="2">
        <v>41655</v>
      </c>
      <c r="C202" s="2">
        <v>41657</v>
      </c>
      <c r="D202" s="1" t="s">
        <v>21</v>
      </c>
      <c r="E202" s="1" t="s">
        <v>932</v>
      </c>
      <c r="F202" s="1" t="s">
        <v>933</v>
      </c>
      <c r="G202" s="1" t="s">
        <v>24</v>
      </c>
      <c r="H202" s="1" t="s">
        <v>61</v>
      </c>
      <c r="I202" s="1" t="s">
        <v>62</v>
      </c>
      <c r="J202" s="1" t="s">
        <v>63</v>
      </c>
      <c r="K202" s="1" t="s">
        <v>934</v>
      </c>
      <c r="L202" s="1" t="s">
        <v>29</v>
      </c>
      <c r="M202" s="1" t="s">
        <v>53</v>
      </c>
      <c r="N202" s="1" t="s">
        <v>935</v>
      </c>
      <c r="O202">
        <v>127.104</v>
      </c>
      <c r="P202">
        <v>6</v>
      </c>
      <c r="Q202">
        <v>28.598400000000002</v>
      </c>
      <c r="R202" s="1" t="s">
        <v>4423</v>
      </c>
      <c r="S202">
        <v>2014</v>
      </c>
      <c r="T202" s="1" t="s">
        <v>161</v>
      </c>
    </row>
    <row r="203" spans="1:20" x14ac:dyDescent="0.25">
      <c r="A203" s="1" t="s">
        <v>936</v>
      </c>
      <c r="B203" s="2">
        <v>42646</v>
      </c>
      <c r="C203" s="2">
        <v>42651</v>
      </c>
      <c r="D203" s="1" t="s">
        <v>37</v>
      </c>
      <c r="E203" s="1" t="s">
        <v>68</v>
      </c>
      <c r="F203" s="1" t="s">
        <v>69</v>
      </c>
      <c r="G203" s="1" t="s">
        <v>24</v>
      </c>
      <c r="H203" s="1" t="s">
        <v>165</v>
      </c>
      <c r="I203" s="1" t="s">
        <v>114</v>
      </c>
      <c r="J203" s="1" t="s">
        <v>63</v>
      </c>
      <c r="K203" s="1" t="s">
        <v>812</v>
      </c>
      <c r="L203" s="1" t="s">
        <v>29</v>
      </c>
      <c r="M203" s="1" t="s">
        <v>34</v>
      </c>
      <c r="N203" s="1" t="s">
        <v>813</v>
      </c>
      <c r="O203">
        <v>599.29200000000003</v>
      </c>
      <c r="P203">
        <v>6</v>
      </c>
      <c r="Q203">
        <v>93.223200000000006</v>
      </c>
      <c r="R203" s="1" t="s">
        <v>4422</v>
      </c>
      <c r="S203">
        <v>2016</v>
      </c>
      <c r="T203" s="1" t="s">
        <v>45</v>
      </c>
    </row>
    <row r="204" spans="1:20" x14ac:dyDescent="0.25">
      <c r="A204" s="1" t="s">
        <v>937</v>
      </c>
      <c r="B204" s="2">
        <v>41954</v>
      </c>
      <c r="C204" s="2">
        <v>41957</v>
      </c>
      <c r="D204" s="1" t="s">
        <v>21</v>
      </c>
      <c r="E204" s="1" t="s">
        <v>938</v>
      </c>
      <c r="F204" s="1" t="s">
        <v>939</v>
      </c>
      <c r="G204" s="1" t="s">
        <v>24</v>
      </c>
      <c r="H204" s="1" t="s">
        <v>856</v>
      </c>
      <c r="I204" s="1" t="s">
        <v>172</v>
      </c>
      <c r="J204" s="1" t="s">
        <v>51</v>
      </c>
      <c r="K204" s="1" t="s">
        <v>846</v>
      </c>
      <c r="L204" s="1" t="s">
        <v>29</v>
      </c>
      <c r="M204" s="1" t="s">
        <v>34</v>
      </c>
      <c r="N204" s="1" t="s">
        <v>847</v>
      </c>
      <c r="O204">
        <v>603.91999999999996</v>
      </c>
      <c r="P204">
        <v>5</v>
      </c>
      <c r="Q204">
        <v>75.489999999999995</v>
      </c>
      <c r="R204" s="1" t="s">
        <v>4420</v>
      </c>
      <c r="S204">
        <v>2014</v>
      </c>
      <c r="T204" s="1" t="s">
        <v>32</v>
      </c>
    </row>
    <row r="205" spans="1:20" x14ac:dyDescent="0.25">
      <c r="A205" s="1" t="s">
        <v>940</v>
      </c>
      <c r="B205" s="2">
        <v>42876</v>
      </c>
      <c r="C205" s="2">
        <v>42881</v>
      </c>
      <c r="D205" s="1" t="s">
        <v>37</v>
      </c>
      <c r="E205" s="1" t="s">
        <v>941</v>
      </c>
      <c r="F205" s="1" t="s">
        <v>942</v>
      </c>
      <c r="G205" s="1" t="s">
        <v>84</v>
      </c>
      <c r="H205" s="1" t="s">
        <v>943</v>
      </c>
      <c r="I205" s="1" t="s">
        <v>114</v>
      </c>
      <c r="J205" s="1" t="s">
        <v>63</v>
      </c>
      <c r="K205" s="1" t="s">
        <v>708</v>
      </c>
      <c r="L205" s="1" t="s">
        <v>29</v>
      </c>
      <c r="M205" s="1" t="s">
        <v>53</v>
      </c>
      <c r="N205" s="1" t="s">
        <v>709</v>
      </c>
      <c r="O205">
        <v>520.04999999999995</v>
      </c>
      <c r="P205">
        <v>5</v>
      </c>
      <c r="Q205">
        <v>72.807000000000002</v>
      </c>
      <c r="R205" s="1" t="s">
        <v>4422</v>
      </c>
      <c r="S205">
        <v>2017</v>
      </c>
      <c r="T205" s="1" t="s">
        <v>153</v>
      </c>
    </row>
    <row r="206" spans="1:20" x14ac:dyDescent="0.25">
      <c r="A206" s="1" t="s">
        <v>944</v>
      </c>
      <c r="B206" s="2">
        <v>42092</v>
      </c>
      <c r="C206" s="2">
        <v>42094</v>
      </c>
      <c r="D206" s="1" t="s">
        <v>21</v>
      </c>
      <c r="E206" s="1" t="s">
        <v>945</v>
      </c>
      <c r="F206" s="1" t="s">
        <v>946</v>
      </c>
      <c r="G206" s="1" t="s">
        <v>94</v>
      </c>
      <c r="H206" s="1" t="s">
        <v>597</v>
      </c>
      <c r="I206" s="1" t="s">
        <v>41</v>
      </c>
      <c r="J206" s="1" t="s">
        <v>27</v>
      </c>
      <c r="K206" s="1" t="s">
        <v>373</v>
      </c>
      <c r="L206" s="1" t="s">
        <v>29</v>
      </c>
      <c r="M206" s="1" t="s">
        <v>34</v>
      </c>
      <c r="N206" s="1" t="s">
        <v>374</v>
      </c>
      <c r="O206">
        <v>1166.92</v>
      </c>
      <c r="P206">
        <v>5</v>
      </c>
      <c r="Q206">
        <v>131.27850000000001</v>
      </c>
      <c r="R206" s="1" t="s">
        <v>4423</v>
      </c>
      <c r="S206">
        <v>2015</v>
      </c>
      <c r="T206" s="1" t="s">
        <v>187</v>
      </c>
    </row>
    <row r="207" spans="1:20" x14ac:dyDescent="0.25">
      <c r="A207" s="1" t="s">
        <v>947</v>
      </c>
      <c r="B207" s="2">
        <v>42305</v>
      </c>
      <c r="C207" s="2">
        <v>42311</v>
      </c>
      <c r="D207" s="1" t="s">
        <v>37</v>
      </c>
      <c r="E207" s="1" t="s">
        <v>948</v>
      </c>
      <c r="F207" s="1" t="s">
        <v>949</v>
      </c>
      <c r="G207" s="1" t="s">
        <v>24</v>
      </c>
      <c r="H207" s="1" t="s">
        <v>25</v>
      </c>
      <c r="I207" s="1" t="s">
        <v>26</v>
      </c>
      <c r="J207" s="1" t="s">
        <v>27</v>
      </c>
      <c r="K207" s="1" t="s">
        <v>950</v>
      </c>
      <c r="L207" s="1" t="s">
        <v>29</v>
      </c>
      <c r="M207" s="1" t="s">
        <v>53</v>
      </c>
      <c r="N207" s="1" t="s">
        <v>951</v>
      </c>
      <c r="O207">
        <v>24.1</v>
      </c>
      <c r="P207">
        <v>5</v>
      </c>
      <c r="Q207">
        <v>9.1579999999999995</v>
      </c>
      <c r="R207" s="1" t="s">
        <v>4426</v>
      </c>
      <c r="S207">
        <v>2015</v>
      </c>
      <c r="T207" s="1" t="s">
        <v>45</v>
      </c>
    </row>
    <row r="208" spans="1:20" x14ac:dyDescent="0.25">
      <c r="A208" s="1" t="s">
        <v>947</v>
      </c>
      <c r="B208" s="2">
        <v>42305</v>
      </c>
      <c r="C208" s="2">
        <v>42311</v>
      </c>
      <c r="D208" s="1" t="s">
        <v>37</v>
      </c>
      <c r="E208" s="1" t="s">
        <v>948</v>
      </c>
      <c r="F208" s="1" t="s">
        <v>949</v>
      </c>
      <c r="G208" s="1" t="s">
        <v>24</v>
      </c>
      <c r="H208" s="1" t="s">
        <v>25</v>
      </c>
      <c r="I208" s="1" t="s">
        <v>26</v>
      </c>
      <c r="J208" s="1" t="s">
        <v>27</v>
      </c>
      <c r="K208" s="1" t="s">
        <v>371</v>
      </c>
      <c r="L208" s="1" t="s">
        <v>29</v>
      </c>
      <c r="M208" s="1" t="s">
        <v>53</v>
      </c>
      <c r="N208" s="1" t="s">
        <v>372</v>
      </c>
      <c r="O208">
        <v>33.11</v>
      </c>
      <c r="P208">
        <v>7</v>
      </c>
      <c r="Q208">
        <v>12.9129</v>
      </c>
      <c r="R208" s="1" t="s">
        <v>4426</v>
      </c>
      <c r="S208">
        <v>2015</v>
      </c>
      <c r="T208" s="1" t="s">
        <v>45</v>
      </c>
    </row>
    <row r="209" spans="1:20" x14ac:dyDescent="0.25">
      <c r="A209" s="1" t="s">
        <v>952</v>
      </c>
      <c r="B209" s="2">
        <v>42216</v>
      </c>
      <c r="C209" s="2">
        <v>42216</v>
      </c>
      <c r="D209" s="1" t="s">
        <v>417</v>
      </c>
      <c r="E209" s="1" t="s">
        <v>953</v>
      </c>
      <c r="F209" s="1" t="s">
        <v>954</v>
      </c>
      <c r="G209" s="1" t="s">
        <v>24</v>
      </c>
      <c r="H209" s="1" t="s">
        <v>165</v>
      </c>
      <c r="I209" s="1" t="s">
        <v>114</v>
      </c>
      <c r="J209" s="1" t="s">
        <v>63</v>
      </c>
      <c r="K209" s="1" t="s">
        <v>334</v>
      </c>
      <c r="L209" s="1" t="s">
        <v>29</v>
      </c>
      <c r="M209" s="1" t="s">
        <v>43</v>
      </c>
      <c r="N209" s="1" t="s">
        <v>335</v>
      </c>
      <c r="O209">
        <v>1090.7819999999999</v>
      </c>
      <c r="P209">
        <v>7</v>
      </c>
      <c r="Q209">
        <v>-290.87520000000001</v>
      </c>
      <c r="R209" s="1" t="s">
        <v>4427</v>
      </c>
      <c r="S209">
        <v>2015</v>
      </c>
      <c r="T209" s="1" t="s">
        <v>66</v>
      </c>
    </row>
    <row r="210" spans="1:20" x14ac:dyDescent="0.25">
      <c r="A210" s="1" t="s">
        <v>955</v>
      </c>
      <c r="B210" s="2">
        <v>41967</v>
      </c>
      <c r="C210" s="2">
        <v>41969</v>
      </c>
      <c r="D210" s="1" t="s">
        <v>81</v>
      </c>
      <c r="E210" s="1" t="s">
        <v>956</v>
      </c>
      <c r="F210" s="1" t="s">
        <v>957</v>
      </c>
      <c r="G210" s="1" t="s">
        <v>24</v>
      </c>
      <c r="H210" s="1" t="s">
        <v>630</v>
      </c>
      <c r="I210" s="1" t="s">
        <v>50</v>
      </c>
      <c r="J210" s="1" t="s">
        <v>51</v>
      </c>
      <c r="K210" s="1" t="s">
        <v>958</v>
      </c>
      <c r="L210" s="1" t="s">
        <v>29</v>
      </c>
      <c r="M210" s="1" t="s">
        <v>53</v>
      </c>
      <c r="N210" s="1" t="s">
        <v>959</v>
      </c>
      <c r="O210">
        <v>151.72</v>
      </c>
      <c r="P210">
        <v>4</v>
      </c>
      <c r="Q210">
        <v>27.3096</v>
      </c>
      <c r="R210" s="1" t="s">
        <v>4423</v>
      </c>
      <c r="S210">
        <v>2014</v>
      </c>
      <c r="T210" s="1" t="s">
        <v>32</v>
      </c>
    </row>
    <row r="211" spans="1:20" x14ac:dyDescent="0.25">
      <c r="A211" s="1" t="s">
        <v>960</v>
      </c>
      <c r="B211" s="2">
        <v>42903</v>
      </c>
      <c r="C211" s="2">
        <v>42907</v>
      </c>
      <c r="D211" s="1" t="s">
        <v>21</v>
      </c>
      <c r="E211" s="1" t="s">
        <v>201</v>
      </c>
      <c r="F211" s="1" t="s">
        <v>202</v>
      </c>
      <c r="G211" s="1" t="s">
        <v>24</v>
      </c>
      <c r="H211" s="1" t="s">
        <v>961</v>
      </c>
      <c r="I211" s="1" t="s">
        <v>184</v>
      </c>
      <c r="J211" s="1" t="s">
        <v>51</v>
      </c>
      <c r="K211" s="1" t="s">
        <v>78</v>
      </c>
      <c r="L211" s="1" t="s">
        <v>29</v>
      </c>
      <c r="M211" s="1" t="s">
        <v>53</v>
      </c>
      <c r="N211" s="1" t="s">
        <v>79</v>
      </c>
      <c r="O211">
        <v>155.25</v>
      </c>
      <c r="P211">
        <v>3</v>
      </c>
      <c r="Q211">
        <v>46.575000000000003</v>
      </c>
      <c r="R211" s="1" t="s">
        <v>4424</v>
      </c>
      <c r="S211">
        <v>2017</v>
      </c>
      <c r="T211" s="1" t="s">
        <v>55</v>
      </c>
    </row>
    <row r="212" spans="1:20" x14ac:dyDescent="0.25">
      <c r="A212" s="1" t="s">
        <v>962</v>
      </c>
      <c r="B212" s="2">
        <v>42359</v>
      </c>
      <c r="C212" s="2">
        <v>42362</v>
      </c>
      <c r="D212" s="1" t="s">
        <v>21</v>
      </c>
      <c r="E212" s="1" t="s">
        <v>963</v>
      </c>
      <c r="F212" s="1" t="s">
        <v>964</v>
      </c>
      <c r="G212" s="1" t="s">
        <v>24</v>
      </c>
      <c r="H212" s="1" t="s">
        <v>183</v>
      </c>
      <c r="I212" s="1" t="s">
        <v>184</v>
      </c>
      <c r="J212" s="1" t="s">
        <v>51</v>
      </c>
      <c r="K212" s="1" t="s">
        <v>282</v>
      </c>
      <c r="L212" s="1" t="s">
        <v>29</v>
      </c>
      <c r="M212" s="1" t="s">
        <v>43</v>
      </c>
      <c r="N212" s="1" t="s">
        <v>283</v>
      </c>
      <c r="O212">
        <v>1618.37</v>
      </c>
      <c r="P212">
        <v>13</v>
      </c>
      <c r="Q212">
        <v>356.04140000000001</v>
      </c>
      <c r="R212" s="1" t="s">
        <v>4420</v>
      </c>
      <c r="S212">
        <v>2015</v>
      </c>
      <c r="T212" s="1" t="s">
        <v>90</v>
      </c>
    </row>
    <row r="213" spans="1:20" x14ac:dyDescent="0.25">
      <c r="A213" s="1" t="s">
        <v>965</v>
      </c>
      <c r="B213" s="2">
        <v>42191</v>
      </c>
      <c r="C213" s="2">
        <v>42195</v>
      </c>
      <c r="D213" s="1" t="s">
        <v>37</v>
      </c>
      <c r="E213" s="1" t="s">
        <v>966</v>
      </c>
      <c r="F213" s="1" t="s">
        <v>967</v>
      </c>
      <c r="G213" s="1" t="s">
        <v>84</v>
      </c>
      <c r="H213" s="1" t="s">
        <v>165</v>
      </c>
      <c r="I213" s="1" t="s">
        <v>114</v>
      </c>
      <c r="J213" s="1" t="s">
        <v>63</v>
      </c>
      <c r="K213" s="1" t="s">
        <v>968</v>
      </c>
      <c r="L213" s="1" t="s">
        <v>29</v>
      </c>
      <c r="M213" s="1" t="s">
        <v>53</v>
      </c>
      <c r="N213" s="1" t="s">
        <v>969</v>
      </c>
      <c r="O213">
        <v>13.96</v>
      </c>
      <c r="P213">
        <v>2</v>
      </c>
      <c r="Q213">
        <v>6.7008000000000001</v>
      </c>
      <c r="R213" s="1" t="s">
        <v>4424</v>
      </c>
      <c r="S213">
        <v>2015</v>
      </c>
      <c r="T213" s="1" t="s">
        <v>66</v>
      </c>
    </row>
    <row r="214" spans="1:20" x14ac:dyDescent="0.25">
      <c r="A214" s="1" t="s">
        <v>965</v>
      </c>
      <c r="B214" s="2">
        <v>42191</v>
      </c>
      <c r="C214" s="2">
        <v>42195</v>
      </c>
      <c r="D214" s="1" t="s">
        <v>37</v>
      </c>
      <c r="E214" s="1" t="s">
        <v>966</v>
      </c>
      <c r="F214" s="1" t="s">
        <v>967</v>
      </c>
      <c r="G214" s="1" t="s">
        <v>84</v>
      </c>
      <c r="H214" s="1" t="s">
        <v>165</v>
      </c>
      <c r="I214" s="1" t="s">
        <v>114</v>
      </c>
      <c r="J214" s="1" t="s">
        <v>63</v>
      </c>
      <c r="K214" s="1" t="s">
        <v>870</v>
      </c>
      <c r="L214" s="1" t="s">
        <v>29</v>
      </c>
      <c r="M214" s="1" t="s">
        <v>53</v>
      </c>
      <c r="N214" s="1" t="s">
        <v>871</v>
      </c>
      <c r="O214">
        <v>155.82</v>
      </c>
      <c r="P214">
        <v>3</v>
      </c>
      <c r="Q214">
        <v>63.886200000000002</v>
      </c>
      <c r="R214" s="1" t="s">
        <v>4424</v>
      </c>
      <c r="S214">
        <v>2015</v>
      </c>
      <c r="T214" s="1" t="s">
        <v>66</v>
      </c>
    </row>
    <row r="215" spans="1:20" x14ac:dyDescent="0.25">
      <c r="A215" s="1" t="s">
        <v>970</v>
      </c>
      <c r="B215" s="2">
        <v>42121</v>
      </c>
      <c r="C215" s="2">
        <v>42127</v>
      </c>
      <c r="D215" s="1" t="s">
        <v>37</v>
      </c>
      <c r="E215" s="1" t="s">
        <v>864</v>
      </c>
      <c r="F215" s="1" t="s">
        <v>865</v>
      </c>
      <c r="G215" s="1" t="s">
        <v>24</v>
      </c>
      <c r="H215" s="1" t="s">
        <v>184</v>
      </c>
      <c r="I215" s="1" t="s">
        <v>971</v>
      </c>
      <c r="J215" s="1" t="s">
        <v>63</v>
      </c>
      <c r="K215" s="1" t="s">
        <v>972</v>
      </c>
      <c r="L215" s="1" t="s">
        <v>29</v>
      </c>
      <c r="M215" s="1" t="s">
        <v>34</v>
      </c>
      <c r="N215" s="1" t="s">
        <v>973</v>
      </c>
      <c r="O215">
        <v>1267.53</v>
      </c>
      <c r="P215">
        <v>3</v>
      </c>
      <c r="Q215">
        <v>316.88249999999999</v>
      </c>
      <c r="R215" s="1" t="s">
        <v>4426</v>
      </c>
      <c r="S215">
        <v>2015</v>
      </c>
      <c r="T215" s="1" t="s">
        <v>107</v>
      </c>
    </row>
    <row r="216" spans="1:20" x14ac:dyDescent="0.25">
      <c r="A216" s="1" t="s">
        <v>974</v>
      </c>
      <c r="B216" s="2">
        <v>41831</v>
      </c>
      <c r="C216" s="2">
        <v>41835</v>
      </c>
      <c r="D216" s="1" t="s">
        <v>37</v>
      </c>
      <c r="E216" s="1" t="s">
        <v>975</v>
      </c>
      <c r="F216" s="1" t="s">
        <v>976</v>
      </c>
      <c r="G216" s="1" t="s">
        <v>84</v>
      </c>
      <c r="H216" s="1" t="s">
        <v>380</v>
      </c>
      <c r="I216" s="1" t="s">
        <v>354</v>
      </c>
      <c r="J216" s="1" t="s">
        <v>63</v>
      </c>
      <c r="K216" s="1" t="s">
        <v>566</v>
      </c>
      <c r="L216" s="1" t="s">
        <v>29</v>
      </c>
      <c r="M216" s="1" t="s">
        <v>34</v>
      </c>
      <c r="N216" s="1" t="s">
        <v>567</v>
      </c>
      <c r="O216">
        <v>854.94</v>
      </c>
      <c r="P216">
        <v>3</v>
      </c>
      <c r="Q216">
        <v>213.73500000000001</v>
      </c>
      <c r="R216" s="1" t="s">
        <v>4424</v>
      </c>
      <c r="S216">
        <v>2014</v>
      </c>
      <c r="T216" s="1" t="s">
        <v>66</v>
      </c>
    </row>
    <row r="217" spans="1:20" x14ac:dyDescent="0.25">
      <c r="A217" s="1" t="s">
        <v>974</v>
      </c>
      <c r="B217" s="2">
        <v>41831</v>
      </c>
      <c r="C217" s="2">
        <v>41835</v>
      </c>
      <c r="D217" s="1" t="s">
        <v>37</v>
      </c>
      <c r="E217" s="1" t="s">
        <v>975</v>
      </c>
      <c r="F217" s="1" t="s">
        <v>976</v>
      </c>
      <c r="G217" s="1" t="s">
        <v>84</v>
      </c>
      <c r="H217" s="1" t="s">
        <v>380</v>
      </c>
      <c r="I217" s="1" t="s">
        <v>354</v>
      </c>
      <c r="J217" s="1" t="s">
        <v>63</v>
      </c>
      <c r="K217" s="1" t="s">
        <v>166</v>
      </c>
      <c r="L217" s="1" t="s">
        <v>29</v>
      </c>
      <c r="M217" s="1" t="s">
        <v>53</v>
      </c>
      <c r="N217" s="1" t="s">
        <v>167</v>
      </c>
      <c r="O217">
        <v>124.11</v>
      </c>
      <c r="P217">
        <v>9</v>
      </c>
      <c r="Q217">
        <v>52.126199999999997</v>
      </c>
      <c r="R217" s="1" t="s">
        <v>4424</v>
      </c>
      <c r="S217">
        <v>2014</v>
      </c>
      <c r="T217" s="1" t="s">
        <v>66</v>
      </c>
    </row>
    <row r="218" spans="1:20" x14ac:dyDescent="0.25">
      <c r="A218" s="1" t="s">
        <v>977</v>
      </c>
      <c r="B218" s="2">
        <v>42482</v>
      </c>
      <c r="C218" s="2">
        <v>42486</v>
      </c>
      <c r="D218" s="1" t="s">
        <v>37</v>
      </c>
      <c r="E218" s="1" t="s">
        <v>978</v>
      </c>
      <c r="F218" s="1" t="s">
        <v>979</v>
      </c>
      <c r="G218" s="1" t="s">
        <v>94</v>
      </c>
      <c r="H218" s="1" t="s">
        <v>980</v>
      </c>
      <c r="I218" s="1" t="s">
        <v>556</v>
      </c>
      <c r="J218" s="1" t="s">
        <v>87</v>
      </c>
      <c r="K218" s="1" t="s">
        <v>981</v>
      </c>
      <c r="L218" s="1" t="s">
        <v>29</v>
      </c>
      <c r="M218" s="1" t="s">
        <v>53</v>
      </c>
      <c r="N218" s="1" t="s">
        <v>982</v>
      </c>
      <c r="O218">
        <v>86.62</v>
      </c>
      <c r="P218">
        <v>2</v>
      </c>
      <c r="Q218">
        <v>8.6620000000000008</v>
      </c>
      <c r="R218" s="1" t="s">
        <v>4424</v>
      </c>
      <c r="S218">
        <v>2016</v>
      </c>
      <c r="T218" s="1" t="s">
        <v>107</v>
      </c>
    </row>
    <row r="219" spans="1:20" x14ac:dyDescent="0.25">
      <c r="A219" s="1" t="s">
        <v>983</v>
      </c>
      <c r="B219" s="2">
        <v>42449</v>
      </c>
      <c r="C219" s="2">
        <v>42453</v>
      </c>
      <c r="D219" s="1" t="s">
        <v>37</v>
      </c>
      <c r="E219" s="1" t="s">
        <v>984</v>
      </c>
      <c r="F219" s="1" t="s">
        <v>985</v>
      </c>
      <c r="G219" s="1" t="s">
        <v>94</v>
      </c>
      <c r="H219" s="1" t="s">
        <v>986</v>
      </c>
      <c r="I219" s="1" t="s">
        <v>556</v>
      </c>
      <c r="J219" s="1" t="s">
        <v>87</v>
      </c>
      <c r="K219" s="1" t="s">
        <v>775</v>
      </c>
      <c r="L219" s="1" t="s">
        <v>29</v>
      </c>
      <c r="M219" s="1" t="s">
        <v>43</v>
      </c>
      <c r="N219" s="1" t="s">
        <v>776</v>
      </c>
      <c r="O219">
        <v>697.16</v>
      </c>
      <c r="P219">
        <v>4</v>
      </c>
      <c r="Q219">
        <v>146.40360000000001</v>
      </c>
      <c r="R219" s="1" t="s">
        <v>4424</v>
      </c>
      <c r="S219">
        <v>2016</v>
      </c>
      <c r="T219" s="1" t="s">
        <v>187</v>
      </c>
    </row>
    <row r="220" spans="1:20" x14ac:dyDescent="0.25">
      <c r="A220" s="1" t="s">
        <v>987</v>
      </c>
      <c r="B220" s="2">
        <v>42619</v>
      </c>
      <c r="C220" s="2">
        <v>42622</v>
      </c>
      <c r="D220" s="1" t="s">
        <v>21</v>
      </c>
      <c r="E220" s="1" t="s">
        <v>988</v>
      </c>
      <c r="F220" s="1" t="s">
        <v>989</v>
      </c>
      <c r="G220" s="1" t="s">
        <v>24</v>
      </c>
      <c r="H220" s="1" t="s">
        <v>165</v>
      </c>
      <c r="I220" s="1" t="s">
        <v>114</v>
      </c>
      <c r="J220" s="1" t="s">
        <v>63</v>
      </c>
      <c r="K220" s="1" t="s">
        <v>990</v>
      </c>
      <c r="L220" s="1" t="s">
        <v>29</v>
      </c>
      <c r="M220" s="1" t="s">
        <v>30</v>
      </c>
      <c r="N220" s="1" t="s">
        <v>991</v>
      </c>
      <c r="O220">
        <v>722.35199999999998</v>
      </c>
      <c r="P220">
        <v>3</v>
      </c>
      <c r="Q220">
        <v>90.293999999999997</v>
      </c>
      <c r="R220" s="1" t="s">
        <v>4420</v>
      </c>
      <c r="S220">
        <v>2016</v>
      </c>
      <c r="T220" s="1" t="s">
        <v>72</v>
      </c>
    </row>
    <row r="221" spans="1:20" x14ac:dyDescent="0.25">
      <c r="A221" s="1" t="s">
        <v>992</v>
      </c>
      <c r="B221" s="2">
        <v>43020</v>
      </c>
      <c r="C221" s="2">
        <v>43024</v>
      </c>
      <c r="D221" s="1" t="s">
        <v>37</v>
      </c>
      <c r="E221" s="1" t="s">
        <v>92</v>
      </c>
      <c r="F221" s="1" t="s">
        <v>93</v>
      </c>
      <c r="G221" s="1" t="s">
        <v>94</v>
      </c>
      <c r="H221" s="1" t="s">
        <v>993</v>
      </c>
      <c r="I221" s="1" t="s">
        <v>126</v>
      </c>
      <c r="J221" s="1" t="s">
        <v>87</v>
      </c>
      <c r="K221" s="1" t="s">
        <v>994</v>
      </c>
      <c r="L221" s="1" t="s">
        <v>29</v>
      </c>
      <c r="M221" s="1" t="s">
        <v>34</v>
      </c>
      <c r="N221" s="1" t="s">
        <v>995</v>
      </c>
      <c r="O221">
        <v>254.60400000000001</v>
      </c>
      <c r="P221">
        <v>14</v>
      </c>
      <c r="Q221">
        <v>-18.186</v>
      </c>
      <c r="R221" s="1" t="s">
        <v>4424</v>
      </c>
      <c r="S221">
        <v>2017</v>
      </c>
      <c r="T221" s="1" t="s">
        <v>45</v>
      </c>
    </row>
    <row r="222" spans="1:20" x14ac:dyDescent="0.25">
      <c r="A222" s="1" t="s">
        <v>996</v>
      </c>
      <c r="B222" s="2">
        <v>42437</v>
      </c>
      <c r="C222" s="2">
        <v>42442</v>
      </c>
      <c r="D222" s="1" t="s">
        <v>37</v>
      </c>
      <c r="E222" s="1" t="s">
        <v>834</v>
      </c>
      <c r="F222" s="1" t="s">
        <v>835</v>
      </c>
      <c r="G222" s="1" t="s">
        <v>24</v>
      </c>
      <c r="H222" s="1" t="s">
        <v>997</v>
      </c>
      <c r="I222" s="1" t="s">
        <v>41</v>
      </c>
      <c r="J222" s="1" t="s">
        <v>27</v>
      </c>
      <c r="K222" s="1" t="s">
        <v>173</v>
      </c>
      <c r="L222" s="1" t="s">
        <v>29</v>
      </c>
      <c r="M222" s="1" t="s">
        <v>53</v>
      </c>
      <c r="N222" s="1" t="s">
        <v>174</v>
      </c>
      <c r="O222">
        <v>102.36</v>
      </c>
      <c r="P222">
        <v>3</v>
      </c>
      <c r="Q222">
        <v>-3.8384999999999998</v>
      </c>
      <c r="R222" s="1" t="s">
        <v>4422</v>
      </c>
      <c r="S222">
        <v>2016</v>
      </c>
      <c r="T222" s="1" t="s">
        <v>187</v>
      </c>
    </row>
    <row r="223" spans="1:20" x14ac:dyDescent="0.25">
      <c r="A223" s="1" t="s">
        <v>998</v>
      </c>
      <c r="B223" s="2">
        <v>42188</v>
      </c>
      <c r="C223" s="2">
        <v>42190</v>
      </c>
      <c r="D223" s="1" t="s">
        <v>81</v>
      </c>
      <c r="E223" s="1" t="s">
        <v>999</v>
      </c>
      <c r="F223" s="1" t="s">
        <v>1000</v>
      </c>
      <c r="G223" s="1" t="s">
        <v>84</v>
      </c>
      <c r="H223" s="1" t="s">
        <v>61</v>
      </c>
      <c r="I223" s="1" t="s">
        <v>62</v>
      </c>
      <c r="J223" s="1" t="s">
        <v>63</v>
      </c>
      <c r="K223" s="1" t="s">
        <v>1001</v>
      </c>
      <c r="L223" s="1" t="s">
        <v>29</v>
      </c>
      <c r="M223" s="1" t="s">
        <v>53</v>
      </c>
      <c r="N223" s="1" t="s">
        <v>1002</v>
      </c>
      <c r="O223">
        <v>168.464</v>
      </c>
      <c r="P223">
        <v>2</v>
      </c>
      <c r="Q223">
        <v>-29.481200000000001</v>
      </c>
      <c r="R223" s="1" t="s">
        <v>4423</v>
      </c>
      <c r="S223">
        <v>2015</v>
      </c>
      <c r="T223" s="1" t="s">
        <v>66</v>
      </c>
    </row>
    <row r="224" spans="1:20" x14ac:dyDescent="0.25">
      <c r="A224" s="1" t="s">
        <v>998</v>
      </c>
      <c r="B224" s="2">
        <v>42188</v>
      </c>
      <c r="C224" s="2">
        <v>42190</v>
      </c>
      <c r="D224" s="1" t="s">
        <v>81</v>
      </c>
      <c r="E224" s="1" t="s">
        <v>999</v>
      </c>
      <c r="F224" s="1" t="s">
        <v>1000</v>
      </c>
      <c r="G224" s="1" t="s">
        <v>84</v>
      </c>
      <c r="H224" s="1" t="s">
        <v>61</v>
      </c>
      <c r="I224" s="1" t="s">
        <v>62</v>
      </c>
      <c r="J224" s="1" t="s">
        <v>63</v>
      </c>
      <c r="K224" s="1" t="s">
        <v>1003</v>
      </c>
      <c r="L224" s="1" t="s">
        <v>29</v>
      </c>
      <c r="M224" s="1" t="s">
        <v>53</v>
      </c>
      <c r="N224" s="1" t="s">
        <v>1004</v>
      </c>
      <c r="O224">
        <v>282.88799999999998</v>
      </c>
      <c r="P224">
        <v>9</v>
      </c>
      <c r="Q224">
        <v>56.577599999999997</v>
      </c>
      <c r="R224" s="1" t="s">
        <v>4423</v>
      </c>
      <c r="S224">
        <v>2015</v>
      </c>
      <c r="T224" s="1" t="s">
        <v>66</v>
      </c>
    </row>
    <row r="225" spans="1:20" x14ac:dyDescent="0.25">
      <c r="A225" s="1" t="s">
        <v>1005</v>
      </c>
      <c r="B225" s="2">
        <v>42098</v>
      </c>
      <c r="C225" s="2">
        <v>42102</v>
      </c>
      <c r="D225" s="1" t="s">
        <v>37</v>
      </c>
      <c r="E225" s="1" t="s">
        <v>1006</v>
      </c>
      <c r="F225" s="1" t="s">
        <v>1007</v>
      </c>
      <c r="G225" s="1" t="s">
        <v>94</v>
      </c>
      <c r="H225" s="1" t="s">
        <v>165</v>
      </c>
      <c r="I225" s="1" t="s">
        <v>114</v>
      </c>
      <c r="J225" s="1" t="s">
        <v>63</v>
      </c>
      <c r="K225" s="1" t="s">
        <v>1008</v>
      </c>
      <c r="L225" s="1" t="s">
        <v>29</v>
      </c>
      <c r="M225" s="1" t="s">
        <v>53</v>
      </c>
      <c r="N225" s="1" t="s">
        <v>1009</v>
      </c>
      <c r="O225">
        <v>108.4</v>
      </c>
      <c r="P225">
        <v>2</v>
      </c>
      <c r="Q225">
        <v>22.763999999999999</v>
      </c>
      <c r="R225" s="1" t="s">
        <v>4424</v>
      </c>
      <c r="S225">
        <v>2015</v>
      </c>
      <c r="T225" s="1" t="s">
        <v>107</v>
      </c>
    </row>
    <row r="226" spans="1:20" x14ac:dyDescent="0.25">
      <c r="A226" s="1" t="s">
        <v>1010</v>
      </c>
      <c r="B226" s="2">
        <v>42086</v>
      </c>
      <c r="C226" s="2">
        <v>42092</v>
      </c>
      <c r="D226" s="1" t="s">
        <v>37</v>
      </c>
      <c r="E226" s="1" t="s">
        <v>1011</v>
      </c>
      <c r="F226" s="1" t="s">
        <v>1012</v>
      </c>
      <c r="G226" s="1" t="s">
        <v>24</v>
      </c>
      <c r="H226" s="1" t="s">
        <v>95</v>
      </c>
      <c r="I226" s="1" t="s">
        <v>86</v>
      </c>
      <c r="J226" s="1" t="s">
        <v>87</v>
      </c>
      <c r="K226" s="1" t="s">
        <v>479</v>
      </c>
      <c r="L226" s="1" t="s">
        <v>29</v>
      </c>
      <c r="M226" s="1" t="s">
        <v>34</v>
      </c>
      <c r="N226" s="1" t="s">
        <v>480</v>
      </c>
      <c r="O226">
        <v>107.77200000000001</v>
      </c>
      <c r="P226">
        <v>2</v>
      </c>
      <c r="Q226">
        <v>-29.252400000000002</v>
      </c>
      <c r="R226" s="1" t="s">
        <v>4426</v>
      </c>
      <c r="S226">
        <v>2015</v>
      </c>
      <c r="T226" s="1" t="s">
        <v>187</v>
      </c>
    </row>
    <row r="227" spans="1:20" x14ac:dyDescent="0.25">
      <c r="A227" s="1" t="s">
        <v>1013</v>
      </c>
      <c r="B227" s="2">
        <v>42644</v>
      </c>
      <c r="C227" s="2">
        <v>42645</v>
      </c>
      <c r="D227" s="1" t="s">
        <v>81</v>
      </c>
      <c r="E227" s="1" t="s">
        <v>1014</v>
      </c>
      <c r="F227" s="1" t="s">
        <v>1015</v>
      </c>
      <c r="G227" s="1" t="s">
        <v>24</v>
      </c>
      <c r="H227" s="1" t="s">
        <v>320</v>
      </c>
      <c r="I227" s="1" t="s">
        <v>50</v>
      </c>
      <c r="J227" s="1" t="s">
        <v>51</v>
      </c>
      <c r="K227" s="1" t="s">
        <v>127</v>
      </c>
      <c r="L227" s="1" t="s">
        <v>29</v>
      </c>
      <c r="M227" s="1" t="s">
        <v>34</v>
      </c>
      <c r="N227" s="1" t="s">
        <v>128</v>
      </c>
      <c r="O227">
        <v>194.84800000000001</v>
      </c>
      <c r="P227">
        <v>4</v>
      </c>
      <c r="Q227">
        <v>12.178000000000001</v>
      </c>
      <c r="R227" s="1" t="s">
        <v>4425</v>
      </c>
      <c r="S227">
        <v>2016</v>
      </c>
      <c r="T227" s="1" t="s">
        <v>45</v>
      </c>
    </row>
    <row r="228" spans="1:20" x14ac:dyDescent="0.25">
      <c r="A228" s="1" t="s">
        <v>1016</v>
      </c>
      <c r="B228" s="2">
        <v>42337</v>
      </c>
      <c r="C228" s="2">
        <v>42342</v>
      </c>
      <c r="D228" s="1" t="s">
        <v>37</v>
      </c>
      <c r="E228" s="1" t="s">
        <v>1017</v>
      </c>
      <c r="F228" s="1" t="s">
        <v>1018</v>
      </c>
      <c r="G228" s="1" t="s">
        <v>84</v>
      </c>
      <c r="H228" s="1" t="s">
        <v>280</v>
      </c>
      <c r="I228" s="1" t="s">
        <v>281</v>
      </c>
      <c r="J228" s="1" t="s">
        <v>87</v>
      </c>
      <c r="K228" s="1" t="s">
        <v>1019</v>
      </c>
      <c r="L228" s="1" t="s">
        <v>29</v>
      </c>
      <c r="M228" s="1" t="s">
        <v>34</v>
      </c>
      <c r="N228" s="1" t="s">
        <v>1020</v>
      </c>
      <c r="O228">
        <v>1106.9100000000001</v>
      </c>
      <c r="P228">
        <v>9</v>
      </c>
      <c r="Q228">
        <v>121.76009999999999</v>
      </c>
      <c r="R228" s="1" t="s">
        <v>4422</v>
      </c>
      <c r="S228">
        <v>2015</v>
      </c>
      <c r="T228" s="1" t="s">
        <v>32</v>
      </c>
    </row>
    <row r="229" spans="1:20" x14ac:dyDescent="0.25">
      <c r="A229" s="1" t="s">
        <v>1021</v>
      </c>
      <c r="B229" s="2">
        <v>42430</v>
      </c>
      <c r="C229" s="2">
        <v>42434</v>
      </c>
      <c r="D229" s="1" t="s">
        <v>37</v>
      </c>
      <c r="E229" s="1" t="s">
        <v>1022</v>
      </c>
      <c r="F229" s="1" t="s">
        <v>1023</v>
      </c>
      <c r="G229" s="1" t="s">
        <v>24</v>
      </c>
      <c r="H229" s="1" t="s">
        <v>1024</v>
      </c>
      <c r="I229" s="1" t="s">
        <v>114</v>
      </c>
      <c r="J229" s="1" t="s">
        <v>63</v>
      </c>
      <c r="K229" s="1" t="s">
        <v>775</v>
      </c>
      <c r="L229" s="1" t="s">
        <v>29</v>
      </c>
      <c r="M229" s="1" t="s">
        <v>43</v>
      </c>
      <c r="N229" s="1" t="s">
        <v>776</v>
      </c>
      <c r="O229">
        <v>836.59199999999998</v>
      </c>
      <c r="P229">
        <v>8</v>
      </c>
      <c r="Q229">
        <v>-264.92079999999999</v>
      </c>
      <c r="R229" s="1" t="s">
        <v>4424</v>
      </c>
      <c r="S229">
        <v>2016</v>
      </c>
      <c r="T229" s="1" t="s">
        <v>187</v>
      </c>
    </row>
    <row r="230" spans="1:20" x14ac:dyDescent="0.25">
      <c r="A230" s="1" t="s">
        <v>1025</v>
      </c>
      <c r="B230" s="2">
        <v>42890</v>
      </c>
      <c r="C230" s="2">
        <v>42896</v>
      </c>
      <c r="D230" s="1" t="s">
        <v>37</v>
      </c>
      <c r="E230" s="1" t="s">
        <v>929</v>
      </c>
      <c r="F230" s="1" t="s">
        <v>930</v>
      </c>
      <c r="G230" s="1" t="s">
        <v>84</v>
      </c>
      <c r="H230" s="1" t="s">
        <v>1026</v>
      </c>
      <c r="I230" s="1" t="s">
        <v>1027</v>
      </c>
      <c r="J230" s="1" t="s">
        <v>27</v>
      </c>
      <c r="K230" s="1" t="s">
        <v>392</v>
      </c>
      <c r="L230" s="1" t="s">
        <v>29</v>
      </c>
      <c r="M230" s="1" t="s">
        <v>53</v>
      </c>
      <c r="N230" s="1" t="s">
        <v>393</v>
      </c>
      <c r="O230">
        <v>31.984000000000002</v>
      </c>
      <c r="P230">
        <v>2</v>
      </c>
      <c r="Q230">
        <v>1.9990000000000001</v>
      </c>
      <c r="R230" s="1" t="s">
        <v>4426</v>
      </c>
      <c r="S230">
        <v>2017</v>
      </c>
      <c r="T230" s="1" t="s">
        <v>55</v>
      </c>
    </row>
    <row r="231" spans="1:20" x14ac:dyDescent="0.25">
      <c r="A231" s="1" t="s">
        <v>1028</v>
      </c>
      <c r="B231" s="2">
        <v>41815</v>
      </c>
      <c r="C231" s="2">
        <v>41818</v>
      </c>
      <c r="D231" s="1" t="s">
        <v>81</v>
      </c>
      <c r="E231" s="1" t="s">
        <v>1029</v>
      </c>
      <c r="F231" s="1" t="s">
        <v>1030</v>
      </c>
      <c r="G231" s="1" t="s">
        <v>84</v>
      </c>
      <c r="H231" s="1" t="s">
        <v>49</v>
      </c>
      <c r="I231" s="1" t="s">
        <v>50</v>
      </c>
      <c r="J231" s="1" t="s">
        <v>51</v>
      </c>
      <c r="K231" s="1" t="s">
        <v>1031</v>
      </c>
      <c r="L231" s="1" t="s">
        <v>29</v>
      </c>
      <c r="M231" s="1" t="s">
        <v>43</v>
      </c>
      <c r="N231" s="1" t="s">
        <v>1032</v>
      </c>
      <c r="O231">
        <v>447.84</v>
      </c>
      <c r="P231">
        <v>5</v>
      </c>
      <c r="Q231">
        <v>11.196</v>
      </c>
      <c r="R231" s="1" t="s">
        <v>4420</v>
      </c>
      <c r="S231">
        <v>2014</v>
      </c>
      <c r="T231" s="1" t="s">
        <v>55</v>
      </c>
    </row>
    <row r="232" spans="1:20" x14ac:dyDescent="0.25">
      <c r="A232" s="1" t="s">
        <v>1033</v>
      </c>
      <c r="B232" s="2">
        <v>42535</v>
      </c>
      <c r="C232" s="2">
        <v>42538</v>
      </c>
      <c r="D232" s="1" t="s">
        <v>81</v>
      </c>
      <c r="E232" s="1" t="s">
        <v>1034</v>
      </c>
      <c r="F232" s="1" t="s">
        <v>1035</v>
      </c>
      <c r="G232" s="1" t="s">
        <v>94</v>
      </c>
      <c r="H232" s="1" t="s">
        <v>320</v>
      </c>
      <c r="I232" s="1" t="s">
        <v>50</v>
      </c>
      <c r="J232" s="1" t="s">
        <v>51</v>
      </c>
      <c r="K232" s="1" t="s">
        <v>491</v>
      </c>
      <c r="L232" s="1" t="s">
        <v>29</v>
      </c>
      <c r="M232" s="1" t="s">
        <v>53</v>
      </c>
      <c r="N232" s="1" t="s">
        <v>492</v>
      </c>
      <c r="O232">
        <v>8.73</v>
      </c>
      <c r="P232">
        <v>3</v>
      </c>
      <c r="Q232">
        <v>4.1031000000000004</v>
      </c>
      <c r="R232" s="1" t="s">
        <v>4420</v>
      </c>
      <c r="S232">
        <v>2016</v>
      </c>
      <c r="T232" s="1" t="s">
        <v>55</v>
      </c>
    </row>
    <row r="233" spans="1:20" x14ac:dyDescent="0.25">
      <c r="A233" s="1" t="s">
        <v>1036</v>
      </c>
      <c r="B233" s="2">
        <v>42693</v>
      </c>
      <c r="C233" s="2">
        <v>42698</v>
      </c>
      <c r="D233" s="1" t="s">
        <v>37</v>
      </c>
      <c r="E233" s="1" t="s">
        <v>1037</v>
      </c>
      <c r="F233" s="1" t="s">
        <v>1038</v>
      </c>
      <c r="G233" s="1" t="s">
        <v>24</v>
      </c>
      <c r="H233" s="1" t="s">
        <v>95</v>
      </c>
      <c r="I233" s="1" t="s">
        <v>86</v>
      </c>
      <c r="J233" s="1" t="s">
        <v>87</v>
      </c>
      <c r="K233" s="1" t="s">
        <v>491</v>
      </c>
      <c r="L233" s="1" t="s">
        <v>29</v>
      </c>
      <c r="M233" s="1" t="s">
        <v>53</v>
      </c>
      <c r="N233" s="1" t="s">
        <v>492</v>
      </c>
      <c r="O233">
        <v>2.3279999999999998</v>
      </c>
      <c r="P233">
        <v>2</v>
      </c>
      <c r="Q233">
        <v>-0.75660000000000005</v>
      </c>
      <c r="R233" s="1" t="s">
        <v>4422</v>
      </c>
      <c r="S233">
        <v>2016</v>
      </c>
      <c r="T233" s="1" t="s">
        <v>32</v>
      </c>
    </row>
    <row r="234" spans="1:20" x14ac:dyDescent="0.25">
      <c r="A234" s="1" t="s">
        <v>1039</v>
      </c>
      <c r="B234" s="2">
        <v>43087</v>
      </c>
      <c r="C234" s="2">
        <v>43092</v>
      </c>
      <c r="D234" s="1" t="s">
        <v>21</v>
      </c>
      <c r="E234" s="1" t="s">
        <v>1040</v>
      </c>
      <c r="F234" s="1" t="s">
        <v>1041</v>
      </c>
      <c r="G234" s="1" t="s">
        <v>24</v>
      </c>
      <c r="H234" s="1" t="s">
        <v>1042</v>
      </c>
      <c r="I234" s="1" t="s">
        <v>50</v>
      </c>
      <c r="J234" s="1" t="s">
        <v>51</v>
      </c>
      <c r="K234" s="1" t="s">
        <v>1043</v>
      </c>
      <c r="L234" s="1" t="s">
        <v>29</v>
      </c>
      <c r="M234" s="1" t="s">
        <v>30</v>
      </c>
      <c r="N234" s="1" t="s">
        <v>1044</v>
      </c>
      <c r="O234">
        <v>119.833</v>
      </c>
      <c r="P234">
        <v>1</v>
      </c>
      <c r="Q234">
        <v>-12.6882</v>
      </c>
      <c r="R234" s="1" t="s">
        <v>4422</v>
      </c>
      <c r="S234">
        <v>2017</v>
      </c>
      <c r="T234" s="1" t="s">
        <v>90</v>
      </c>
    </row>
    <row r="235" spans="1:20" x14ac:dyDescent="0.25">
      <c r="A235" s="1" t="s">
        <v>1045</v>
      </c>
      <c r="B235" s="2">
        <v>41659</v>
      </c>
      <c r="C235" s="2">
        <v>41665</v>
      </c>
      <c r="D235" s="1" t="s">
        <v>37</v>
      </c>
      <c r="E235" s="1" t="s">
        <v>1046</v>
      </c>
      <c r="F235" s="1" t="s">
        <v>1047</v>
      </c>
      <c r="G235" s="1" t="s">
        <v>24</v>
      </c>
      <c r="H235" s="1" t="s">
        <v>1048</v>
      </c>
      <c r="I235" s="1" t="s">
        <v>1049</v>
      </c>
      <c r="J235" s="1" t="s">
        <v>27</v>
      </c>
      <c r="K235" s="1" t="s">
        <v>144</v>
      </c>
      <c r="L235" s="1" t="s">
        <v>29</v>
      </c>
      <c r="M235" s="1" t="s">
        <v>53</v>
      </c>
      <c r="N235" s="1" t="s">
        <v>145</v>
      </c>
      <c r="O235">
        <v>38.6</v>
      </c>
      <c r="P235">
        <v>4</v>
      </c>
      <c r="Q235">
        <v>11.58</v>
      </c>
      <c r="R235" s="1" t="s">
        <v>4426</v>
      </c>
      <c r="S235">
        <v>2014</v>
      </c>
      <c r="T235" s="1" t="s">
        <v>161</v>
      </c>
    </row>
    <row r="236" spans="1:20" x14ac:dyDescent="0.25">
      <c r="A236" s="1" t="s">
        <v>1045</v>
      </c>
      <c r="B236" s="2">
        <v>41659</v>
      </c>
      <c r="C236" s="2">
        <v>41665</v>
      </c>
      <c r="D236" s="1" t="s">
        <v>37</v>
      </c>
      <c r="E236" s="1" t="s">
        <v>1046</v>
      </c>
      <c r="F236" s="1" t="s">
        <v>1047</v>
      </c>
      <c r="G236" s="1" t="s">
        <v>24</v>
      </c>
      <c r="H236" s="1" t="s">
        <v>1048</v>
      </c>
      <c r="I236" s="1" t="s">
        <v>1049</v>
      </c>
      <c r="J236" s="1" t="s">
        <v>27</v>
      </c>
      <c r="K236" s="1" t="s">
        <v>505</v>
      </c>
      <c r="L236" s="1" t="s">
        <v>29</v>
      </c>
      <c r="M236" s="1" t="s">
        <v>34</v>
      </c>
      <c r="N236" s="1" t="s">
        <v>506</v>
      </c>
      <c r="O236">
        <v>1067.94</v>
      </c>
      <c r="P236">
        <v>3</v>
      </c>
      <c r="Q236">
        <v>224.26740000000001</v>
      </c>
      <c r="R236" s="1" t="s">
        <v>4426</v>
      </c>
      <c r="S236">
        <v>2014</v>
      </c>
      <c r="T236" s="1" t="s">
        <v>161</v>
      </c>
    </row>
    <row r="237" spans="1:20" x14ac:dyDescent="0.25">
      <c r="A237" s="1" t="s">
        <v>1050</v>
      </c>
      <c r="B237" s="2">
        <v>42472</v>
      </c>
      <c r="C237" s="2">
        <v>42476</v>
      </c>
      <c r="D237" s="1" t="s">
        <v>37</v>
      </c>
      <c r="E237" s="1" t="s">
        <v>1051</v>
      </c>
      <c r="F237" s="1" t="s">
        <v>1052</v>
      </c>
      <c r="G237" s="1" t="s">
        <v>24</v>
      </c>
      <c r="H237" s="1" t="s">
        <v>869</v>
      </c>
      <c r="I237" s="1" t="s">
        <v>707</v>
      </c>
      <c r="J237" s="1" t="s">
        <v>27</v>
      </c>
      <c r="K237" s="1" t="s">
        <v>1053</v>
      </c>
      <c r="L237" s="1" t="s">
        <v>29</v>
      </c>
      <c r="M237" s="1" t="s">
        <v>43</v>
      </c>
      <c r="N237" s="1" t="s">
        <v>1054</v>
      </c>
      <c r="O237">
        <v>343.92</v>
      </c>
      <c r="P237">
        <v>4</v>
      </c>
      <c r="Q237">
        <v>75.662400000000005</v>
      </c>
      <c r="R237" s="1" t="s">
        <v>4424</v>
      </c>
      <c r="S237">
        <v>2016</v>
      </c>
      <c r="T237" s="1" t="s">
        <v>107</v>
      </c>
    </row>
    <row r="238" spans="1:20" x14ac:dyDescent="0.25">
      <c r="A238" s="1" t="s">
        <v>1055</v>
      </c>
      <c r="B238" s="2">
        <v>41911</v>
      </c>
      <c r="C238" s="2">
        <v>41915</v>
      </c>
      <c r="D238" s="1" t="s">
        <v>37</v>
      </c>
      <c r="E238" s="1" t="s">
        <v>1056</v>
      </c>
      <c r="F238" s="1" t="s">
        <v>1057</v>
      </c>
      <c r="G238" s="1" t="s">
        <v>24</v>
      </c>
      <c r="H238" s="1" t="s">
        <v>49</v>
      </c>
      <c r="I238" s="1" t="s">
        <v>50</v>
      </c>
      <c r="J238" s="1" t="s">
        <v>51</v>
      </c>
      <c r="K238" s="1" t="s">
        <v>926</v>
      </c>
      <c r="L238" s="1" t="s">
        <v>29</v>
      </c>
      <c r="M238" s="1" t="s">
        <v>53</v>
      </c>
      <c r="N238" s="1" t="s">
        <v>927</v>
      </c>
      <c r="O238">
        <v>204.6</v>
      </c>
      <c r="P238">
        <v>2</v>
      </c>
      <c r="Q238">
        <v>53.195999999999998</v>
      </c>
      <c r="R238" s="1" t="s">
        <v>4424</v>
      </c>
      <c r="S238">
        <v>2014</v>
      </c>
      <c r="T238" s="1" t="s">
        <v>72</v>
      </c>
    </row>
    <row r="239" spans="1:20" x14ac:dyDescent="0.25">
      <c r="A239" s="1" t="s">
        <v>1058</v>
      </c>
      <c r="B239" s="2">
        <v>42132</v>
      </c>
      <c r="C239" s="2">
        <v>42138</v>
      </c>
      <c r="D239" s="1" t="s">
        <v>37</v>
      </c>
      <c r="E239" s="1" t="s">
        <v>1059</v>
      </c>
      <c r="F239" s="1" t="s">
        <v>1060</v>
      </c>
      <c r="G239" s="1" t="s">
        <v>84</v>
      </c>
      <c r="H239" s="1" t="s">
        <v>1061</v>
      </c>
      <c r="I239" s="1" t="s">
        <v>223</v>
      </c>
      <c r="J239" s="1" t="s">
        <v>63</v>
      </c>
      <c r="K239" s="1" t="s">
        <v>1062</v>
      </c>
      <c r="L239" s="1" t="s">
        <v>29</v>
      </c>
      <c r="M239" s="1" t="s">
        <v>53</v>
      </c>
      <c r="N239" s="1" t="s">
        <v>1063</v>
      </c>
      <c r="O239">
        <v>8.3520000000000003</v>
      </c>
      <c r="P239">
        <v>6</v>
      </c>
      <c r="Q239">
        <v>1.2527999999999999</v>
      </c>
      <c r="R239" s="1" t="s">
        <v>4426</v>
      </c>
      <c r="S239">
        <v>2015</v>
      </c>
      <c r="T239" s="1" t="s">
        <v>153</v>
      </c>
    </row>
    <row r="240" spans="1:20" x14ac:dyDescent="0.25">
      <c r="A240" s="1" t="s">
        <v>1064</v>
      </c>
      <c r="B240" s="2">
        <v>41993</v>
      </c>
      <c r="C240" s="2">
        <v>41994</v>
      </c>
      <c r="D240" s="1" t="s">
        <v>81</v>
      </c>
      <c r="E240" s="1" t="s">
        <v>1065</v>
      </c>
      <c r="F240" s="1" t="s">
        <v>1066</v>
      </c>
      <c r="G240" s="1" t="s">
        <v>94</v>
      </c>
      <c r="H240" s="1" t="s">
        <v>1067</v>
      </c>
      <c r="I240" s="1" t="s">
        <v>707</v>
      </c>
      <c r="J240" s="1" t="s">
        <v>27</v>
      </c>
      <c r="K240" s="1" t="s">
        <v>1068</v>
      </c>
      <c r="L240" s="1" t="s">
        <v>29</v>
      </c>
      <c r="M240" s="1" t="s">
        <v>43</v>
      </c>
      <c r="N240" s="1" t="s">
        <v>1069</v>
      </c>
      <c r="O240">
        <v>2244.48</v>
      </c>
      <c r="P240">
        <v>7</v>
      </c>
      <c r="Q240">
        <v>493.78559999999999</v>
      </c>
      <c r="R240" s="1" t="s">
        <v>4425</v>
      </c>
      <c r="S240">
        <v>2014</v>
      </c>
      <c r="T240" s="1" t="s">
        <v>90</v>
      </c>
    </row>
    <row r="241" spans="1:20" x14ac:dyDescent="0.25">
      <c r="A241" s="1" t="s">
        <v>1064</v>
      </c>
      <c r="B241" s="2">
        <v>41993</v>
      </c>
      <c r="C241" s="2">
        <v>41994</v>
      </c>
      <c r="D241" s="1" t="s">
        <v>81</v>
      </c>
      <c r="E241" s="1" t="s">
        <v>1065</v>
      </c>
      <c r="F241" s="1" t="s">
        <v>1066</v>
      </c>
      <c r="G241" s="1" t="s">
        <v>94</v>
      </c>
      <c r="H241" s="1" t="s">
        <v>1067</v>
      </c>
      <c r="I241" s="1" t="s">
        <v>707</v>
      </c>
      <c r="J241" s="1" t="s">
        <v>27</v>
      </c>
      <c r="K241" s="1" t="s">
        <v>432</v>
      </c>
      <c r="L241" s="1" t="s">
        <v>29</v>
      </c>
      <c r="M241" s="1" t="s">
        <v>43</v>
      </c>
      <c r="N241" s="1" t="s">
        <v>433</v>
      </c>
      <c r="O241">
        <v>455.1</v>
      </c>
      <c r="P241">
        <v>2</v>
      </c>
      <c r="Q241">
        <v>100.122</v>
      </c>
      <c r="R241" s="1" t="s">
        <v>4425</v>
      </c>
      <c r="S241">
        <v>2014</v>
      </c>
      <c r="T241" s="1" t="s">
        <v>90</v>
      </c>
    </row>
    <row r="242" spans="1:20" x14ac:dyDescent="0.25">
      <c r="A242" s="1" t="s">
        <v>1070</v>
      </c>
      <c r="B242" s="2">
        <v>42553</v>
      </c>
      <c r="C242" s="2">
        <v>42558</v>
      </c>
      <c r="D242" s="1" t="s">
        <v>21</v>
      </c>
      <c r="E242" s="1" t="s">
        <v>1071</v>
      </c>
      <c r="F242" s="1" t="s">
        <v>1072</v>
      </c>
      <c r="G242" s="1" t="s">
        <v>84</v>
      </c>
      <c r="H242" s="1" t="s">
        <v>49</v>
      </c>
      <c r="I242" s="1" t="s">
        <v>50</v>
      </c>
      <c r="J242" s="1" t="s">
        <v>51</v>
      </c>
      <c r="K242" s="1" t="s">
        <v>1073</v>
      </c>
      <c r="L242" s="1" t="s">
        <v>29</v>
      </c>
      <c r="M242" s="1" t="s">
        <v>34</v>
      </c>
      <c r="N242" s="1" t="s">
        <v>1074</v>
      </c>
      <c r="O242">
        <v>195.184</v>
      </c>
      <c r="P242">
        <v>1</v>
      </c>
      <c r="Q242">
        <v>19.5184</v>
      </c>
      <c r="R242" s="1" t="s">
        <v>4422</v>
      </c>
      <c r="S242">
        <v>2016</v>
      </c>
      <c r="T242" s="1" t="s">
        <v>66</v>
      </c>
    </row>
    <row r="243" spans="1:20" x14ac:dyDescent="0.25">
      <c r="A243" s="1" t="s">
        <v>1075</v>
      </c>
      <c r="B243" s="2">
        <v>43077</v>
      </c>
      <c r="C243" s="2">
        <v>43079</v>
      </c>
      <c r="D243" s="1" t="s">
        <v>21</v>
      </c>
      <c r="E243" s="1" t="s">
        <v>932</v>
      </c>
      <c r="F243" s="1" t="s">
        <v>933</v>
      </c>
      <c r="G243" s="1" t="s">
        <v>24</v>
      </c>
      <c r="H243" s="1" t="s">
        <v>165</v>
      </c>
      <c r="I243" s="1" t="s">
        <v>114</v>
      </c>
      <c r="J243" s="1" t="s">
        <v>63</v>
      </c>
      <c r="K243" s="1" t="s">
        <v>1076</v>
      </c>
      <c r="L243" s="1" t="s">
        <v>29</v>
      </c>
      <c r="M243" s="1" t="s">
        <v>53</v>
      </c>
      <c r="N243" s="1" t="s">
        <v>1077</v>
      </c>
      <c r="O243">
        <v>109.48</v>
      </c>
      <c r="P243">
        <v>2</v>
      </c>
      <c r="Q243">
        <v>33.938800000000001</v>
      </c>
      <c r="R243" s="1" t="s">
        <v>4423</v>
      </c>
      <c r="S243">
        <v>2017</v>
      </c>
      <c r="T243" s="1" t="s">
        <v>90</v>
      </c>
    </row>
    <row r="244" spans="1:20" x14ac:dyDescent="0.25">
      <c r="A244" s="1" t="s">
        <v>1078</v>
      </c>
      <c r="B244" s="2">
        <v>42705</v>
      </c>
      <c r="C244" s="2">
        <v>42709</v>
      </c>
      <c r="D244" s="1" t="s">
        <v>37</v>
      </c>
      <c r="E244" s="1" t="s">
        <v>130</v>
      </c>
      <c r="F244" s="1" t="s">
        <v>131</v>
      </c>
      <c r="G244" s="1" t="s">
        <v>24</v>
      </c>
      <c r="H244" s="1" t="s">
        <v>1079</v>
      </c>
      <c r="I244" s="1" t="s">
        <v>1080</v>
      </c>
      <c r="J244" s="1" t="s">
        <v>63</v>
      </c>
      <c r="K244" s="1" t="s">
        <v>1081</v>
      </c>
      <c r="L244" s="1" t="s">
        <v>29</v>
      </c>
      <c r="M244" s="1" t="s">
        <v>34</v>
      </c>
      <c r="N244" s="1" t="s">
        <v>1082</v>
      </c>
      <c r="O244">
        <v>172.5</v>
      </c>
      <c r="P244">
        <v>2</v>
      </c>
      <c r="Q244">
        <v>51.75</v>
      </c>
      <c r="R244" s="1" t="s">
        <v>4424</v>
      </c>
      <c r="S244">
        <v>2016</v>
      </c>
      <c r="T244" s="1" t="s">
        <v>90</v>
      </c>
    </row>
    <row r="245" spans="1:20" x14ac:dyDescent="0.25">
      <c r="A245" s="1" t="s">
        <v>1083</v>
      </c>
      <c r="B245" s="2">
        <v>42792</v>
      </c>
      <c r="C245" s="2">
        <v>42794</v>
      </c>
      <c r="D245" s="1" t="s">
        <v>21</v>
      </c>
      <c r="E245" s="1" t="s">
        <v>1084</v>
      </c>
      <c r="F245" s="1" t="s">
        <v>1085</v>
      </c>
      <c r="G245" s="1" t="s">
        <v>94</v>
      </c>
      <c r="H245" s="1" t="s">
        <v>49</v>
      </c>
      <c r="I245" s="1" t="s">
        <v>50</v>
      </c>
      <c r="J245" s="1" t="s">
        <v>51</v>
      </c>
      <c r="K245" s="1" t="s">
        <v>1086</v>
      </c>
      <c r="L245" s="1" t="s">
        <v>29</v>
      </c>
      <c r="M245" s="1" t="s">
        <v>34</v>
      </c>
      <c r="N245" s="1" t="s">
        <v>1087</v>
      </c>
      <c r="O245">
        <v>892.22400000000005</v>
      </c>
      <c r="P245">
        <v>3</v>
      </c>
      <c r="Q245">
        <v>89.222399999999993</v>
      </c>
      <c r="R245" s="1" t="s">
        <v>4423</v>
      </c>
      <c r="S245">
        <v>2017</v>
      </c>
      <c r="T245" s="1" t="s">
        <v>289</v>
      </c>
    </row>
    <row r="246" spans="1:20" x14ac:dyDescent="0.25">
      <c r="A246" s="1" t="s">
        <v>1088</v>
      </c>
      <c r="B246" s="2">
        <v>42262</v>
      </c>
      <c r="C246" s="2">
        <v>42262</v>
      </c>
      <c r="D246" s="1" t="s">
        <v>417</v>
      </c>
      <c r="E246" s="1" t="s">
        <v>637</v>
      </c>
      <c r="F246" s="1" t="s">
        <v>638</v>
      </c>
      <c r="G246" s="1" t="s">
        <v>84</v>
      </c>
      <c r="H246" s="1" t="s">
        <v>1089</v>
      </c>
      <c r="I246" s="1" t="s">
        <v>41</v>
      </c>
      <c r="J246" s="1" t="s">
        <v>27</v>
      </c>
      <c r="K246" s="1" t="s">
        <v>1090</v>
      </c>
      <c r="L246" s="1" t="s">
        <v>29</v>
      </c>
      <c r="M246" s="1" t="s">
        <v>53</v>
      </c>
      <c r="N246" s="1" t="s">
        <v>1091</v>
      </c>
      <c r="O246">
        <v>15.712</v>
      </c>
      <c r="P246">
        <v>4</v>
      </c>
      <c r="Q246">
        <v>2.5531999999999999</v>
      </c>
      <c r="R246" s="1" t="s">
        <v>4427</v>
      </c>
      <c r="S246">
        <v>2015</v>
      </c>
      <c r="T246" s="1" t="s">
        <v>72</v>
      </c>
    </row>
    <row r="247" spans="1:20" x14ac:dyDescent="0.25">
      <c r="A247" s="1" t="s">
        <v>1088</v>
      </c>
      <c r="B247" s="2">
        <v>42262</v>
      </c>
      <c r="C247" s="2">
        <v>42262</v>
      </c>
      <c r="D247" s="1" t="s">
        <v>417</v>
      </c>
      <c r="E247" s="1" t="s">
        <v>637</v>
      </c>
      <c r="F247" s="1" t="s">
        <v>638</v>
      </c>
      <c r="G247" s="1" t="s">
        <v>84</v>
      </c>
      <c r="H247" s="1" t="s">
        <v>1089</v>
      </c>
      <c r="I247" s="1" t="s">
        <v>41</v>
      </c>
      <c r="J247" s="1" t="s">
        <v>27</v>
      </c>
      <c r="K247" s="1" t="s">
        <v>716</v>
      </c>
      <c r="L247" s="1" t="s">
        <v>29</v>
      </c>
      <c r="M247" s="1" t="s">
        <v>53</v>
      </c>
      <c r="N247" s="1" t="s">
        <v>717</v>
      </c>
      <c r="O247">
        <v>55.968000000000004</v>
      </c>
      <c r="P247">
        <v>1</v>
      </c>
      <c r="Q247">
        <v>-2.0988000000000002</v>
      </c>
      <c r="R247" s="1" t="s">
        <v>4427</v>
      </c>
      <c r="S247">
        <v>2015</v>
      </c>
      <c r="T247" s="1" t="s">
        <v>72</v>
      </c>
    </row>
    <row r="248" spans="1:20" x14ac:dyDescent="0.25">
      <c r="A248" s="1" t="s">
        <v>1092</v>
      </c>
      <c r="B248" s="2">
        <v>42468</v>
      </c>
      <c r="C248" s="2">
        <v>42472</v>
      </c>
      <c r="D248" s="1" t="s">
        <v>37</v>
      </c>
      <c r="E248" s="1" t="s">
        <v>834</v>
      </c>
      <c r="F248" s="1" t="s">
        <v>835</v>
      </c>
      <c r="G248" s="1" t="s">
        <v>24</v>
      </c>
      <c r="H248" s="1" t="s">
        <v>95</v>
      </c>
      <c r="I248" s="1" t="s">
        <v>86</v>
      </c>
      <c r="J248" s="1" t="s">
        <v>87</v>
      </c>
      <c r="K248" s="1" t="s">
        <v>1093</v>
      </c>
      <c r="L248" s="1" t="s">
        <v>29</v>
      </c>
      <c r="M248" s="1" t="s">
        <v>34</v>
      </c>
      <c r="N248" s="1" t="s">
        <v>1094</v>
      </c>
      <c r="O248">
        <v>95.983999999999995</v>
      </c>
      <c r="P248">
        <v>4</v>
      </c>
      <c r="Q248">
        <v>-4.1135999999999999</v>
      </c>
      <c r="R248" s="1" t="s">
        <v>4424</v>
      </c>
      <c r="S248">
        <v>2016</v>
      </c>
      <c r="T248" s="1" t="s">
        <v>107</v>
      </c>
    </row>
    <row r="249" spans="1:20" x14ac:dyDescent="0.25">
      <c r="A249" s="1" t="s">
        <v>1095</v>
      </c>
      <c r="B249" s="2">
        <v>42569</v>
      </c>
      <c r="C249" s="2">
        <v>42575</v>
      </c>
      <c r="D249" s="1" t="s">
        <v>37</v>
      </c>
      <c r="E249" s="1" t="s">
        <v>1096</v>
      </c>
      <c r="F249" s="1" t="s">
        <v>1097</v>
      </c>
      <c r="G249" s="1" t="s">
        <v>84</v>
      </c>
      <c r="H249" s="1" t="s">
        <v>257</v>
      </c>
      <c r="I249" s="1" t="s">
        <v>172</v>
      </c>
      <c r="J249" s="1" t="s">
        <v>51</v>
      </c>
      <c r="K249" s="1" t="s">
        <v>796</v>
      </c>
      <c r="L249" s="1" t="s">
        <v>29</v>
      </c>
      <c r="M249" s="1" t="s">
        <v>34</v>
      </c>
      <c r="N249" s="1" t="s">
        <v>797</v>
      </c>
      <c r="O249">
        <v>544.00800000000004</v>
      </c>
      <c r="P249">
        <v>3</v>
      </c>
      <c r="Q249">
        <v>40.800600000000003</v>
      </c>
      <c r="R249" s="1" t="s">
        <v>4426</v>
      </c>
      <c r="S249">
        <v>2016</v>
      </c>
      <c r="T249" s="1" t="s">
        <v>66</v>
      </c>
    </row>
    <row r="250" spans="1:20" x14ac:dyDescent="0.25">
      <c r="A250" s="1" t="s">
        <v>1095</v>
      </c>
      <c r="B250" s="2">
        <v>42569</v>
      </c>
      <c r="C250" s="2">
        <v>42575</v>
      </c>
      <c r="D250" s="1" t="s">
        <v>37</v>
      </c>
      <c r="E250" s="1" t="s">
        <v>1096</v>
      </c>
      <c r="F250" s="1" t="s">
        <v>1097</v>
      </c>
      <c r="G250" s="1" t="s">
        <v>84</v>
      </c>
      <c r="H250" s="1" t="s">
        <v>257</v>
      </c>
      <c r="I250" s="1" t="s">
        <v>172</v>
      </c>
      <c r="J250" s="1" t="s">
        <v>51</v>
      </c>
      <c r="K250" s="1" t="s">
        <v>505</v>
      </c>
      <c r="L250" s="1" t="s">
        <v>29</v>
      </c>
      <c r="M250" s="1" t="s">
        <v>34</v>
      </c>
      <c r="N250" s="1" t="s">
        <v>506</v>
      </c>
      <c r="O250">
        <v>854.35199999999998</v>
      </c>
      <c r="P250">
        <v>3</v>
      </c>
      <c r="Q250">
        <v>10.679399999999999</v>
      </c>
      <c r="R250" s="1" t="s">
        <v>4426</v>
      </c>
      <c r="S250">
        <v>2016</v>
      </c>
      <c r="T250" s="1" t="s">
        <v>66</v>
      </c>
    </row>
    <row r="251" spans="1:20" x14ac:dyDescent="0.25">
      <c r="A251" s="1" t="s">
        <v>1098</v>
      </c>
      <c r="B251" s="2">
        <v>42565</v>
      </c>
      <c r="C251" s="2">
        <v>42569</v>
      </c>
      <c r="D251" s="1" t="s">
        <v>21</v>
      </c>
      <c r="E251" s="1" t="s">
        <v>1099</v>
      </c>
      <c r="F251" s="1" t="s">
        <v>1100</v>
      </c>
      <c r="G251" s="1" t="s">
        <v>84</v>
      </c>
      <c r="H251" s="1" t="s">
        <v>165</v>
      </c>
      <c r="I251" s="1" t="s">
        <v>114</v>
      </c>
      <c r="J251" s="1" t="s">
        <v>63</v>
      </c>
      <c r="K251" s="1" t="s">
        <v>269</v>
      </c>
      <c r="L251" s="1" t="s">
        <v>29</v>
      </c>
      <c r="M251" s="1" t="s">
        <v>30</v>
      </c>
      <c r="N251" s="1" t="s">
        <v>270</v>
      </c>
      <c r="O251">
        <v>579.13599999999997</v>
      </c>
      <c r="P251">
        <v>4</v>
      </c>
      <c r="Q251">
        <v>21.717600000000001</v>
      </c>
      <c r="R251" s="1" t="s">
        <v>4424</v>
      </c>
      <c r="S251">
        <v>2016</v>
      </c>
      <c r="T251" s="1" t="s">
        <v>66</v>
      </c>
    </row>
    <row r="252" spans="1:20" x14ac:dyDescent="0.25">
      <c r="A252" s="1" t="s">
        <v>1101</v>
      </c>
      <c r="B252" s="2">
        <v>42987</v>
      </c>
      <c r="C252" s="2">
        <v>42991</v>
      </c>
      <c r="D252" s="1" t="s">
        <v>37</v>
      </c>
      <c r="E252" s="1" t="s">
        <v>1102</v>
      </c>
      <c r="F252" s="1" t="s">
        <v>1103</v>
      </c>
      <c r="G252" s="1" t="s">
        <v>84</v>
      </c>
      <c r="H252" s="1" t="s">
        <v>61</v>
      </c>
      <c r="I252" s="1" t="s">
        <v>62</v>
      </c>
      <c r="J252" s="1" t="s">
        <v>63</v>
      </c>
      <c r="K252" s="1" t="s">
        <v>287</v>
      </c>
      <c r="L252" s="1" t="s">
        <v>29</v>
      </c>
      <c r="M252" s="1" t="s">
        <v>34</v>
      </c>
      <c r="N252" s="1" t="s">
        <v>288</v>
      </c>
      <c r="O252">
        <v>141.37200000000001</v>
      </c>
      <c r="P252">
        <v>2</v>
      </c>
      <c r="Q252">
        <v>-48.470399999999998</v>
      </c>
      <c r="R252" s="1" t="s">
        <v>4424</v>
      </c>
      <c r="S252">
        <v>2017</v>
      </c>
      <c r="T252" s="1" t="s">
        <v>72</v>
      </c>
    </row>
    <row r="253" spans="1:20" x14ac:dyDescent="0.25">
      <c r="A253" s="1" t="s">
        <v>1101</v>
      </c>
      <c r="B253" s="2">
        <v>42987</v>
      </c>
      <c r="C253" s="2">
        <v>42991</v>
      </c>
      <c r="D253" s="1" t="s">
        <v>37</v>
      </c>
      <c r="E253" s="1" t="s">
        <v>1102</v>
      </c>
      <c r="F253" s="1" t="s">
        <v>1103</v>
      </c>
      <c r="G253" s="1" t="s">
        <v>84</v>
      </c>
      <c r="H253" s="1" t="s">
        <v>61</v>
      </c>
      <c r="I253" s="1" t="s">
        <v>62</v>
      </c>
      <c r="J253" s="1" t="s">
        <v>63</v>
      </c>
      <c r="K253" s="1" t="s">
        <v>1104</v>
      </c>
      <c r="L253" s="1" t="s">
        <v>29</v>
      </c>
      <c r="M253" s="1" t="s">
        <v>53</v>
      </c>
      <c r="N253" s="1" t="s">
        <v>1105</v>
      </c>
      <c r="O253">
        <v>17.024000000000001</v>
      </c>
      <c r="P253">
        <v>2</v>
      </c>
      <c r="Q253">
        <v>1.7023999999999999</v>
      </c>
      <c r="R253" s="1" t="s">
        <v>4424</v>
      </c>
      <c r="S253">
        <v>2017</v>
      </c>
      <c r="T253" s="1" t="s">
        <v>72</v>
      </c>
    </row>
    <row r="254" spans="1:20" x14ac:dyDescent="0.25">
      <c r="A254" s="1" t="s">
        <v>1106</v>
      </c>
      <c r="B254" s="2">
        <v>42708</v>
      </c>
      <c r="C254" s="2">
        <v>42709</v>
      </c>
      <c r="D254" s="1" t="s">
        <v>81</v>
      </c>
      <c r="E254" s="1" t="s">
        <v>235</v>
      </c>
      <c r="F254" s="1" t="s">
        <v>236</v>
      </c>
      <c r="G254" s="1" t="s">
        <v>24</v>
      </c>
      <c r="H254" s="1" t="s">
        <v>165</v>
      </c>
      <c r="I254" s="1" t="s">
        <v>114</v>
      </c>
      <c r="J254" s="1" t="s">
        <v>63</v>
      </c>
      <c r="K254" s="1" t="s">
        <v>958</v>
      </c>
      <c r="L254" s="1" t="s">
        <v>29</v>
      </c>
      <c r="M254" s="1" t="s">
        <v>53</v>
      </c>
      <c r="N254" s="1" t="s">
        <v>959</v>
      </c>
      <c r="O254">
        <v>113.79</v>
      </c>
      <c r="P254">
        <v>3</v>
      </c>
      <c r="Q254">
        <v>20.482199999999999</v>
      </c>
      <c r="R254" s="1" t="s">
        <v>4425</v>
      </c>
      <c r="S254">
        <v>2016</v>
      </c>
      <c r="T254" s="1" t="s">
        <v>90</v>
      </c>
    </row>
    <row r="255" spans="1:20" x14ac:dyDescent="0.25">
      <c r="A255" s="1" t="s">
        <v>1107</v>
      </c>
      <c r="B255" s="2">
        <v>43045</v>
      </c>
      <c r="C255" s="2">
        <v>43050</v>
      </c>
      <c r="D255" s="1" t="s">
        <v>37</v>
      </c>
      <c r="E255" s="1" t="s">
        <v>834</v>
      </c>
      <c r="F255" s="1" t="s">
        <v>835</v>
      </c>
      <c r="G255" s="1" t="s">
        <v>24</v>
      </c>
      <c r="H255" s="1" t="s">
        <v>49</v>
      </c>
      <c r="I255" s="1" t="s">
        <v>50</v>
      </c>
      <c r="J255" s="1" t="s">
        <v>51</v>
      </c>
      <c r="K255" s="1" t="s">
        <v>886</v>
      </c>
      <c r="L255" s="1" t="s">
        <v>29</v>
      </c>
      <c r="M255" s="1" t="s">
        <v>53</v>
      </c>
      <c r="N255" s="1" t="s">
        <v>887</v>
      </c>
      <c r="O255">
        <v>8.73</v>
      </c>
      <c r="P255">
        <v>1</v>
      </c>
      <c r="Q255">
        <v>2.9681999999999999</v>
      </c>
      <c r="R255" s="1" t="s">
        <v>4422</v>
      </c>
      <c r="S255">
        <v>2017</v>
      </c>
      <c r="T255" s="1" t="s">
        <v>32</v>
      </c>
    </row>
    <row r="256" spans="1:20" x14ac:dyDescent="0.25">
      <c r="A256" s="1" t="s">
        <v>1108</v>
      </c>
      <c r="B256" s="2">
        <v>42671</v>
      </c>
      <c r="C256" s="2">
        <v>42671</v>
      </c>
      <c r="D256" s="1" t="s">
        <v>417</v>
      </c>
      <c r="E256" s="1" t="s">
        <v>1109</v>
      </c>
      <c r="F256" s="1" t="s">
        <v>1110</v>
      </c>
      <c r="G256" s="1" t="s">
        <v>24</v>
      </c>
      <c r="H256" s="1" t="s">
        <v>1111</v>
      </c>
      <c r="I256" s="1" t="s">
        <v>41</v>
      </c>
      <c r="J256" s="1" t="s">
        <v>27</v>
      </c>
      <c r="K256" s="1" t="s">
        <v>1112</v>
      </c>
      <c r="L256" s="1" t="s">
        <v>29</v>
      </c>
      <c r="M256" s="1" t="s">
        <v>53</v>
      </c>
      <c r="N256" s="1" t="s">
        <v>1113</v>
      </c>
      <c r="O256">
        <v>47.951999999999998</v>
      </c>
      <c r="P256">
        <v>3</v>
      </c>
      <c r="Q256">
        <v>13.786199999999999</v>
      </c>
      <c r="R256" s="1" t="s">
        <v>4427</v>
      </c>
      <c r="S256">
        <v>2016</v>
      </c>
      <c r="T256" s="1" t="s">
        <v>45</v>
      </c>
    </row>
    <row r="257" spans="1:20" x14ac:dyDescent="0.25">
      <c r="A257" s="1" t="s">
        <v>1108</v>
      </c>
      <c r="B257" s="2">
        <v>42671</v>
      </c>
      <c r="C257" s="2">
        <v>42671</v>
      </c>
      <c r="D257" s="1" t="s">
        <v>417</v>
      </c>
      <c r="E257" s="1" t="s">
        <v>1109</v>
      </c>
      <c r="F257" s="1" t="s">
        <v>1110</v>
      </c>
      <c r="G257" s="1" t="s">
        <v>24</v>
      </c>
      <c r="H257" s="1" t="s">
        <v>1111</v>
      </c>
      <c r="I257" s="1" t="s">
        <v>41</v>
      </c>
      <c r="J257" s="1" t="s">
        <v>27</v>
      </c>
      <c r="K257" s="1" t="s">
        <v>1114</v>
      </c>
      <c r="L257" s="1" t="s">
        <v>29</v>
      </c>
      <c r="M257" s="1" t="s">
        <v>53</v>
      </c>
      <c r="N257" s="1" t="s">
        <v>1115</v>
      </c>
      <c r="O257">
        <v>63.968000000000004</v>
      </c>
      <c r="P257">
        <v>2</v>
      </c>
      <c r="Q257">
        <v>0</v>
      </c>
      <c r="R257" s="1" t="s">
        <v>4427</v>
      </c>
      <c r="S257">
        <v>2016</v>
      </c>
      <c r="T257" s="1" t="s">
        <v>45</v>
      </c>
    </row>
    <row r="258" spans="1:20" x14ac:dyDescent="0.25">
      <c r="A258" s="1" t="s">
        <v>1108</v>
      </c>
      <c r="B258" s="2">
        <v>42671</v>
      </c>
      <c r="C258" s="2">
        <v>42671</v>
      </c>
      <c r="D258" s="1" t="s">
        <v>417</v>
      </c>
      <c r="E258" s="1" t="s">
        <v>1109</v>
      </c>
      <c r="F258" s="1" t="s">
        <v>1110</v>
      </c>
      <c r="G258" s="1" t="s">
        <v>24</v>
      </c>
      <c r="H258" s="1" t="s">
        <v>1111</v>
      </c>
      <c r="I258" s="1" t="s">
        <v>41</v>
      </c>
      <c r="J258" s="1" t="s">
        <v>27</v>
      </c>
      <c r="K258" s="1" t="s">
        <v>696</v>
      </c>
      <c r="L258" s="1" t="s">
        <v>29</v>
      </c>
      <c r="M258" s="1" t="s">
        <v>53</v>
      </c>
      <c r="N258" s="1" t="s">
        <v>697</v>
      </c>
      <c r="O258">
        <v>165.048</v>
      </c>
      <c r="P258">
        <v>3</v>
      </c>
      <c r="Q258">
        <v>41.262</v>
      </c>
      <c r="R258" s="1" t="s">
        <v>4427</v>
      </c>
      <c r="S258">
        <v>2016</v>
      </c>
      <c r="T258" s="1" t="s">
        <v>45</v>
      </c>
    </row>
    <row r="259" spans="1:20" x14ac:dyDescent="0.25">
      <c r="A259" s="1" t="s">
        <v>1116</v>
      </c>
      <c r="B259" s="2">
        <v>41862</v>
      </c>
      <c r="C259" s="2">
        <v>41866</v>
      </c>
      <c r="D259" s="1" t="s">
        <v>37</v>
      </c>
      <c r="E259" s="1" t="s">
        <v>1117</v>
      </c>
      <c r="F259" s="1" t="s">
        <v>1118</v>
      </c>
      <c r="G259" s="1" t="s">
        <v>24</v>
      </c>
      <c r="H259" s="1" t="s">
        <v>183</v>
      </c>
      <c r="I259" s="1" t="s">
        <v>184</v>
      </c>
      <c r="J259" s="1" t="s">
        <v>51</v>
      </c>
      <c r="K259" s="1" t="s">
        <v>1119</v>
      </c>
      <c r="L259" s="1" t="s">
        <v>29</v>
      </c>
      <c r="M259" s="1" t="s">
        <v>53</v>
      </c>
      <c r="N259" s="1" t="s">
        <v>1120</v>
      </c>
      <c r="O259">
        <v>12.35</v>
      </c>
      <c r="P259">
        <v>1</v>
      </c>
      <c r="Q259">
        <v>5.4340000000000002</v>
      </c>
      <c r="R259" s="1" t="s">
        <v>4424</v>
      </c>
      <c r="S259">
        <v>2014</v>
      </c>
      <c r="T259" s="1" t="s">
        <v>245</v>
      </c>
    </row>
    <row r="260" spans="1:20" x14ac:dyDescent="0.25">
      <c r="A260" s="1" t="s">
        <v>1121</v>
      </c>
      <c r="B260" s="2">
        <v>41985</v>
      </c>
      <c r="C260" s="2">
        <v>41987</v>
      </c>
      <c r="D260" s="1" t="s">
        <v>21</v>
      </c>
      <c r="E260" s="1" t="s">
        <v>1122</v>
      </c>
      <c r="F260" s="1" t="s">
        <v>1123</v>
      </c>
      <c r="G260" s="1" t="s">
        <v>24</v>
      </c>
      <c r="H260" s="1" t="s">
        <v>1124</v>
      </c>
      <c r="I260" s="1" t="s">
        <v>50</v>
      </c>
      <c r="J260" s="1" t="s">
        <v>51</v>
      </c>
      <c r="K260" s="1" t="s">
        <v>1125</v>
      </c>
      <c r="L260" s="1" t="s">
        <v>29</v>
      </c>
      <c r="M260" s="1" t="s">
        <v>43</v>
      </c>
      <c r="N260" s="1" t="s">
        <v>1126</v>
      </c>
      <c r="O260">
        <v>764.68799999999999</v>
      </c>
      <c r="P260">
        <v>6</v>
      </c>
      <c r="Q260">
        <v>95.585999999999999</v>
      </c>
      <c r="R260" s="1" t="s">
        <v>4423</v>
      </c>
      <c r="S260">
        <v>2014</v>
      </c>
      <c r="T260" s="1" t="s">
        <v>90</v>
      </c>
    </row>
    <row r="261" spans="1:20" x14ac:dyDescent="0.25">
      <c r="A261" s="1" t="s">
        <v>1121</v>
      </c>
      <c r="B261" s="2">
        <v>41985</v>
      </c>
      <c r="C261" s="2">
        <v>41987</v>
      </c>
      <c r="D261" s="1" t="s">
        <v>21</v>
      </c>
      <c r="E261" s="1" t="s">
        <v>1122</v>
      </c>
      <c r="F261" s="1" t="s">
        <v>1123</v>
      </c>
      <c r="G261" s="1" t="s">
        <v>24</v>
      </c>
      <c r="H261" s="1" t="s">
        <v>1124</v>
      </c>
      <c r="I261" s="1" t="s">
        <v>50</v>
      </c>
      <c r="J261" s="1" t="s">
        <v>51</v>
      </c>
      <c r="K261" s="1" t="s">
        <v>298</v>
      </c>
      <c r="L261" s="1" t="s">
        <v>29</v>
      </c>
      <c r="M261" s="1" t="s">
        <v>43</v>
      </c>
      <c r="N261" s="1" t="s">
        <v>299</v>
      </c>
      <c r="O261">
        <v>3610.848</v>
      </c>
      <c r="P261">
        <v>12</v>
      </c>
      <c r="Q261">
        <v>135.4068</v>
      </c>
      <c r="R261" s="1" t="s">
        <v>4423</v>
      </c>
      <c r="S261">
        <v>2014</v>
      </c>
      <c r="T261" s="1" t="s">
        <v>90</v>
      </c>
    </row>
    <row r="262" spans="1:20" x14ac:dyDescent="0.25">
      <c r="A262" s="1" t="s">
        <v>1121</v>
      </c>
      <c r="B262" s="2">
        <v>41985</v>
      </c>
      <c r="C262" s="2">
        <v>41987</v>
      </c>
      <c r="D262" s="1" t="s">
        <v>21</v>
      </c>
      <c r="E262" s="1" t="s">
        <v>1122</v>
      </c>
      <c r="F262" s="1" t="s">
        <v>1123</v>
      </c>
      <c r="G262" s="1" t="s">
        <v>24</v>
      </c>
      <c r="H262" s="1" t="s">
        <v>1124</v>
      </c>
      <c r="I262" s="1" t="s">
        <v>50</v>
      </c>
      <c r="J262" s="1" t="s">
        <v>51</v>
      </c>
      <c r="K262" s="1" t="s">
        <v>1127</v>
      </c>
      <c r="L262" s="1" t="s">
        <v>29</v>
      </c>
      <c r="M262" s="1" t="s">
        <v>30</v>
      </c>
      <c r="N262" s="1" t="s">
        <v>1128</v>
      </c>
      <c r="O262">
        <v>254.97450000000001</v>
      </c>
      <c r="P262">
        <v>3</v>
      </c>
      <c r="Q262">
        <v>11.998799999999999</v>
      </c>
      <c r="R262" s="1" t="s">
        <v>4423</v>
      </c>
      <c r="S262">
        <v>2014</v>
      </c>
      <c r="T262" s="1" t="s">
        <v>90</v>
      </c>
    </row>
    <row r="263" spans="1:20" x14ac:dyDescent="0.25">
      <c r="A263" s="1" t="s">
        <v>1129</v>
      </c>
      <c r="B263" s="2">
        <v>43087</v>
      </c>
      <c r="C263" s="2">
        <v>43093</v>
      </c>
      <c r="D263" s="1" t="s">
        <v>37</v>
      </c>
      <c r="E263" s="1" t="s">
        <v>1130</v>
      </c>
      <c r="F263" s="1" t="s">
        <v>1131</v>
      </c>
      <c r="G263" s="1" t="s">
        <v>24</v>
      </c>
      <c r="H263" s="1" t="s">
        <v>165</v>
      </c>
      <c r="I263" s="1" t="s">
        <v>114</v>
      </c>
      <c r="J263" s="1" t="s">
        <v>63</v>
      </c>
      <c r="K263" s="1" t="s">
        <v>1132</v>
      </c>
      <c r="L263" s="1" t="s">
        <v>29</v>
      </c>
      <c r="M263" s="1" t="s">
        <v>34</v>
      </c>
      <c r="N263" s="1" t="s">
        <v>1133</v>
      </c>
      <c r="O263">
        <v>1141.9380000000001</v>
      </c>
      <c r="P263">
        <v>9</v>
      </c>
      <c r="Q263">
        <v>139.5702</v>
      </c>
      <c r="R263" s="1" t="s">
        <v>4426</v>
      </c>
      <c r="S263">
        <v>2017</v>
      </c>
      <c r="T263" s="1" t="s">
        <v>90</v>
      </c>
    </row>
    <row r="264" spans="1:20" x14ac:dyDescent="0.25">
      <c r="A264" s="1" t="s">
        <v>1134</v>
      </c>
      <c r="B264" s="2">
        <v>42804</v>
      </c>
      <c r="C264" s="2">
        <v>42808</v>
      </c>
      <c r="D264" s="1" t="s">
        <v>37</v>
      </c>
      <c r="E264" s="1" t="s">
        <v>1135</v>
      </c>
      <c r="F264" s="1" t="s">
        <v>1136</v>
      </c>
      <c r="G264" s="1" t="s">
        <v>94</v>
      </c>
      <c r="H264" s="1" t="s">
        <v>1137</v>
      </c>
      <c r="I264" s="1" t="s">
        <v>62</v>
      </c>
      <c r="J264" s="1" t="s">
        <v>63</v>
      </c>
      <c r="K264" s="1" t="s">
        <v>1138</v>
      </c>
      <c r="L264" s="1" t="s">
        <v>29</v>
      </c>
      <c r="M264" s="1" t="s">
        <v>53</v>
      </c>
      <c r="N264" s="1" t="s">
        <v>1139</v>
      </c>
      <c r="O264">
        <v>6.6959999999999997</v>
      </c>
      <c r="P264">
        <v>1</v>
      </c>
      <c r="Q264">
        <v>0.50219999999999998</v>
      </c>
      <c r="R264" s="1" t="s">
        <v>4424</v>
      </c>
      <c r="S264">
        <v>2017</v>
      </c>
      <c r="T264" s="1" t="s">
        <v>187</v>
      </c>
    </row>
    <row r="265" spans="1:20" x14ac:dyDescent="0.25">
      <c r="A265" s="1" t="s">
        <v>1134</v>
      </c>
      <c r="B265" s="2">
        <v>42804</v>
      </c>
      <c r="C265" s="2">
        <v>42808</v>
      </c>
      <c r="D265" s="1" t="s">
        <v>37</v>
      </c>
      <c r="E265" s="1" t="s">
        <v>1135</v>
      </c>
      <c r="F265" s="1" t="s">
        <v>1136</v>
      </c>
      <c r="G265" s="1" t="s">
        <v>94</v>
      </c>
      <c r="H265" s="1" t="s">
        <v>1137</v>
      </c>
      <c r="I265" s="1" t="s">
        <v>62</v>
      </c>
      <c r="J265" s="1" t="s">
        <v>63</v>
      </c>
      <c r="K265" s="1" t="s">
        <v>1140</v>
      </c>
      <c r="L265" s="1" t="s">
        <v>29</v>
      </c>
      <c r="M265" s="1" t="s">
        <v>53</v>
      </c>
      <c r="N265" s="1" t="s">
        <v>1141</v>
      </c>
      <c r="O265">
        <v>43.872</v>
      </c>
      <c r="P265">
        <v>2</v>
      </c>
      <c r="Q265">
        <v>11.516400000000001</v>
      </c>
      <c r="R265" s="1" t="s">
        <v>4424</v>
      </c>
      <c r="S265">
        <v>2017</v>
      </c>
      <c r="T265" s="1" t="s">
        <v>187</v>
      </c>
    </row>
    <row r="266" spans="1:20" x14ac:dyDescent="0.25">
      <c r="A266" s="1" t="s">
        <v>1142</v>
      </c>
      <c r="B266" s="2">
        <v>42644</v>
      </c>
      <c r="C266" s="2">
        <v>42645</v>
      </c>
      <c r="D266" s="1" t="s">
        <v>81</v>
      </c>
      <c r="E266" s="1" t="s">
        <v>1143</v>
      </c>
      <c r="F266" s="1" t="s">
        <v>1144</v>
      </c>
      <c r="G266" s="1" t="s">
        <v>24</v>
      </c>
      <c r="H266" s="1" t="s">
        <v>1145</v>
      </c>
      <c r="I266" s="1" t="s">
        <v>104</v>
      </c>
      <c r="J266" s="1" t="s">
        <v>87</v>
      </c>
      <c r="K266" s="1" t="s">
        <v>1138</v>
      </c>
      <c r="L266" s="1" t="s">
        <v>29</v>
      </c>
      <c r="M266" s="1" t="s">
        <v>53</v>
      </c>
      <c r="N266" s="1" t="s">
        <v>1139</v>
      </c>
      <c r="O266">
        <v>41.85</v>
      </c>
      <c r="P266">
        <v>5</v>
      </c>
      <c r="Q266">
        <v>10.881</v>
      </c>
      <c r="R266" s="1" t="s">
        <v>4425</v>
      </c>
      <c r="S266">
        <v>2016</v>
      </c>
      <c r="T266" s="1" t="s">
        <v>45</v>
      </c>
    </row>
    <row r="267" spans="1:20" x14ac:dyDescent="0.25">
      <c r="A267" s="1" t="s">
        <v>1146</v>
      </c>
      <c r="B267" s="2">
        <v>41997</v>
      </c>
      <c r="C267" s="2">
        <v>42002</v>
      </c>
      <c r="D267" s="1" t="s">
        <v>37</v>
      </c>
      <c r="E267" s="1" t="s">
        <v>1147</v>
      </c>
      <c r="F267" s="1" t="s">
        <v>1148</v>
      </c>
      <c r="G267" s="1" t="s">
        <v>84</v>
      </c>
      <c r="H267" s="1" t="s">
        <v>49</v>
      </c>
      <c r="I267" s="1" t="s">
        <v>50</v>
      </c>
      <c r="J267" s="1" t="s">
        <v>51</v>
      </c>
      <c r="K267" s="1" t="s">
        <v>127</v>
      </c>
      <c r="L267" s="1" t="s">
        <v>29</v>
      </c>
      <c r="M267" s="1" t="s">
        <v>34</v>
      </c>
      <c r="N267" s="1" t="s">
        <v>128</v>
      </c>
      <c r="O267">
        <v>292.27199999999999</v>
      </c>
      <c r="P267">
        <v>6</v>
      </c>
      <c r="Q267">
        <v>18.266999999999999</v>
      </c>
      <c r="R267" s="1" t="s">
        <v>4422</v>
      </c>
      <c r="S267">
        <v>2014</v>
      </c>
      <c r="T267" s="1" t="s">
        <v>90</v>
      </c>
    </row>
    <row r="268" spans="1:20" x14ac:dyDescent="0.25">
      <c r="A268" s="1" t="s">
        <v>1149</v>
      </c>
      <c r="B268" s="2">
        <v>43001</v>
      </c>
      <c r="C268" s="2">
        <v>43005</v>
      </c>
      <c r="D268" s="1" t="s">
        <v>37</v>
      </c>
      <c r="E268" s="1" t="s">
        <v>1150</v>
      </c>
      <c r="F268" s="1" t="s">
        <v>1151</v>
      </c>
      <c r="G268" s="1" t="s">
        <v>84</v>
      </c>
      <c r="H268" s="1" t="s">
        <v>856</v>
      </c>
      <c r="I268" s="1" t="s">
        <v>172</v>
      </c>
      <c r="J268" s="1" t="s">
        <v>51</v>
      </c>
      <c r="K268" s="1" t="s">
        <v>484</v>
      </c>
      <c r="L268" s="1" t="s">
        <v>29</v>
      </c>
      <c r="M268" s="1" t="s">
        <v>53</v>
      </c>
      <c r="N268" s="1" t="s">
        <v>485</v>
      </c>
      <c r="O268">
        <v>29.327999999999999</v>
      </c>
      <c r="P268">
        <v>3</v>
      </c>
      <c r="Q268">
        <v>3.6659999999999999</v>
      </c>
      <c r="R268" s="1" t="s">
        <v>4424</v>
      </c>
      <c r="S268">
        <v>2017</v>
      </c>
      <c r="T268" s="1" t="s">
        <v>72</v>
      </c>
    </row>
    <row r="269" spans="1:20" x14ac:dyDescent="0.25">
      <c r="A269" s="1" t="s">
        <v>1152</v>
      </c>
      <c r="B269" s="2">
        <v>42516</v>
      </c>
      <c r="C269" s="2">
        <v>42516</v>
      </c>
      <c r="D269" s="1" t="s">
        <v>417</v>
      </c>
      <c r="E269" s="1" t="s">
        <v>1153</v>
      </c>
      <c r="F269" s="1" t="s">
        <v>1154</v>
      </c>
      <c r="G269" s="1" t="s">
        <v>24</v>
      </c>
      <c r="H269" s="1" t="s">
        <v>586</v>
      </c>
      <c r="I269" s="1" t="s">
        <v>86</v>
      </c>
      <c r="J269" s="1" t="s">
        <v>87</v>
      </c>
      <c r="K269" s="1" t="s">
        <v>1155</v>
      </c>
      <c r="L269" s="1" t="s">
        <v>29</v>
      </c>
      <c r="M269" s="1" t="s">
        <v>34</v>
      </c>
      <c r="N269" s="1" t="s">
        <v>1156</v>
      </c>
      <c r="O269">
        <v>388.43</v>
      </c>
      <c r="P269">
        <v>5</v>
      </c>
      <c r="Q269">
        <v>-88.784000000000006</v>
      </c>
      <c r="R269" s="1" t="s">
        <v>4427</v>
      </c>
      <c r="S269">
        <v>2016</v>
      </c>
      <c r="T269" s="1" t="s">
        <v>153</v>
      </c>
    </row>
    <row r="270" spans="1:20" x14ac:dyDescent="0.25">
      <c r="A270" s="1" t="s">
        <v>1157</v>
      </c>
      <c r="B270" s="2">
        <v>42696</v>
      </c>
      <c r="C270" s="2">
        <v>42700</v>
      </c>
      <c r="D270" s="1" t="s">
        <v>37</v>
      </c>
      <c r="E270" s="1" t="s">
        <v>1158</v>
      </c>
      <c r="F270" s="1" t="s">
        <v>1159</v>
      </c>
      <c r="G270" s="1" t="s">
        <v>84</v>
      </c>
      <c r="H270" s="1" t="s">
        <v>165</v>
      </c>
      <c r="I270" s="1" t="s">
        <v>114</v>
      </c>
      <c r="J270" s="1" t="s">
        <v>63</v>
      </c>
      <c r="K270" s="1" t="s">
        <v>120</v>
      </c>
      <c r="L270" s="1" t="s">
        <v>29</v>
      </c>
      <c r="M270" s="1" t="s">
        <v>53</v>
      </c>
      <c r="N270" s="1" t="s">
        <v>121</v>
      </c>
      <c r="O270">
        <v>39.880000000000003</v>
      </c>
      <c r="P270">
        <v>2</v>
      </c>
      <c r="Q270">
        <v>11.166399999999999</v>
      </c>
      <c r="R270" s="1" t="s">
        <v>4424</v>
      </c>
      <c r="S270">
        <v>2016</v>
      </c>
      <c r="T270" s="1" t="s">
        <v>32</v>
      </c>
    </row>
    <row r="271" spans="1:20" x14ac:dyDescent="0.25">
      <c r="A271" s="1" t="s">
        <v>1160</v>
      </c>
      <c r="B271" s="2">
        <v>42727</v>
      </c>
      <c r="C271" s="2">
        <v>42729</v>
      </c>
      <c r="D271" s="1" t="s">
        <v>21</v>
      </c>
      <c r="E271" s="1" t="s">
        <v>1161</v>
      </c>
      <c r="F271" s="1" t="s">
        <v>1162</v>
      </c>
      <c r="G271" s="1" t="s">
        <v>24</v>
      </c>
      <c r="H271" s="1" t="s">
        <v>869</v>
      </c>
      <c r="I271" s="1" t="s">
        <v>707</v>
      </c>
      <c r="J271" s="1" t="s">
        <v>27</v>
      </c>
      <c r="K271" s="1" t="s">
        <v>88</v>
      </c>
      <c r="L271" s="1" t="s">
        <v>29</v>
      </c>
      <c r="M271" s="1" t="s">
        <v>53</v>
      </c>
      <c r="N271" s="1" t="s">
        <v>89</v>
      </c>
      <c r="O271">
        <v>572.76</v>
      </c>
      <c r="P271">
        <v>6</v>
      </c>
      <c r="Q271">
        <v>166.10040000000001</v>
      </c>
      <c r="R271" s="1" t="s">
        <v>4423</v>
      </c>
      <c r="S271">
        <v>2016</v>
      </c>
      <c r="T271" s="1" t="s">
        <v>90</v>
      </c>
    </row>
    <row r="272" spans="1:20" x14ac:dyDescent="0.25">
      <c r="A272" s="1" t="s">
        <v>1160</v>
      </c>
      <c r="B272" s="2">
        <v>42727</v>
      </c>
      <c r="C272" s="2">
        <v>42729</v>
      </c>
      <c r="D272" s="1" t="s">
        <v>21</v>
      </c>
      <c r="E272" s="1" t="s">
        <v>1161</v>
      </c>
      <c r="F272" s="1" t="s">
        <v>1162</v>
      </c>
      <c r="G272" s="1" t="s">
        <v>24</v>
      </c>
      <c r="H272" s="1" t="s">
        <v>869</v>
      </c>
      <c r="I272" s="1" t="s">
        <v>707</v>
      </c>
      <c r="J272" s="1" t="s">
        <v>27</v>
      </c>
      <c r="K272" s="1" t="s">
        <v>88</v>
      </c>
      <c r="L272" s="1" t="s">
        <v>29</v>
      </c>
      <c r="M272" s="1" t="s">
        <v>53</v>
      </c>
      <c r="N272" s="1" t="s">
        <v>89</v>
      </c>
      <c r="O272">
        <v>286.38</v>
      </c>
      <c r="P272">
        <v>3</v>
      </c>
      <c r="Q272">
        <v>83.050200000000004</v>
      </c>
      <c r="R272" s="1" t="s">
        <v>4423</v>
      </c>
      <c r="S272">
        <v>2016</v>
      </c>
      <c r="T272" s="1" t="s">
        <v>90</v>
      </c>
    </row>
    <row r="273" spans="1:20" x14ac:dyDescent="0.25">
      <c r="A273" s="1" t="s">
        <v>1163</v>
      </c>
      <c r="B273" s="2">
        <v>42266</v>
      </c>
      <c r="C273" s="2">
        <v>42271</v>
      </c>
      <c r="D273" s="1" t="s">
        <v>21</v>
      </c>
      <c r="E273" s="1" t="s">
        <v>1164</v>
      </c>
      <c r="F273" s="1" t="s">
        <v>1165</v>
      </c>
      <c r="G273" s="1" t="s">
        <v>94</v>
      </c>
      <c r="H273" s="1" t="s">
        <v>680</v>
      </c>
      <c r="I273" s="1" t="s">
        <v>707</v>
      </c>
      <c r="J273" s="1" t="s">
        <v>27</v>
      </c>
      <c r="K273" s="1" t="s">
        <v>1166</v>
      </c>
      <c r="L273" s="1" t="s">
        <v>29</v>
      </c>
      <c r="M273" s="1" t="s">
        <v>30</v>
      </c>
      <c r="N273" s="1" t="s">
        <v>1167</v>
      </c>
      <c r="O273">
        <v>61.96</v>
      </c>
      <c r="P273">
        <v>2</v>
      </c>
      <c r="Q273">
        <v>4.3372000000000002</v>
      </c>
      <c r="R273" s="1" t="s">
        <v>4422</v>
      </c>
      <c r="S273">
        <v>2015</v>
      </c>
      <c r="T273" s="1" t="s">
        <v>72</v>
      </c>
    </row>
    <row r="274" spans="1:20" x14ac:dyDescent="0.25">
      <c r="A274" s="1" t="s">
        <v>1168</v>
      </c>
      <c r="B274" s="2">
        <v>42919</v>
      </c>
      <c r="C274" s="2">
        <v>42923</v>
      </c>
      <c r="D274" s="1" t="s">
        <v>37</v>
      </c>
      <c r="E274" s="1" t="s">
        <v>1169</v>
      </c>
      <c r="F274" s="1" t="s">
        <v>1170</v>
      </c>
      <c r="G274" s="1" t="s">
        <v>24</v>
      </c>
      <c r="H274" s="1" t="s">
        <v>339</v>
      </c>
      <c r="I274" s="1" t="s">
        <v>658</v>
      </c>
      <c r="J274" s="1" t="s">
        <v>27</v>
      </c>
      <c r="K274" s="1" t="s">
        <v>1171</v>
      </c>
      <c r="L274" s="1" t="s">
        <v>29</v>
      </c>
      <c r="M274" s="1" t="s">
        <v>53</v>
      </c>
      <c r="N274" s="1" t="s">
        <v>1172</v>
      </c>
      <c r="O274">
        <v>23.99</v>
      </c>
      <c r="P274">
        <v>1</v>
      </c>
      <c r="Q274">
        <v>5.5176999999999996</v>
      </c>
      <c r="R274" s="1" t="s">
        <v>4424</v>
      </c>
      <c r="S274">
        <v>2017</v>
      </c>
      <c r="T274" s="1" t="s">
        <v>66</v>
      </c>
    </row>
    <row r="275" spans="1:20" x14ac:dyDescent="0.25">
      <c r="A275" s="1" t="s">
        <v>1173</v>
      </c>
      <c r="B275" s="2">
        <v>42541</v>
      </c>
      <c r="C275" s="2">
        <v>42542</v>
      </c>
      <c r="D275" s="1" t="s">
        <v>81</v>
      </c>
      <c r="E275" s="1" t="s">
        <v>1174</v>
      </c>
      <c r="F275" s="1" t="s">
        <v>1175</v>
      </c>
      <c r="G275" s="1" t="s">
        <v>24</v>
      </c>
      <c r="H275" s="1" t="s">
        <v>1176</v>
      </c>
      <c r="I275" s="1" t="s">
        <v>50</v>
      </c>
      <c r="J275" s="1" t="s">
        <v>51</v>
      </c>
      <c r="K275" s="1" t="s">
        <v>1177</v>
      </c>
      <c r="L275" s="1" t="s">
        <v>29</v>
      </c>
      <c r="M275" s="1" t="s">
        <v>34</v>
      </c>
      <c r="N275" s="1" t="s">
        <v>1178</v>
      </c>
      <c r="O275">
        <v>161.56800000000001</v>
      </c>
      <c r="P275">
        <v>2</v>
      </c>
      <c r="Q275">
        <v>-8.0784000000000002</v>
      </c>
      <c r="R275" s="1" t="s">
        <v>4425</v>
      </c>
      <c r="S275">
        <v>2016</v>
      </c>
      <c r="T275" s="1" t="s">
        <v>55</v>
      </c>
    </row>
    <row r="276" spans="1:20" x14ac:dyDescent="0.25">
      <c r="A276" s="1" t="s">
        <v>1179</v>
      </c>
      <c r="B276" s="2">
        <v>42637</v>
      </c>
      <c r="C276" s="2">
        <v>42644</v>
      </c>
      <c r="D276" s="1" t="s">
        <v>37</v>
      </c>
      <c r="E276" s="1" t="s">
        <v>482</v>
      </c>
      <c r="F276" s="1" t="s">
        <v>483</v>
      </c>
      <c r="G276" s="1" t="s">
        <v>24</v>
      </c>
      <c r="H276" s="1" t="s">
        <v>339</v>
      </c>
      <c r="I276" s="1" t="s">
        <v>223</v>
      </c>
      <c r="J276" s="1" t="s">
        <v>63</v>
      </c>
      <c r="K276" s="1" t="s">
        <v>812</v>
      </c>
      <c r="L276" s="1" t="s">
        <v>29</v>
      </c>
      <c r="M276" s="1" t="s">
        <v>34</v>
      </c>
      <c r="N276" s="1" t="s">
        <v>813</v>
      </c>
      <c r="O276">
        <v>155.37200000000001</v>
      </c>
      <c r="P276">
        <v>2</v>
      </c>
      <c r="Q276">
        <v>-13.317600000000001</v>
      </c>
      <c r="R276" s="1" t="s">
        <v>4421</v>
      </c>
      <c r="S276">
        <v>2016</v>
      </c>
      <c r="T276" s="1" t="s">
        <v>72</v>
      </c>
    </row>
    <row r="277" spans="1:20" x14ac:dyDescent="0.25">
      <c r="A277" s="1" t="s">
        <v>1180</v>
      </c>
      <c r="B277" s="2">
        <v>42722</v>
      </c>
      <c r="C277" s="2">
        <v>42727</v>
      </c>
      <c r="D277" s="1" t="s">
        <v>37</v>
      </c>
      <c r="E277" s="1" t="s">
        <v>1181</v>
      </c>
      <c r="F277" s="1" t="s">
        <v>1182</v>
      </c>
      <c r="G277" s="1" t="s">
        <v>84</v>
      </c>
      <c r="H277" s="1" t="s">
        <v>49</v>
      </c>
      <c r="I277" s="1" t="s">
        <v>50</v>
      </c>
      <c r="J277" s="1" t="s">
        <v>51</v>
      </c>
      <c r="K277" s="1" t="s">
        <v>1183</v>
      </c>
      <c r="L277" s="1" t="s">
        <v>29</v>
      </c>
      <c r="M277" s="1" t="s">
        <v>53</v>
      </c>
      <c r="N277" s="1" t="s">
        <v>1184</v>
      </c>
      <c r="O277">
        <v>183.84</v>
      </c>
      <c r="P277">
        <v>8</v>
      </c>
      <c r="Q277">
        <v>62.505600000000001</v>
      </c>
      <c r="R277" s="1" t="s">
        <v>4422</v>
      </c>
      <c r="S277">
        <v>2016</v>
      </c>
      <c r="T277" s="1" t="s">
        <v>90</v>
      </c>
    </row>
    <row r="278" spans="1:20" x14ac:dyDescent="0.25">
      <c r="A278" s="1" t="s">
        <v>1185</v>
      </c>
      <c r="B278" s="2">
        <v>42169</v>
      </c>
      <c r="C278" s="2">
        <v>42173</v>
      </c>
      <c r="D278" s="1" t="s">
        <v>37</v>
      </c>
      <c r="E278" s="1" t="s">
        <v>196</v>
      </c>
      <c r="F278" s="1" t="s">
        <v>197</v>
      </c>
      <c r="G278" s="1" t="s">
        <v>94</v>
      </c>
      <c r="H278" s="1" t="s">
        <v>61</v>
      </c>
      <c r="I278" s="1" t="s">
        <v>62</v>
      </c>
      <c r="J278" s="1" t="s">
        <v>63</v>
      </c>
      <c r="K278" s="1" t="s">
        <v>1104</v>
      </c>
      <c r="L278" s="1" t="s">
        <v>29</v>
      </c>
      <c r="M278" s="1" t="s">
        <v>53</v>
      </c>
      <c r="N278" s="1" t="s">
        <v>1105</v>
      </c>
      <c r="O278">
        <v>51.072000000000003</v>
      </c>
      <c r="P278">
        <v>6</v>
      </c>
      <c r="Q278">
        <v>5.1071999999999997</v>
      </c>
      <c r="R278" s="1" t="s">
        <v>4424</v>
      </c>
      <c r="S278">
        <v>2015</v>
      </c>
      <c r="T278" s="1" t="s">
        <v>55</v>
      </c>
    </row>
    <row r="279" spans="1:20" x14ac:dyDescent="0.25">
      <c r="A279" s="1" t="s">
        <v>1186</v>
      </c>
      <c r="B279" s="2">
        <v>42513</v>
      </c>
      <c r="C279" s="2">
        <v>42517</v>
      </c>
      <c r="D279" s="1" t="s">
        <v>37</v>
      </c>
      <c r="E279" s="1" t="s">
        <v>1187</v>
      </c>
      <c r="F279" s="1" t="s">
        <v>1188</v>
      </c>
      <c r="G279" s="1" t="s">
        <v>24</v>
      </c>
      <c r="H279" s="1" t="s">
        <v>320</v>
      </c>
      <c r="I279" s="1" t="s">
        <v>50</v>
      </c>
      <c r="J279" s="1" t="s">
        <v>51</v>
      </c>
      <c r="K279" s="1" t="s">
        <v>1119</v>
      </c>
      <c r="L279" s="1" t="s">
        <v>29</v>
      </c>
      <c r="M279" s="1" t="s">
        <v>53</v>
      </c>
      <c r="N279" s="1" t="s">
        <v>1120</v>
      </c>
      <c r="O279">
        <v>37.049999999999997</v>
      </c>
      <c r="P279">
        <v>3</v>
      </c>
      <c r="Q279">
        <v>16.302</v>
      </c>
      <c r="R279" s="1" t="s">
        <v>4424</v>
      </c>
      <c r="S279">
        <v>2016</v>
      </c>
      <c r="T279" s="1" t="s">
        <v>153</v>
      </c>
    </row>
    <row r="280" spans="1:20" x14ac:dyDescent="0.25">
      <c r="A280" s="1" t="s">
        <v>1189</v>
      </c>
      <c r="B280" s="2">
        <v>42827</v>
      </c>
      <c r="C280" s="2">
        <v>42832</v>
      </c>
      <c r="D280" s="1" t="s">
        <v>37</v>
      </c>
      <c r="E280" s="1" t="s">
        <v>1190</v>
      </c>
      <c r="F280" s="1" t="s">
        <v>1191</v>
      </c>
      <c r="G280" s="1" t="s">
        <v>24</v>
      </c>
      <c r="H280" s="1" t="s">
        <v>49</v>
      </c>
      <c r="I280" s="1" t="s">
        <v>50</v>
      </c>
      <c r="J280" s="1" t="s">
        <v>51</v>
      </c>
      <c r="K280" s="1" t="s">
        <v>1138</v>
      </c>
      <c r="L280" s="1" t="s">
        <v>29</v>
      </c>
      <c r="M280" s="1" t="s">
        <v>53</v>
      </c>
      <c r="N280" s="1" t="s">
        <v>1139</v>
      </c>
      <c r="O280">
        <v>25.11</v>
      </c>
      <c r="P280">
        <v>3</v>
      </c>
      <c r="Q280">
        <v>6.5286</v>
      </c>
      <c r="R280" s="1" t="s">
        <v>4422</v>
      </c>
      <c r="S280">
        <v>2017</v>
      </c>
      <c r="T280" s="1" t="s">
        <v>107</v>
      </c>
    </row>
    <row r="281" spans="1:20" x14ac:dyDescent="0.25">
      <c r="A281" s="1" t="s">
        <v>1192</v>
      </c>
      <c r="B281" s="2">
        <v>42825</v>
      </c>
      <c r="C281" s="2">
        <v>42827</v>
      </c>
      <c r="D281" s="1" t="s">
        <v>21</v>
      </c>
      <c r="E281" s="1" t="s">
        <v>1193</v>
      </c>
      <c r="F281" s="1" t="s">
        <v>1194</v>
      </c>
      <c r="G281" s="1" t="s">
        <v>24</v>
      </c>
      <c r="H281" s="1" t="s">
        <v>165</v>
      </c>
      <c r="I281" s="1" t="s">
        <v>114</v>
      </c>
      <c r="J281" s="1" t="s">
        <v>63</v>
      </c>
      <c r="K281" s="1" t="s">
        <v>1195</v>
      </c>
      <c r="L281" s="1" t="s">
        <v>29</v>
      </c>
      <c r="M281" s="1" t="s">
        <v>53</v>
      </c>
      <c r="N281" s="1" t="s">
        <v>1196</v>
      </c>
      <c r="O281">
        <v>29.78</v>
      </c>
      <c r="P281">
        <v>2</v>
      </c>
      <c r="Q281">
        <v>8.0405999999999995</v>
      </c>
      <c r="R281" s="1" t="s">
        <v>4423</v>
      </c>
      <c r="S281">
        <v>2017</v>
      </c>
      <c r="T281" s="1" t="s">
        <v>187</v>
      </c>
    </row>
    <row r="282" spans="1:20" x14ac:dyDescent="0.25">
      <c r="A282" s="1" t="s">
        <v>1197</v>
      </c>
      <c r="B282" s="2">
        <v>41915</v>
      </c>
      <c r="C282" s="2">
        <v>41920</v>
      </c>
      <c r="D282" s="1" t="s">
        <v>21</v>
      </c>
      <c r="E282" s="1" t="s">
        <v>1198</v>
      </c>
      <c r="F282" s="1" t="s">
        <v>1199</v>
      </c>
      <c r="G282" s="1" t="s">
        <v>24</v>
      </c>
      <c r="H282" s="1" t="s">
        <v>1200</v>
      </c>
      <c r="I282" s="1" t="s">
        <v>126</v>
      </c>
      <c r="J282" s="1" t="s">
        <v>87</v>
      </c>
      <c r="K282" s="1" t="s">
        <v>1019</v>
      </c>
      <c r="L282" s="1" t="s">
        <v>29</v>
      </c>
      <c r="M282" s="1" t="s">
        <v>34</v>
      </c>
      <c r="N282" s="1" t="s">
        <v>1020</v>
      </c>
      <c r="O282">
        <v>258.279</v>
      </c>
      <c r="P282">
        <v>3</v>
      </c>
      <c r="Q282">
        <v>-70.104299999999995</v>
      </c>
      <c r="R282" s="1" t="s">
        <v>4422</v>
      </c>
      <c r="S282">
        <v>2014</v>
      </c>
      <c r="T282" s="1" t="s">
        <v>45</v>
      </c>
    </row>
    <row r="283" spans="1:20" x14ac:dyDescent="0.25">
      <c r="A283" s="1" t="s">
        <v>1201</v>
      </c>
      <c r="B283" s="2">
        <v>42859</v>
      </c>
      <c r="C283" s="2">
        <v>42864</v>
      </c>
      <c r="D283" s="1" t="s">
        <v>37</v>
      </c>
      <c r="E283" s="1" t="s">
        <v>929</v>
      </c>
      <c r="F283" s="1" t="s">
        <v>930</v>
      </c>
      <c r="G283" s="1" t="s">
        <v>84</v>
      </c>
      <c r="H283" s="1" t="s">
        <v>320</v>
      </c>
      <c r="I283" s="1" t="s">
        <v>50</v>
      </c>
      <c r="J283" s="1" t="s">
        <v>51</v>
      </c>
      <c r="K283" s="1" t="s">
        <v>298</v>
      </c>
      <c r="L283" s="1" t="s">
        <v>29</v>
      </c>
      <c r="M283" s="1" t="s">
        <v>43</v>
      </c>
      <c r="N283" s="1" t="s">
        <v>299</v>
      </c>
      <c r="O283">
        <v>300.904</v>
      </c>
      <c r="P283">
        <v>1</v>
      </c>
      <c r="Q283">
        <v>11.283899999999999</v>
      </c>
      <c r="R283" s="1" t="s">
        <v>4422</v>
      </c>
      <c r="S283">
        <v>2017</v>
      </c>
      <c r="T283" s="1" t="s">
        <v>153</v>
      </c>
    </row>
    <row r="284" spans="1:20" x14ac:dyDescent="0.25">
      <c r="A284" s="1" t="s">
        <v>1202</v>
      </c>
      <c r="B284" s="2">
        <v>42851</v>
      </c>
      <c r="C284" s="2">
        <v>42852</v>
      </c>
      <c r="D284" s="1" t="s">
        <v>81</v>
      </c>
      <c r="E284" s="1" t="s">
        <v>1203</v>
      </c>
      <c r="F284" s="1" t="s">
        <v>1204</v>
      </c>
      <c r="G284" s="1" t="s">
        <v>24</v>
      </c>
      <c r="H284" s="1" t="s">
        <v>586</v>
      </c>
      <c r="I284" s="1" t="s">
        <v>86</v>
      </c>
      <c r="J284" s="1" t="s">
        <v>87</v>
      </c>
      <c r="K284" s="1" t="s">
        <v>641</v>
      </c>
      <c r="L284" s="1" t="s">
        <v>29</v>
      </c>
      <c r="M284" s="1" t="s">
        <v>53</v>
      </c>
      <c r="N284" s="1" t="s">
        <v>642</v>
      </c>
      <c r="O284">
        <v>1.988</v>
      </c>
      <c r="P284">
        <v>1</v>
      </c>
      <c r="Q284">
        <v>-1.4413</v>
      </c>
      <c r="R284" s="1" t="s">
        <v>4425</v>
      </c>
      <c r="S284">
        <v>2017</v>
      </c>
      <c r="T284" s="1" t="s">
        <v>107</v>
      </c>
    </row>
    <row r="285" spans="1:20" x14ac:dyDescent="0.25">
      <c r="A285" s="1" t="s">
        <v>1205</v>
      </c>
      <c r="B285" s="2">
        <v>41908</v>
      </c>
      <c r="C285" s="2">
        <v>41913</v>
      </c>
      <c r="D285" s="1" t="s">
        <v>21</v>
      </c>
      <c r="E285" s="1" t="s">
        <v>1206</v>
      </c>
      <c r="F285" s="1" t="s">
        <v>1207</v>
      </c>
      <c r="G285" s="1" t="s">
        <v>24</v>
      </c>
      <c r="H285" s="1" t="s">
        <v>49</v>
      </c>
      <c r="I285" s="1" t="s">
        <v>50</v>
      </c>
      <c r="J285" s="1" t="s">
        <v>51</v>
      </c>
      <c r="K285" s="1" t="s">
        <v>1208</v>
      </c>
      <c r="L285" s="1" t="s">
        <v>29</v>
      </c>
      <c r="M285" s="1" t="s">
        <v>34</v>
      </c>
      <c r="N285" s="1" t="s">
        <v>1209</v>
      </c>
      <c r="O285">
        <v>145.56800000000001</v>
      </c>
      <c r="P285">
        <v>2</v>
      </c>
      <c r="Q285">
        <v>0</v>
      </c>
      <c r="R285" s="1" t="s">
        <v>4422</v>
      </c>
      <c r="S285">
        <v>2014</v>
      </c>
      <c r="T285" s="1" t="s">
        <v>72</v>
      </c>
    </row>
    <row r="286" spans="1:20" x14ac:dyDescent="0.25">
      <c r="A286" s="1" t="s">
        <v>1210</v>
      </c>
      <c r="B286" s="2">
        <v>43049</v>
      </c>
      <c r="C286" s="2">
        <v>43050</v>
      </c>
      <c r="D286" s="1" t="s">
        <v>81</v>
      </c>
      <c r="E286" s="1" t="s">
        <v>1211</v>
      </c>
      <c r="F286" s="1" t="s">
        <v>1212</v>
      </c>
      <c r="G286" s="1" t="s">
        <v>84</v>
      </c>
      <c r="H286" s="1" t="s">
        <v>1213</v>
      </c>
      <c r="I286" s="1" t="s">
        <v>511</v>
      </c>
      <c r="J286" s="1" t="s">
        <v>51</v>
      </c>
      <c r="K286" s="1" t="s">
        <v>397</v>
      </c>
      <c r="L286" s="1" t="s">
        <v>29</v>
      </c>
      <c r="M286" s="1" t="s">
        <v>34</v>
      </c>
      <c r="N286" s="1" t="s">
        <v>398</v>
      </c>
      <c r="O286">
        <v>899.13599999999997</v>
      </c>
      <c r="P286">
        <v>4</v>
      </c>
      <c r="Q286">
        <v>-146.1096</v>
      </c>
      <c r="R286" s="1" t="s">
        <v>4425</v>
      </c>
      <c r="S286">
        <v>2017</v>
      </c>
      <c r="T286" s="1" t="s">
        <v>32</v>
      </c>
    </row>
    <row r="287" spans="1:20" x14ac:dyDescent="0.25">
      <c r="A287" s="1" t="s">
        <v>1214</v>
      </c>
      <c r="B287" s="2">
        <v>42924</v>
      </c>
      <c r="C287" s="2">
        <v>42927</v>
      </c>
      <c r="D287" s="1" t="s">
        <v>81</v>
      </c>
      <c r="E287" s="1" t="s">
        <v>1215</v>
      </c>
      <c r="F287" s="1" t="s">
        <v>1216</v>
      </c>
      <c r="G287" s="1" t="s">
        <v>94</v>
      </c>
      <c r="H287" s="1" t="s">
        <v>1217</v>
      </c>
      <c r="I287" s="1" t="s">
        <v>50</v>
      </c>
      <c r="J287" s="1" t="s">
        <v>51</v>
      </c>
      <c r="K287" s="1" t="s">
        <v>381</v>
      </c>
      <c r="L287" s="1" t="s">
        <v>29</v>
      </c>
      <c r="M287" s="1" t="s">
        <v>53</v>
      </c>
      <c r="N287" s="1" t="s">
        <v>382</v>
      </c>
      <c r="O287">
        <v>145.9</v>
      </c>
      <c r="P287">
        <v>5</v>
      </c>
      <c r="Q287">
        <v>62.737000000000002</v>
      </c>
      <c r="R287" s="1" t="s">
        <v>4420</v>
      </c>
      <c r="S287">
        <v>2017</v>
      </c>
      <c r="T287" s="1" t="s">
        <v>66</v>
      </c>
    </row>
    <row r="288" spans="1:20" x14ac:dyDescent="0.25">
      <c r="A288" s="1" t="s">
        <v>1218</v>
      </c>
      <c r="B288" s="2">
        <v>42362</v>
      </c>
      <c r="C288" s="2">
        <v>42366</v>
      </c>
      <c r="D288" s="1" t="s">
        <v>37</v>
      </c>
      <c r="E288" s="1" t="s">
        <v>1219</v>
      </c>
      <c r="F288" s="1" t="s">
        <v>1220</v>
      </c>
      <c r="G288" s="1" t="s">
        <v>24</v>
      </c>
      <c r="H288" s="1" t="s">
        <v>345</v>
      </c>
      <c r="I288" s="1" t="s">
        <v>172</v>
      </c>
      <c r="J288" s="1" t="s">
        <v>51</v>
      </c>
      <c r="K288" s="1" t="s">
        <v>252</v>
      </c>
      <c r="L288" s="1" t="s">
        <v>29</v>
      </c>
      <c r="M288" s="1" t="s">
        <v>30</v>
      </c>
      <c r="N288" s="1" t="s">
        <v>253</v>
      </c>
      <c r="O288">
        <v>590.05799999999999</v>
      </c>
      <c r="P288">
        <v>7</v>
      </c>
      <c r="Q288">
        <v>-786.74400000000003</v>
      </c>
      <c r="R288" s="1" t="s">
        <v>4424</v>
      </c>
      <c r="S288">
        <v>2015</v>
      </c>
      <c r="T288" s="1" t="s">
        <v>90</v>
      </c>
    </row>
    <row r="289" spans="1:20" x14ac:dyDescent="0.25">
      <c r="A289" s="1" t="s">
        <v>1221</v>
      </c>
      <c r="B289" s="2">
        <v>42261</v>
      </c>
      <c r="C289" s="2">
        <v>42266</v>
      </c>
      <c r="D289" s="1" t="s">
        <v>37</v>
      </c>
      <c r="E289" s="1" t="s">
        <v>1222</v>
      </c>
      <c r="F289" s="1" t="s">
        <v>1223</v>
      </c>
      <c r="G289" s="1" t="s">
        <v>24</v>
      </c>
      <c r="H289" s="1" t="s">
        <v>1224</v>
      </c>
      <c r="I289" s="1" t="s">
        <v>71</v>
      </c>
      <c r="J289" s="1" t="s">
        <v>51</v>
      </c>
      <c r="K289" s="1" t="s">
        <v>1225</v>
      </c>
      <c r="L289" s="1" t="s">
        <v>29</v>
      </c>
      <c r="M289" s="1" t="s">
        <v>43</v>
      </c>
      <c r="N289" s="1" t="s">
        <v>1226</v>
      </c>
      <c r="O289">
        <v>912.75</v>
      </c>
      <c r="P289">
        <v>5</v>
      </c>
      <c r="Q289">
        <v>118.6575</v>
      </c>
      <c r="R289" s="1" t="s">
        <v>4422</v>
      </c>
      <c r="S289">
        <v>2015</v>
      </c>
      <c r="T289" s="1" t="s">
        <v>72</v>
      </c>
    </row>
    <row r="290" spans="1:20" x14ac:dyDescent="0.25">
      <c r="A290" s="1" t="s">
        <v>1227</v>
      </c>
      <c r="B290" s="2">
        <v>42616</v>
      </c>
      <c r="C290" s="2">
        <v>42622</v>
      </c>
      <c r="D290" s="1" t="s">
        <v>37</v>
      </c>
      <c r="E290" s="1" t="s">
        <v>1228</v>
      </c>
      <c r="F290" s="1" t="s">
        <v>1229</v>
      </c>
      <c r="G290" s="1" t="s">
        <v>94</v>
      </c>
      <c r="H290" s="1" t="s">
        <v>171</v>
      </c>
      <c r="I290" s="1" t="s">
        <v>126</v>
      </c>
      <c r="J290" s="1" t="s">
        <v>87</v>
      </c>
      <c r="K290" s="1" t="s">
        <v>716</v>
      </c>
      <c r="L290" s="1" t="s">
        <v>29</v>
      </c>
      <c r="M290" s="1" t="s">
        <v>53</v>
      </c>
      <c r="N290" s="1" t="s">
        <v>717</v>
      </c>
      <c r="O290">
        <v>83.951999999999998</v>
      </c>
      <c r="P290">
        <v>3</v>
      </c>
      <c r="Q290">
        <v>-90.248400000000004</v>
      </c>
      <c r="R290" s="1" t="s">
        <v>4426</v>
      </c>
      <c r="S290">
        <v>2016</v>
      </c>
      <c r="T290" s="1" t="s">
        <v>72</v>
      </c>
    </row>
    <row r="291" spans="1:20" x14ac:dyDescent="0.25">
      <c r="A291" s="1" t="s">
        <v>1230</v>
      </c>
      <c r="B291" s="2">
        <v>42405</v>
      </c>
      <c r="C291" s="2">
        <v>42405</v>
      </c>
      <c r="D291" s="1" t="s">
        <v>417</v>
      </c>
      <c r="E291" s="1" t="s">
        <v>1231</v>
      </c>
      <c r="F291" s="1" t="s">
        <v>1232</v>
      </c>
      <c r="G291" s="1" t="s">
        <v>94</v>
      </c>
      <c r="H291" s="1" t="s">
        <v>1233</v>
      </c>
      <c r="I291" s="1" t="s">
        <v>658</v>
      </c>
      <c r="J291" s="1" t="s">
        <v>27</v>
      </c>
      <c r="K291" s="1" t="s">
        <v>346</v>
      </c>
      <c r="L291" s="1" t="s">
        <v>29</v>
      </c>
      <c r="M291" s="1" t="s">
        <v>53</v>
      </c>
      <c r="N291" s="1" t="s">
        <v>1234</v>
      </c>
      <c r="O291">
        <v>18.84</v>
      </c>
      <c r="P291">
        <v>3</v>
      </c>
      <c r="Q291">
        <v>7.1592000000000002</v>
      </c>
      <c r="R291" s="1" t="s">
        <v>4427</v>
      </c>
      <c r="S291">
        <v>2016</v>
      </c>
      <c r="T291" s="1" t="s">
        <v>289</v>
      </c>
    </row>
    <row r="292" spans="1:20" x14ac:dyDescent="0.25">
      <c r="A292" s="1" t="s">
        <v>1230</v>
      </c>
      <c r="B292" s="2">
        <v>42405</v>
      </c>
      <c r="C292" s="2">
        <v>42405</v>
      </c>
      <c r="D292" s="1" t="s">
        <v>417</v>
      </c>
      <c r="E292" s="1" t="s">
        <v>1231</v>
      </c>
      <c r="F292" s="1" t="s">
        <v>1232</v>
      </c>
      <c r="G292" s="1" t="s">
        <v>94</v>
      </c>
      <c r="H292" s="1" t="s">
        <v>1233</v>
      </c>
      <c r="I292" s="1" t="s">
        <v>658</v>
      </c>
      <c r="J292" s="1" t="s">
        <v>27</v>
      </c>
      <c r="K292" s="1" t="s">
        <v>701</v>
      </c>
      <c r="L292" s="1" t="s">
        <v>29</v>
      </c>
      <c r="M292" s="1" t="s">
        <v>30</v>
      </c>
      <c r="N292" s="1" t="s">
        <v>702</v>
      </c>
      <c r="O292">
        <v>239.98</v>
      </c>
      <c r="P292">
        <v>2</v>
      </c>
      <c r="Q292">
        <v>52.7956</v>
      </c>
      <c r="R292" s="1" t="s">
        <v>4427</v>
      </c>
      <c r="S292">
        <v>2016</v>
      </c>
      <c r="T292" s="1" t="s">
        <v>289</v>
      </c>
    </row>
    <row r="293" spans="1:20" x14ac:dyDescent="0.25">
      <c r="A293" s="1" t="s">
        <v>1235</v>
      </c>
      <c r="B293" s="2">
        <v>43017</v>
      </c>
      <c r="C293" s="2">
        <v>43022</v>
      </c>
      <c r="D293" s="1" t="s">
        <v>37</v>
      </c>
      <c r="E293" s="1" t="s">
        <v>1236</v>
      </c>
      <c r="F293" s="1" t="s">
        <v>1237</v>
      </c>
      <c r="G293" s="1" t="s">
        <v>84</v>
      </c>
      <c r="H293" s="1" t="s">
        <v>171</v>
      </c>
      <c r="I293" s="1" t="s">
        <v>126</v>
      </c>
      <c r="J293" s="1" t="s">
        <v>87</v>
      </c>
      <c r="K293" s="1" t="s">
        <v>1238</v>
      </c>
      <c r="L293" s="1" t="s">
        <v>29</v>
      </c>
      <c r="M293" s="1" t="s">
        <v>43</v>
      </c>
      <c r="N293" s="1" t="s">
        <v>1239</v>
      </c>
      <c r="O293">
        <v>652.45000000000005</v>
      </c>
      <c r="P293">
        <v>5</v>
      </c>
      <c r="Q293">
        <v>-430.61700000000002</v>
      </c>
      <c r="R293" s="1" t="s">
        <v>4422</v>
      </c>
      <c r="S293">
        <v>2017</v>
      </c>
      <c r="T293" s="1" t="s">
        <v>45</v>
      </c>
    </row>
    <row r="294" spans="1:20" x14ac:dyDescent="0.25">
      <c r="A294" s="1" t="s">
        <v>1235</v>
      </c>
      <c r="B294" s="2">
        <v>43017</v>
      </c>
      <c r="C294" s="2">
        <v>43022</v>
      </c>
      <c r="D294" s="1" t="s">
        <v>37</v>
      </c>
      <c r="E294" s="1" t="s">
        <v>1236</v>
      </c>
      <c r="F294" s="1" t="s">
        <v>1237</v>
      </c>
      <c r="G294" s="1" t="s">
        <v>84</v>
      </c>
      <c r="H294" s="1" t="s">
        <v>171</v>
      </c>
      <c r="I294" s="1" t="s">
        <v>126</v>
      </c>
      <c r="J294" s="1" t="s">
        <v>87</v>
      </c>
      <c r="K294" s="1" t="s">
        <v>1240</v>
      </c>
      <c r="L294" s="1" t="s">
        <v>29</v>
      </c>
      <c r="M294" s="1" t="s">
        <v>43</v>
      </c>
      <c r="N294" s="1" t="s">
        <v>1241</v>
      </c>
      <c r="O294">
        <v>66.644999999999996</v>
      </c>
      <c r="P294">
        <v>3</v>
      </c>
      <c r="Q294">
        <v>-42.652799999999999</v>
      </c>
      <c r="R294" s="1" t="s">
        <v>4422</v>
      </c>
      <c r="S294">
        <v>2017</v>
      </c>
      <c r="T294" s="1" t="s">
        <v>45</v>
      </c>
    </row>
    <row r="295" spans="1:20" x14ac:dyDescent="0.25">
      <c r="A295" s="1" t="s">
        <v>1242</v>
      </c>
      <c r="B295" s="2">
        <v>42479</v>
      </c>
      <c r="C295" s="2">
        <v>42485</v>
      </c>
      <c r="D295" s="1" t="s">
        <v>37</v>
      </c>
      <c r="E295" s="1" t="s">
        <v>1243</v>
      </c>
      <c r="F295" s="1" t="s">
        <v>1244</v>
      </c>
      <c r="G295" s="1" t="s">
        <v>94</v>
      </c>
      <c r="H295" s="1" t="s">
        <v>339</v>
      </c>
      <c r="I295" s="1" t="s">
        <v>223</v>
      </c>
      <c r="J295" s="1" t="s">
        <v>63</v>
      </c>
      <c r="K295" s="1" t="s">
        <v>1245</v>
      </c>
      <c r="L295" s="1" t="s">
        <v>29</v>
      </c>
      <c r="M295" s="1" t="s">
        <v>43</v>
      </c>
      <c r="N295" s="1" t="s">
        <v>1246</v>
      </c>
      <c r="O295">
        <v>205.17599999999999</v>
      </c>
      <c r="P295">
        <v>2</v>
      </c>
      <c r="Q295">
        <v>-58.133200000000002</v>
      </c>
      <c r="R295" s="1" t="s">
        <v>4426</v>
      </c>
      <c r="S295">
        <v>2016</v>
      </c>
      <c r="T295" s="1" t="s">
        <v>107</v>
      </c>
    </row>
    <row r="296" spans="1:20" x14ac:dyDescent="0.25">
      <c r="A296" s="1" t="s">
        <v>1247</v>
      </c>
      <c r="B296" s="2">
        <v>41735</v>
      </c>
      <c r="C296" s="2">
        <v>41737</v>
      </c>
      <c r="D296" s="1" t="s">
        <v>81</v>
      </c>
      <c r="E296" s="1" t="s">
        <v>1248</v>
      </c>
      <c r="F296" s="1" t="s">
        <v>1249</v>
      </c>
      <c r="G296" s="1" t="s">
        <v>94</v>
      </c>
      <c r="H296" s="1" t="s">
        <v>61</v>
      </c>
      <c r="I296" s="1" t="s">
        <v>62</v>
      </c>
      <c r="J296" s="1" t="s">
        <v>63</v>
      </c>
      <c r="K296" s="1" t="s">
        <v>1250</v>
      </c>
      <c r="L296" s="1" t="s">
        <v>29</v>
      </c>
      <c r="M296" s="1" t="s">
        <v>43</v>
      </c>
      <c r="N296" s="1" t="s">
        <v>1054</v>
      </c>
      <c r="O296">
        <v>154.76400000000001</v>
      </c>
      <c r="P296">
        <v>3</v>
      </c>
      <c r="Q296">
        <v>-36.111600000000003</v>
      </c>
      <c r="R296" s="1" t="s">
        <v>4423</v>
      </c>
      <c r="S296">
        <v>2014</v>
      </c>
      <c r="T296" s="1" t="s">
        <v>107</v>
      </c>
    </row>
    <row r="297" spans="1:20" x14ac:dyDescent="0.25">
      <c r="A297" s="1" t="s">
        <v>1251</v>
      </c>
      <c r="B297" s="2">
        <v>42615</v>
      </c>
      <c r="C297" s="2">
        <v>42619</v>
      </c>
      <c r="D297" s="1" t="s">
        <v>37</v>
      </c>
      <c r="E297" s="1" t="s">
        <v>1022</v>
      </c>
      <c r="F297" s="1" t="s">
        <v>1023</v>
      </c>
      <c r="G297" s="1" t="s">
        <v>24</v>
      </c>
      <c r="H297" s="1" t="s">
        <v>165</v>
      </c>
      <c r="I297" s="1" t="s">
        <v>114</v>
      </c>
      <c r="J297" s="1" t="s">
        <v>63</v>
      </c>
      <c r="K297" s="1" t="s">
        <v>392</v>
      </c>
      <c r="L297" s="1" t="s">
        <v>29</v>
      </c>
      <c r="M297" s="1" t="s">
        <v>53</v>
      </c>
      <c r="N297" s="1" t="s">
        <v>393</v>
      </c>
      <c r="O297">
        <v>39.979999999999997</v>
      </c>
      <c r="P297">
        <v>2</v>
      </c>
      <c r="Q297">
        <v>9.9949999999999992</v>
      </c>
      <c r="R297" s="1" t="s">
        <v>4424</v>
      </c>
      <c r="S297">
        <v>2016</v>
      </c>
      <c r="T297" s="1" t="s">
        <v>72</v>
      </c>
    </row>
    <row r="298" spans="1:20" x14ac:dyDescent="0.25">
      <c r="A298" s="1" t="s">
        <v>1252</v>
      </c>
      <c r="B298" s="2">
        <v>42638</v>
      </c>
      <c r="C298" s="2">
        <v>42643</v>
      </c>
      <c r="D298" s="1" t="s">
        <v>37</v>
      </c>
      <c r="E298" s="1" t="s">
        <v>1253</v>
      </c>
      <c r="F298" s="1" t="s">
        <v>1254</v>
      </c>
      <c r="G298" s="1" t="s">
        <v>24</v>
      </c>
      <c r="H298" s="1" t="s">
        <v>510</v>
      </c>
      <c r="I298" s="1" t="s">
        <v>511</v>
      </c>
      <c r="J298" s="1" t="s">
        <v>51</v>
      </c>
      <c r="K298" s="1" t="s">
        <v>906</v>
      </c>
      <c r="L298" s="1" t="s">
        <v>29</v>
      </c>
      <c r="M298" s="1" t="s">
        <v>43</v>
      </c>
      <c r="N298" s="1" t="s">
        <v>907</v>
      </c>
      <c r="O298">
        <v>393.16500000000002</v>
      </c>
      <c r="P298">
        <v>3</v>
      </c>
      <c r="Q298">
        <v>-204.44579999999999</v>
      </c>
      <c r="R298" s="1" t="s">
        <v>4422</v>
      </c>
      <c r="S298">
        <v>2016</v>
      </c>
      <c r="T298" s="1" t="s">
        <v>72</v>
      </c>
    </row>
    <row r="299" spans="1:20" x14ac:dyDescent="0.25">
      <c r="A299" s="1" t="s">
        <v>1255</v>
      </c>
      <c r="B299" s="2">
        <v>42560</v>
      </c>
      <c r="C299" s="2">
        <v>42564</v>
      </c>
      <c r="D299" s="1" t="s">
        <v>37</v>
      </c>
      <c r="E299" s="1" t="s">
        <v>217</v>
      </c>
      <c r="F299" s="1" t="s">
        <v>218</v>
      </c>
      <c r="G299" s="1" t="s">
        <v>84</v>
      </c>
      <c r="H299" s="1" t="s">
        <v>165</v>
      </c>
      <c r="I299" s="1" t="s">
        <v>114</v>
      </c>
      <c r="J299" s="1" t="s">
        <v>63</v>
      </c>
      <c r="K299" s="1" t="s">
        <v>796</v>
      </c>
      <c r="L299" s="1" t="s">
        <v>29</v>
      </c>
      <c r="M299" s="1" t="s">
        <v>34</v>
      </c>
      <c r="N299" s="1" t="s">
        <v>797</v>
      </c>
      <c r="O299">
        <v>408.00599999999997</v>
      </c>
      <c r="P299">
        <v>2</v>
      </c>
      <c r="Q299">
        <v>72.534400000000005</v>
      </c>
      <c r="R299" s="1" t="s">
        <v>4424</v>
      </c>
      <c r="S299">
        <v>2016</v>
      </c>
      <c r="T299" s="1" t="s">
        <v>66</v>
      </c>
    </row>
    <row r="300" spans="1:20" x14ac:dyDescent="0.25">
      <c r="A300" s="1" t="s">
        <v>1255</v>
      </c>
      <c r="B300" s="2">
        <v>42560</v>
      </c>
      <c r="C300" s="2">
        <v>42564</v>
      </c>
      <c r="D300" s="1" t="s">
        <v>37</v>
      </c>
      <c r="E300" s="1" t="s">
        <v>217</v>
      </c>
      <c r="F300" s="1" t="s">
        <v>218</v>
      </c>
      <c r="G300" s="1" t="s">
        <v>84</v>
      </c>
      <c r="H300" s="1" t="s">
        <v>165</v>
      </c>
      <c r="I300" s="1" t="s">
        <v>114</v>
      </c>
      <c r="J300" s="1" t="s">
        <v>63</v>
      </c>
      <c r="K300" s="1" t="s">
        <v>587</v>
      </c>
      <c r="L300" s="1" t="s">
        <v>29</v>
      </c>
      <c r="M300" s="1" t="s">
        <v>53</v>
      </c>
      <c r="N300" s="1" t="s">
        <v>588</v>
      </c>
      <c r="O300">
        <v>165.28</v>
      </c>
      <c r="P300">
        <v>4</v>
      </c>
      <c r="Q300">
        <v>14.8752</v>
      </c>
      <c r="R300" s="1" t="s">
        <v>4424</v>
      </c>
      <c r="S300">
        <v>2016</v>
      </c>
      <c r="T300" s="1" t="s">
        <v>66</v>
      </c>
    </row>
    <row r="301" spans="1:20" x14ac:dyDescent="0.25">
      <c r="A301" s="1" t="s">
        <v>1256</v>
      </c>
      <c r="B301" s="2">
        <v>42763</v>
      </c>
      <c r="C301" s="2">
        <v>42766</v>
      </c>
      <c r="D301" s="1" t="s">
        <v>21</v>
      </c>
      <c r="E301" s="1" t="s">
        <v>1257</v>
      </c>
      <c r="F301" s="1" t="s">
        <v>1258</v>
      </c>
      <c r="G301" s="1" t="s">
        <v>94</v>
      </c>
      <c r="H301" s="1" t="s">
        <v>541</v>
      </c>
      <c r="I301" s="1" t="s">
        <v>50</v>
      </c>
      <c r="J301" s="1" t="s">
        <v>51</v>
      </c>
      <c r="K301" s="1" t="s">
        <v>1259</v>
      </c>
      <c r="L301" s="1" t="s">
        <v>29</v>
      </c>
      <c r="M301" s="1" t="s">
        <v>53</v>
      </c>
      <c r="N301" s="1" t="s">
        <v>1260</v>
      </c>
      <c r="O301">
        <v>37.74</v>
      </c>
      <c r="P301">
        <v>3</v>
      </c>
      <c r="Q301">
        <v>12.8316</v>
      </c>
      <c r="R301" s="1" t="s">
        <v>4420</v>
      </c>
      <c r="S301">
        <v>2017</v>
      </c>
      <c r="T301" s="1" t="s">
        <v>161</v>
      </c>
    </row>
    <row r="302" spans="1:20" x14ac:dyDescent="0.25">
      <c r="A302" s="1" t="s">
        <v>1261</v>
      </c>
      <c r="B302" s="2">
        <v>42268</v>
      </c>
      <c r="C302" s="2">
        <v>42271</v>
      </c>
      <c r="D302" s="1" t="s">
        <v>81</v>
      </c>
      <c r="E302" s="1" t="s">
        <v>1262</v>
      </c>
      <c r="F302" s="1" t="s">
        <v>1263</v>
      </c>
      <c r="G302" s="1" t="s">
        <v>84</v>
      </c>
      <c r="H302" s="1" t="s">
        <v>95</v>
      </c>
      <c r="I302" s="1" t="s">
        <v>86</v>
      </c>
      <c r="J302" s="1" t="s">
        <v>87</v>
      </c>
      <c r="K302" s="1" t="s">
        <v>105</v>
      </c>
      <c r="L302" s="1" t="s">
        <v>29</v>
      </c>
      <c r="M302" s="1" t="s">
        <v>53</v>
      </c>
      <c r="N302" s="1" t="s">
        <v>106</v>
      </c>
      <c r="O302">
        <v>4.9279999999999999</v>
      </c>
      <c r="P302">
        <v>4</v>
      </c>
      <c r="Q302">
        <v>-1.4783999999999999</v>
      </c>
      <c r="R302" s="1" t="s">
        <v>4420</v>
      </c>
      <c r="S302">
        <v>2015</v>
      </c>
      <c r="T302" s="1" t="s">
        <v>72</v>
      </c>
    </row>
    <row r="303" spans="1:20" x14ac:dyDescent="0.25">
      <c r="A303" s="1" t="s">
        <v>1264</v>
      </c>
      <c r="B303" s="2">
        <v>41992</v>
      </c>
      <c r="C303" s="2">
        <v>41994</v>
      </c>
      <c r="D303" s="1" t="s">
        <v>21</v>
      </c>
      <c r="E303" s="1" t="s">
        <v>1265</v>
      </c>
      <c r="F303" s="1" t="s">
        <v>1266</v>
      </c>
      <c r="G303" s="1" t="s">
        <v>24</v>
      </c>
      <c r="H303" s="1" t="s">
        <v>845</v>
      </c>
      <c r="I303" s="1" t="s">
        <v>1267</v>
      </c>
      <c r="J303" s="1" t="s">
        <v>27</v>
      </c>
      <c r="K303" s="1" t="s">
        <v>134</v>
      </c>
      <c r="L303" s="1" t="s">
        <v>29</v>
      </c>
      <c r="M303" s="1" t="s">
        <v>34</v>
      </c>
      <c r="N303" s="1" t="s">
        <v>135</v>
      </c>
      <c r="O303">
        <v>1819.86</v>
      </c>
      <c r="P303">
        <v>14</v>
      </c>
      <c r="Q303">
        <v>163.78739999999999</v>
      </c>
      <c r="R303" s="1" t="s">
        <v>4423</v>
      </c>
      <c r="S303">
        <v>2014</v>
      </c>
      <c r="T303" s="1" t="s">
        <v>90</v>
      </c>
    </row>
    <row r="304" spans="1:20" x14ac:dyDescent="0.25">
      <c r="A304" s="1" t="s">
        <v>1268</v>
      </c>
      <c r="B304" s="2">
        <v>42292</v>
      </c>
      <c r="C304" s="2">
        <v>42292</v>
      </c>
      <c r="D304" s="1" t="s">
        <v>417</v>
      </c>
      <c r="E304" s="1" t="s">
        <v>130</v>
      </c>
      <c r="F304" s="1" t="s">
        <v>131</v>
      </c>
      <c r="G304" s="1" t="s">
        <v>24</v>
      </c>
      <c r="H304" s="1" t="s">
        <v>519</v>
      </c>
      <c r="I304" s="1" t="s">
        <v>86</v>
      </c>
      <c r="J304" s="1" t="s">
        <v>87</v>
      </c>
      <c r="K304" s="1" t="s">
        <v>592</v>
      </c>
      <c r="L304" s="1" t="s">
        <v>29</v>
      </c>
      <c r="M304" s="1" t="s">
        <v>34</v>
      </c>
      <c r="N304" s="1" t="s">
        <v>593</v>
      </c>
      <c r="O304">
        <v>2453.4299999999998</v>
      </c>
      <c r="P304">
        <v>5</v>
      </c>
      <c r="Q304">
        <v>-350.49</v>
      </c>
      <c r="R304" s="1" t="s">
        <v>4427</v>
      </c>
      <c r="S304">
        <v>2015</v>
      </c>
      <c r="T304" s="1" t="s">
        <v>45</v>
      </c>
    </row>
    <row r="305" spans="1:20" x14ac:dyDescent="0.25">
      <c r="A305" s="1" t="s">
        <v>1269</v>
      </c>
      <c r="B305" s="2">
        <v>42899</v>
      </c>
      <c r="C305" s="2">
        <v>42902</v>
      </c>
      <c r="D305" s="1" t="s">
        <v>81</v>
      </c>
      <c r="E305" s="1" t="s">
        <v>1248</v>
      </c>
      <c r="F305" s="1" t="s">
        <v>1249</v>
      </c>
      <c r="G305" s="1" t="s">
        <v>94</v>
      </c>
      <c r="H305" s="1" t="s">
        <v>125</v>
      </c>
      <c r="I305" s="1" t="s">
        <v>126</v>
      </c>
      <c r="J305" s="1" t="s">
        <v>87</v>
      </c>
      <c r="K305" s="1" t="s">
        <v>1270</v>
      </c>
      <c r="L305" s="1" t="s">
        <v>29</v>
      </c>
      <c r="M305" s="1" t="s">
        <v>34</v>
      </c>
      <c r="N305" s="1" t="s">
        <v>1271</v>
      </c>
      <c r="O305">
        <v>470.30200000000002</v>
      </c>
      <c r="P305">
        <v>7</v>
      </c>
      <c r="Q305">
        <v>-87.341800000000006</v>
      </c>
      <c r="R305" s="1" t="s">
        <v>4420</v>
      </c>
      <c r="S305">
        <v>2017</v>
      </c>
      <c r="T305" s="1" t="s">
        <v>55</v>
      </c>
    </row>
    <row r="306" spans="1:20" x14ac:dyDescent="0.25">
      <c r="A306" s="1" t="s">
        <v>1272</v>
      </c>
      <c r="B306" s="2">
        <v>42898</v>
      </c>
      <c r="C306" s="2">
        <v>42905</v>
      </c>
      <c r="D306" s="1" t="s">
        <v>37</v>
      </c>
      <c r="E306" s="1" t="s">
        <v>1273</v>
      </c>
      <c r="F306" s="1" t="s">
        <v>1274</v>
      </c>
      <c r="G306" s="1" t="s">
        <v>94</v>
      </c>
      <c r="H306" s="1" t="s">
        <v>339</v>
      </c>
      <c r="I306" s="1" t="s">
        <v>658</v>
      </c>
      <c r="J306" s="1" t="s">
        <v>27</v>
      </c>
      <c r="K306" s="1" t="s">
        <v>1275</v>
      </c>
      <c r="L306" s="1" t="s">
        <v>29</v>
      </c>
      <c r="M306" s="1" t="s">
        <v>43</v>
      </c>
      <c r="N306" s="1" t="s">
        <v>1276</v>
      </c>
      <c r="O306">
        <v>452.94</v>
      </c>
      <c r="P306">
        <v>3</v>
      </c>
      <c r="Q306">
        <v>67.941000000000003</v>
      </c>
      <c r="R306" s="1" t="s">
        <v>4421</v>
      </c>
      <c r="S306">
        <v>2017</v>
      </c>
      <c r="T306" s="1" t="s">
        <v>55</v>
      </c>
    </row>
    <row r="307" spans="1:20" x14ac:dyDescent="0.25">
      <c r="A307" s="1" t="s">
        <v>1277</v>
      </c>
      <c r="B307" s="2">
        <v>41763</v>
      </c>
      <c r="C307" s="2">
        <v>41763</v>
      </c>
      <c r="D307" s="1" t="s">
        <v>417</v>
      </c>
      <c r="E307" s="1" t="s">
        <v>1278</v>
      </c>
      <c r="F307" s="1" t="s">
        <v>1279</v>
      </c>
      <c r="G307" s="1" t="s">
        <v>24</v>
      </c>
      <c r="H307" s="1" t="s">
        <v>1280</v>
      </c>
      <c r="I307" s="1" t="s">
        <v>421</v>
      </c>
      <c r="J307" s="1" t="s">
        <v>63</v>
      </c>
      <c r="K307" s="1" t="s">
        <v>1281</v>
      </c>
      <c r="L307" s="1" t="s">
        <v>29</v>
      </c>
      <c r="M307" s="1" t="s">
        <v>53</v>
      </c>
      <c r="N307" s="1" t="s">
        <v>1282</v>
      </c>
      <c r="O307">
        <v>27.46</v>
      </c>
      <c r="P307">
        <v>2</v>
      </c>
      <c r="Q307">
        <v>9.8856000000000002</v>
      </c>
      <c r="R307" s="1" t="s">
        <v>4427</v>
      </c>
      <c r="S307">
        <v>2014</v>
      </c>
      <c r="T307" s="1" t="s">
        <v>153</v>
      </c>
    </row>
    <row r="308" spans="1:20" x14ac:dyDescent="0.25">
      <c r="A308" s="1" t="s">
        <v>1283</v>
      </c>
      <c r="B308" s="2">
        <v>42440</v>
      </c>
      <c r="C308" s="2">
        <v>42444</v>
      </c>
      <c r="D308" s="1" t="s">
        <v>37</v>
      </c>
      <c r="E308" s="1" t="s">
        <v>1284</v>
      </c>
      <c r="F308" s="1" t="s">
        <v>1285</v>
      </c>
      <c r="G308" s="1" t="s">
        <v>24</v>
      </c>
      <c r="H308" s="1" t="s">
        <v>1286</v>
      </c>
      <c r="I308" s="1" t="s">
        <v>354</v>
      </c>
      <c r="J308" s="1" t="s">
        <v>63</v>
      </c>
      <c r="K308" s="1" t="s">
        <v>775</v>
      </c>
      <c r="L308" s="1" t="s">
        <v>29</v>
      </c>
      <c r="M308" s="1" t="s">
        <v>43</v>
      </c>
      <c r="N308" s="1" t="s">
        <v>776</v>
      </c>
      <c r="O308">
        <v>244.006</v>
      </c>
      <c r="P308">
        <v>2</v>
      </c>
      <c r="Q308">
        <v>-31.372199999999999</v>
      </c>
      <c r="R308" s="1" t="s">
        <v>4424</v>
      </c>
      <c r="S308">
        <v>2016</v>
      </c>
      <c r="T308" s="1" t="s">
        <v>187</v>
      </c>
    </row>
    <row r="309" spans="1:20" x14ac:dyDescent="0.25">
      <c r="A309" s="1" t="s">
        <v>1287</v>
      </c>
      <c r="B309" s="2">
        <v>42608</v>
      </c>
      <c r="C309" s="2">
        <v>42610</v>
      </c>
      <c r="D309" s="1" t="s">
        <v>81</v>
      </c>
      <c r="E309" s="1" t="s">
        <v>1288</v>
      </c>
      <c r="F309" s="1" t="s">
        <v>1289</v>
      </c>
      <c r="G309" s="1" t="s">
        <v>84</v>
      </c>
      <c r="H309" s="1" t="s">
        <v>1176</v>
      </c>
      <c r="I309" s="1" t="s">
        <v>86</v>
      </c>
      <c r="J309" s="1" t="s">
        <v>87</v>
      </c>
      <c r="K309" s="1" t="s">
        <v>1073</v>
      </c>
      <c r="L309" s="1" t="s">
        <v>29</v>
      </c>
      <c r="M309" s="1" t="s">
        <v>34</v>
      </c>
      <c r="N309" s="1" t="s">
        <v>1074</v>
      </c>
      <c r="O309">
        <v>1024.7159999999999</v>
      </c>
      <c r="P309">
        <v>6</v>
      </c>
      <c r="Q309">
        <v>-29.2776</v>
      </c>
      <c r="R309" s="1" t="s">
        <v>4423</v>
      </c>
      <c r="S309">
        <v>2016</v>
      </c>
      <c r="T309" s="1" t="s">
        <v>245</v>
      </c>
    </row>
    <row r="310" spans="1:20" x14ac:dyDescent="0.25">
      <c r="A310" s="1" t="s">
        <v>1290</v>
      </c>
      <c r="B310" s="2">
        <v>41859</v>
      </c>
      <c r="C310" s="2">
        <v>41865</v>
      </c>
      <c r="D310" s="1" t="s">
        <v>37</v>
      </c>
      <c r="E310" s="1" t="s">
        <v>1291</v>
      </c>
      <c r="F310" s="1" t="s">
        <v>1292</v>
      </c>
      <c r="G310" s="1" t="s">
        <v>24</v>
      </c>
      <c r="H310" s="1" t="s">
        <v>1293</v>
      </c>
      <c r="I310" s="1" t="s">
        <v>511</v>
      </c>
      <c r="J310" s="1" t="s">
        <v>51</v>
      </c>
      <c r="K310" s="1" t="s">
        <v>958</v>
      </c>
      <c r="L310" s="1" t="s">
        <v>29</v>
      </c>
      <c r="M310" s="1" t="s">
        <v>53</v>
      </c>
      <c r="N310" s="1" t="s">
        <v>959</v>
      </c>
      <c r="O310">
        <v>121.376</v>
      </c>
      <c r="P310">
        <v>4</v>
      </c>
      <c r="Q310">
        <v>-3.0344000000000002</v>
      </c>
      <c r="R310" s="1" t="s">
        <v>4426</v>
      </c>
      <c r="S310">
        <v>2014</v>
      </c>
      <c r="T310" s="1" t="s">
        <v>245</v>
      </c>
    </row>
    <row r="311" spans="1:20" x14ac:dyDescent="0.25">
      <c r="A311" s="1" t="s">
        <v>1294</v>
      </c>
      <c r="B311" s="2">
        <v>43078</v>
      </c>
      <c r="C311" s="2">
        <v>43082</v>
      </c>
      <c r="D311" s="1" t="s">
        <v>37</v>
      </c>
      <c r="E311" s="1" t="s">
        <v>1295</v>
      </c>
      <c r="F311" s="1" t="s">
        <v>1296</v>
      </c>
      <c r="G311" s="1" t="s">
        <v>84</v>
      </c>
      <c r="H311" s="1" t="s">
        <v>280</v>
      </c>
      <c r="I311" s="1" t="s">
        <v>281</v>
      </c>
      <c r="J311" s="1" t="s">
        <v>87</v>
      </c>
      <c r="K311" s="1" t="s">
        <v>1297</v>
      </c>
      <c r="L311" s="1" t="s">
        <v>29</v>
      </c>
      <c r="M311" s="1" t="s">
        <v>34</v>
      </c>
      <c r="N311" s="1" t="s">
        <v>1298</v>
      </c>
      <c r="O311">
        <v>872.94</v>
      </c>
      <c r="P311">
        <v>3</v>
      </c>
      <c r="Q311">
        <v>226.96440000000001</v>
      </c>
      <c r="R311" s="1" t="s">
        <v>4424</v>
      </c>
      <c r="S311">
        <v>2017</v>
      </c>
      <c r="T311" s="1" t="s">
        <v>90</v>
      </c>
    </row>
    <row r="312" spans="1:20" x14ac:dyDescent="0.25">
      <c r="A312" s="1" t="s">
        <v>1299</v>
      </c>
      <c r="B312" s="2">
        <v>42339</v>
      </c>
      <c r="C312" s="2">
        <v>42340</v>
      </c>
      <c r="D312" s="1" t="s">
        <v>417</v>
      </c>
      <c r="E312" s="1" t="s">
        <v>1300</v>
      </c>
      <c r="F312" s="1" t="s">
        <v>1301</v>
      </c>
      <c r="G312" s="1" t="s">
        <v>24</v>
      </c>
      <c r="H312" s="1" t="s">
        <v>95</v>
      </c>
      <c r="I312" s="1" t="s">
        <v>86</v>
      </c>
      <c r="J312" s="1" t="s">
        <v>87</v>
      </c>
      <c r="K312" s="1" t="s">
        <v>1302</v>
      </c>
      <c r="L312" s="1" t="s">
        <v>29</v>
      </c>
      <c r="M312" s="1" t="s">
        <v>53</v>
      </c>
      <c r="N312" s="1" t="s">
        <v>1303</v>
      </c>
      <c r="O312">
        <v>6.6879999999999997</v>
      </c>
      <c r="P312">
        <v>4</v>
      </c>
      <c r="Q312">
        <v>-4.0128000000000004</v>
      </c>
      <c r="R312" s="1" t="s">
        <v>4425</v>
      </c>
      <c r="S312">
        <v>2015</v>
      </c>
      <c r="T312" s="1" t="s">
        <v>90</v>
      </c>
    </row>
    <row r="313" spans="1:20" x14ac:dyDescent="0.25">
      <c r="A313" s="1" t="s">
        <v>1304</v>
      </c>
      <c r="B313" s="2">
        <v>42311</v>
      </c>
      <c r="C313" s="2">
        <v>42315</v>
      </c>
      <c r="D313" s="1" t="s">
        <v>37</v>
      </c>
      <c r="E313" s="1" t="s">
        <v>1305</v>
      </c>
      <c r="F313" s="1" t="s">
        <v>1306</v>
      </c>
      <c r="G313" s="1" t="s">
        <v>94</v>
      </c>
      <c r="H313" s="1" t="s">
        <v>49</v>
      </c>
      <c r="I313" s="1" t="s">
        <v>50</v>
      </c>
      <c r="J313" s="1" t="s">
        <v>51</v>
      </c>
      <c r="K313" s="1" t="s">
        <v>476</v>
      </c>
      <c r="L313" s="1" t="s">
        <v>29</v>
      </c>
      <c r="M313" s="1" t="s">
        <v>53</v>
      </c>
      <c r="N313" s="1" t="s">
        <v>477</v>
      </c>
      <c r="O313">
        <v>42.6</v>
      </c>
      <c r="P313">
        <v>3</v>
      </c>
      <c r="Q313">
        <v>16.614000000000001</v>
      </c>
      <c r="R313" s="1" t="s">
        <v>4424</v>
      </c>
      <c r="S313">
        <v>2015</v>
      </c>
      <c r="T313" s="1" t="s">
        <v>32</v>
      </c>
    </row>
    <row r="314" spans="1:20" x14ac:dyDescent="0.25">
      <c r="A314" s="1" t="s">
        <v>1307</v>
      </c>
      <c r="B314" s="2">
        <v>43063</v>
      </c>
      <c r="C314" s="2">
        <v>43067</v>
      </c>
      <c r="D314" s="1" t="s">
        <v>37</v>
      </c>
      <c r="E314" s="1" t="s">
        <v>1308</v>
      </c>
      <c r="F314" s="1" t="s">
        <v>1309</v>
      </c>
      <c r="G314" s="1" t="s">
        <v>84</v>
      </c>
      <c r="H314" s="1" t="s">
        <v>165</v>
      </c>
      <c r="I314" s="1" t="s">
        <v>114</v>
      </c>
      <c r="J314" s="1" t="s">
        <v>63</v>
      </c>
      <c r="K314" s="1" t="s">
        <v>412</v>
      </c>
      <c r="L314" s="1" t="s">
        <v>29</v>
      </c>
      <c r="M314" s="1" t="s">
        <v>34</v>
      </c>
      <c r="N314" s="1" t="s">
        <v>413</v>
      </c>
      <c r="O314">
        <v>977.29200000000003</v>
      </c>
      <c r="P314">
        <v>6</v>
      </c>
      <c r="Q314">
        <v>173.74080000000001</v>
      </c>
      <c r="R314" s="1" t="s">
        <v>4424</v>
      </c>
      <c r="S314">
        <v>2017</v>
      </c>
      <c r="T314" s="1" t="s">
        <v>32</v>
      </c>
    </row>
    <row r="315" spans="1:20" x14ac:dyDescent="0.25">
      <c r="A315" s="1" t="s">
        <v>1310</v>
      </c>
      <c r="B315" s="2">
        <v>43038</v>
      </c>
      <c r="C315" s="2">
        <v>43042</v>
      </c>
      <c r="D315" s="1" t="s">
        <v>37</v>
      </c>
      <c r="E315" s="1" t="s">
        <v>1311</v>
      </c>
      <c r="F315" s="1" t="s">
        <v>1312</v>
      </c>
      <c r="G315" s="1" t="s">
        <v>84</v>
      </c>
      <c r="H315" s="1" t="s">
        <v>673</v>
      </c>
      <c r="I315" s="1" t="s">
        <v>184</v>
      </c>
      <c r="J315" s="1" t="s">
        <v>51</v>
      </c>
      <c r="K315" s="1" t="s">
        <v>950</v>
      </c>
      <c r="L315" s="1" t="s">
        <v>29</v>
      </c>
      <c r="M315" s="1" t="s">
        <v>53</v>
      </c>
      <c r="N315" s="1" t="s">
        <v>951</v>
      </c>
      <c r="O315">
        <v>9.64</v>
      </c>
      <c r="P315">
        <v>2</v>
      </c>
      <c r="Q315">
        <v>3.6631999999999998</v>
      </c>
      <c r="R315" s="1" t="s">
        <v>4424</v>
      </c>
      <c r="S315">
        <v>2017</v>
      </c>
      <c r="T315" s="1" t="s">
        <v>45</v>
      </c>
    </row>
    <row r="316" spans="1:20" x14ac:dyDescent="0.25">
      <c r="A316" s="1" t="s">
        <v>1313</v>
      </c>
      <c r="B316" s="2">
        <v>42698</v>
      </c>
      <c r="C316" s="2">
        <v>42705</v>
      </c>
      <c r="D316" s="1" t="s">
        <v>37</v>
      </c>
      <c r="E316" s="1" t="s">
        <v>1314</v>
      </c>
      <c r="F316" s="1" t="s">
        <v>1315</v>
      </c>
      <c r="G316" s="1" t="s">
        <v>94</v>
      </c>
      <c r="H316" s="1" t="s">
        <v>49</v>
      </c>
      <c r="I316" s="1" t="s">
        <v>50</v>
      </c>
      <c r="J316" s="1" t="s">
        <v>51</v>
      </c>
      <c r="K316" s="1" t="s">
        <v>641</v>
      </c>
      <c r="L316" s="1" t="s">
        <v>29</v>
      </c>
      <c r="M316" s="1" t="s">
        <v>53</v>
      </c>
      <c r="N316" s="1" t="s">
        <v>642</v>
      </c>
      <c r="O316">
        <v>9.94</v>
      </c>
      <c r="P316">
        <v>2</v>
      </c>
      <c r="Q316">
        <v>3.0813999999999999</v>
      </c>
      <c r="R316" s="1" t="s">
        <v>4421</v>
      </c>
      <c r="S316">
        <v>2016</v>
      </c>
      <c r="T316" s="1" t="s">
        <v>32</v>
      </c>
    </row>
    <row r="317" spans="1:20" x14ac:dyDescent="0.25">
      <c r="A317" s="1" t="s">
        <v>1316</v>
      </c>
      <c r="B317" s="2">
        <v>42217</v>
      </c>
      <c r="C317" s="2">
        <v>42223</v>
      </c>
      <c r="D317" s="1" t="s">
        <v>37</v>
      </c>
      <c r="E317" s="1" t="s">
        <v>1317</v>
      </c>
      <c r="F317" s="1" t="s">
        <v>1318</v>
      </c>
      <c r="G317" s="1" t="s">
        <v>94</v>
      </c>
      <c r="H317" s="1" t="s">
        <v>49</v>
      </c>
      <c r="I317" s="1" t="s">
        <v>50</v>
      </c>
      <c r="J317" s="1" t="s">
        <v>51</v>
      </c>
      <c r="K317" s="1" t="s">
        <v>1319</v>
      </c>
      <c r="L317" s="1" t="s">
        <v>29</v>
      </c>
      <c r="M317" s="1" t="s">
        <v>43</v>
      </c>
      <c r="N317" s="1" t="s">
        <v>1320</v>
      </c>
      <c r="O317">
        <v>1004.976</v>
      </c>
      <c r="P317">
        <v>6</v>
      </c>
      <c r="Q317">
        <v>-175.8708</v>
      </c>
      <c r="R317" s="1" t="s">
        <v>4426</v>
      </c>
      <c r="S317">
        <v>2015</v>
      </c>
      <c r="T317" s="1" t="s">
        <v>245</v>
      </c>
    </row>
    <row r="318" spans="1:20" x14ac:dyDescent="0.25">
      <c r="A318" s="1" t="s">
        <v>1321</v>
      </c>
      <c r="B318" s="2">
        <v>42990</v>
      </c>
      <c r="C318" s="2">
        <v>42993</v>
      </c>
      <c r="D318" s="1" t="s">
        <v>81</v>
      </c>
      <c r="E318" s="1" t="s">
        <v>1322</v>
      </c>
      <c r="F318" s="1" t="s">
        <v>1323</v>
      </c>
      <c r="G318" s="1" t="s">
        <v>24</v>
      </c>
      <c r="H318" s="1" t="s">
        <v>49</v>
      </c>
      <c r="I318" s="1" t="s">
        <v>50</v>
      </c>
      <c r="J318" s="1" t="s">
        <v>51</v>
      </c>
      <c r="K318" s="1" t="s">
        <v>1302</v>
      </c>
      <c r="L318" s="1" t="s">
        <v>29</v>
      </c>
      <c r="M318" s="1" t="s">
        <v>53</v>
      </c>
      <c r="N318" s="1" t="s">
        <v>1303</v>
      </c>
      <c r="O318">
        <v>8.36</v>
      </c>
      <c r="P318">
        <v>2</v>
      </c>
      <c r="Q318">
        <v>3.0095999999999998</v>
      </c>
      <c r="R318" s="1" t="s">
        <v>4420</v>
      </c>
      <c r="S318">
        <v>2017</v>
      </c>
      <c r="T318" s="1" t="s">
        <v>72</v>
      </c>
    </row>
    <row r="319" spans="1:20" x14ac:dyDescent="0.25">
      <c r="A319" s="1" t="s">
        <v>1324</v>
      </c>
      <c r="B319" s="2">
        <v>43080</v>
      </c>
      <c r="C319" s="2">
        <v>43086</v>
      </c>
      <c r="D319" s="1" t="s">
        <v>37</v>
      </c>
      <c r="E319" s="1" t="s">
        <v>1325</v>
      </c>
      <c r="F319" s="1" t="s">
        <v>1326</v>
      </c>
      <c r="G319" s="1" t="s">
        <v>24</v>
      </c>
      <c r="H319" s="1" t="s">
        <v>61</v>
      </c>
      <c r="I319" s="1" t="s">
        <v>62</v>
      </c>
      <c r="J319" s="1" t="s">
        <v>63</v>
      </c>
      <c r="K319" s="1" t="s">
        <v>1208</v>
      </c>
      <c r="L319" s="1" t="s">
        <v>29</v>
      </c>
      <c r="M319" s="1" t="s">
        <v>34</v>
      </c>
      <c r="N319" s="1" t="s">
        <v>1209</v>
      </c>
      <c r="O319">
        <v>63.686</v>
      </c>
      <c r="P319">
        <v>1</v>
      </c>
      <c r="Q319">
        <v>-9.0980000000000008</v>
      </c>
      <c r="R319" s="1" t="s">
        <v>4426</v>
      </c>
      <c r="S319">
        <v>2017</v>
      </c>
      <c r="T319" s="1" t="s">
        <v>90</v>
      </c>
    </row>
    <row r="320" spans="1:20" x14ac:dyDescent="0.25">
      <c r="A320" s="1" t="s">
        <v>1327</v>
      </c>
      <c r="B320" s="2">
        <v>43079</v>
      </c>
      <c r="C320" s="2">
        <v>43083</v>
      </c>
      <c r="D320" s="1" t="s">
        <v>21</v>
      </c>
      <c r="E320" s="1" t="s">
        <v>1328</v>
      </c>
      <c r="F320" s="1" t="s">
        <v>1329</v>
      </c>
      <c r="G320" s="1" t="s">
        <v>24</v>
      </c>
      <c r="H320" s="1" t="s">
        <v>1330</v>
      </c>
      <c r="I320" s="1" t="s">
        <v>1331</v>
      </c>
      <c r="J320" s="1" t="s">
        <v>51</v>
      </c>
      <c r="K320" s="1" t="s">
        <v>603</v>
      </c>
      <c r="L320" s="1" t="s">
        <v>29</v>
      </c>
      <c r="M320" s="1" t="s">
        <v>43</v>
      </c>
      <c r="N320" s="1" t="s">
        <v>604</v>
      </c>
      <c r="O320">
        <v>1669.6</v>
      </c>
      <c r="P320">
        <v>4</v>
      </c>
      <c r="Q320">
        <v>116.872</v>
      </c>
      <c r="R320" s="1" t="s">
        <v>4424</v>
      </c>
      <c r="S320">
        <v>2017</v>
      </c>
      <c r="T320" s="1" t="s">
        <v>90</v>
      </c>
    </row>
    <row r="321" spans="1:20" x14ac:dyDescent="0.25">
      <c r="A321" s="1" t="s">
        <v>1332</v>
      </c>
      <c r="B321" s="2">
        <v>42344</v>
      </c>
      <c r="C321" s="2">
        <v>42349</v>
      </c>
      <c r="D321" s="1" t="s">
        <v>37</v>
      </c>
      <c r="E321" s="1" t="s">
        <v>1333</v>
      </c>
      <c r="F321" s="1" t="s">
        <v>1334</v>
      </c>
      <c r="G321" s="1" t="s">
        <v>24</v>
      </c>
      <c r="H321" s="1" t="s">
        <v>1213</v>
      </c>
      <c r="I321" s="1" t="s">
        <v>511</v>
      </c>
      <c r="J321" s="1" t="s">
        <v>51</v>
      </c>
      <c r="K321" s="1" t="s">
        <v>736</v>
      </c>
      <c r="L321" s="1" t="s">
        <v>29</v>
      </c>
      <c r="M321" s="1" t="s">
        <v>53</v>
      </c>
      <c r="N321" s="1" t="s">
        <v>737</v>
      </c>
      <c r="O321">
        <v>206.11199999999999</v>
      </c>
      <c r="P321">
        <v>6</v>
      </c>
      <c r="Q321">
        <v>48.951599999999999</v>
      </c>
      <c r="R321" s="1" t="s">
        <v>4422</v>
      </c>
      <c r="S321">
        <v>2015</v>
      </c>
      <c r="T321" s="1" t="s">
        <v>90</v>
      </c>
    </row>
    <row r="322" spans="1:20" x14ac:dyDescent="0.25">
      <c r="A322" s="1" t="s">
        <v>1335</v>
      </c>
      <c r="B322" s="2">
        <v>42573</v>
      </c>
      <c r="C322" s="2">
        <v>42578</v>
      </c>
      <c r="D322" s="1" t="s">
        <v>37</v>
      </c>
      <c r="E322" s="1" t="s">
        <v>1336</v>
      </c>
      <c r="F322" s="1" t="s">
        <v>1337</v>
      </c>
      <c r="G322" s="1" t="s">
        <v>24</v>
      </c>
      <c r="H322" s="1" t="s">
        <v>1338</v>
      </c>
      <c r="I322" s="1" t="s">
        <v>62</v>
      </c>
      <c r="J322" s="1" t="s">
        <v>63</v>
      </c>
      <c r="K322" s="1" t="s">
        <v>1339</v>
      </c>
      <c r="L322" s="1" t="s">
        <v>29</v>
      </c>
      <c r="M322" s="1" t="s">
        <v>53</v>
      </c>
      <c r="N322" s="1" t="s">
        <v>1340</v>
      </c>
      <c r="O322">
        <v>11.648</v>
      </c>
      <c r="P322">
        <v>2</v>
      </c>
      <c r="Q322">
        <v>3.3488000000000002</v>
      </c>
      <c r="R322" s="1" t="s">
        <v>4422</v>
      </c>
      <c r="S322">
        <v>2016</v>
      </c>
      <c r="T322" s="1" t="s">
        <v>66</v>
      </c>
    </row>
    <row r="323" spans="1:20" x14ac:dyDescent="0.25">
      <c r="A323" s="1" t="s">
        <v>1341</v>
      </c>
      <c r="B323" s="2">
        <v>42776</v>
      </c>
      <c r="C323" s="2">
        <v>42780</v>
      </c>
      <c r="D323" s="1" t="s">
        <v>37</v>
      </c>
      <c r="E323" s="1" t="s">
        <v>1342</v>
      </c>
      <c r="F323" s="1" t="s">
        <v>1343</v>
      </c>
      <c r="G323" s="1" t="s">
        <v>94</v>
      </c>
      <c r="H323" s="1" t="s">
        <v>1344</v>
      </c>
      <c r="I323" s="1" t="s">
        <v>50</v>
      </c>
      <c r="J323" s="1" t="s">
        <v>51</v>
      </c>
      <c r="K323" s="1" t="s">
        <v>701</v>
      </c>
      <c r="L323" s="1" t="s">
        <v>29</v>
      </c>
      <c r="M323" s="1" t="s">
        <v>30</v>
      </c>
      <c r="N323" s="1" t="s">
        <v>702</v>
      </c>
      <c r="O323">
        <v>203.983</v>
      </c>
      <c r="P323">
        <v>2</v>
      </c>
      <c r="Q323">
        <v>16.7986</v>
      </c>
      <c r="R323" s="1" t="s">
        <v>4424</v>
      </c>
      <c r="S323">
        <v>2017</v>
      </c>
      <c r="T323" s="1" t="s">
        <v>289</v>
      </c>
    </row>
    <row r="324" spans="1:20" x14ac:dyDescent="0.25">
      <c r="A324" s="1" t="s">
        <v>1345</v>
      </c>
      <c r="B324" s="2">
        <v>42993</v>
      </c>
      <c r="C324" s="2">
        <v>42995</v>
      </c>
      <c r="D324" s="1" t="s">
        <v>21</v>
      </c>
      <c r="E324" s="1" t="s">
        <v>1346</v>
      </c>
      <c r="F324" s="1" t="s">
        <v>1347</v>
      </c>
      <c r="G324" s="1" t="s">
        <v>24</v>
      </c>
      <c r="H324" s="1" t="s">
        <v>1348</v>
      </c>
      <c r="I324" s="1" t="s">
        <v>425</v>
      </c>
      <c r="J324" s="1" t="s">
        <v>63</v>
      </c>
      <c r="K324" s="1" t="s">
        <v>96</v>
      </c>
      <c r="L324" s="1" t="s">
        <v>29</v>
      </c>
      <c r="M324" s="1" t="s">
        <v>30</v>
      </c>
      <c r="N324" s="1" t="s">
        <v>97</v>
      </c>
      <c r="O324">
        <v>782.94</v>
      </c>
      <c r="P324">
        <v>3</v>
      </c>
      <c r="Q324">
        <v>203.56440000000001</v>
      </c>
      <c r="R324" s="1" t="s">
        <v>4423</v>
      </c>
      <c r="S324">
        <v>2017</v>
      </c>
      <c r="T324" s="1" t="s">
        <v>72</v>
      </c>
    </row>
    <row r="325" spans="1:20" x14ac:dyDescent="0.25">
      <c r="A325" s="1" t="s">
        <v>1349</v>
      </c>
      <c r="B325" s="2">
        <v>41709</v>
      </c>
      <c r="C325" s="2">
        <v>41714</v>
      </c>
      <c r="D325" s="1" t="s">
        <v>21</v>
      </c>
      <c r="E325" s="1" t="s">
        <v>1350</v>
      </c>
      <c r="F325" s="1" t="s">
        <v>1351</v>
      </c>
      <c r="G325" s="1" t="s">
        <v>24</v>
      </c>
      <c r="H325" s="1" t="s">
        <v>339</v>
      </c>
      <c r="I325" s="1" t="s">
        <v>223</v>
      </c>
      <c r="J325" s="1" t="s">
        <v>63</v>
      </c>
      <c r="K325" s="1" t="s">
        <v>1352</v>
      </c>
      <c r="L325" s="1" t="s">
        <v>29</v>
      </c>
      <c r="M325" s="1" t="s">
        <v>53</v>
      </c>
      <c r="N325" s="1" t="s">
        <v>415</v>
      </c>
      <c r="O325">
        <v>8.32</v>
      </c>
      <c r="P325">
        <v>5</v>
      </c>
      <c r="Q325">
        <v>2.2879999999999998</v>
      </c>
      <c r="R325" s="1" t="s">
        <v>4422</v>
      </c>
      <c r="S325">
        <v>2014</v>
      </c>
      <c r="T325" s="1" t="s">
        <v>187</v>
      </c>
    </row>
    <row r="326" spans="1:20" x14ac:dyDescent="0.25">
      <c r="A326" s="1" t="s">
        <v>1353</v>
      </c>
      <c r="B326" s="2">
        <v>42004</v>
      </c>
      <c r="C326" s="2">
        <v>42008</v>
      </c>
      <c r="D326" s="1" t="s">
        <v>21</v>
      </c>
      <c r="E326" s="1" t="s">
        <v>1354</v>
      </c>
      <c r="F326" s="1" t="s">
        <v>1355</v>
      </c>
      <c r="G326" s="1" t="s">
        <v>84</v>
      </c>
      <c r="H326" s="1" t="s">
        <v>1356</v>
      </c>
      <c r="I326" s="1" t="s">
        <v>114</v>
      </c>
      <c r="J326" s="1" t="s">
        <v>63</v>
      </c>
      <c r="K326" s="1" t="s">
        <v>252</v>
      </c>
      <c r="L326" s="1" t="s">
        <v>29</v>
      </c>
      <c r="M326" s="1" t="s">
        <v>30</v>
      </c>
      <c r="N326" s="1" t="s">
        <v>253</v>
      </c>
      <c r="O326">
        <v>1573.4880000000001</v>
      </c>
      <c r="P326">
        <v>7</v>
      </c>
      <c r="Q326">
        <v>196.68600000000001</v>
      </c>
      <c r="R326" s="1" t="s">
        <v>4424</v>
      </c>
      <c r="S326">
        <v>2014</v>
      </c>
      <c r="T326" s="1" t="s">
        <v>90</v>
      </c>
    </row>
    <row r="327" spans="1:20" x14ac:dyDescent="0.25">
      <c r="A327" s="1" t="s">
        <v>1357</v>
      </c>
      <c r="B327" s="2">
        <v>42079</v>
      </c>
      <c r="C327" s="2">
        <v>42081</v>
      </c>
      <c r="D327" s="1" t="s">
        <v>21</v>
      </c>
      <c r="E327" s="1" t="s">
        <v>528</v>
      </c>
      <c r="F327" s="1" t="s">
        <v>529</v>
      </c>
      <c r="G327" s="1" t="s">
        <v>24</v>
      </c>
      <c r="H327" s="1" t="s">
        <v>183</v>
      </c>
      <c r="I327" s="1" t="s">
        <v>184</v>
      </c>
      <c r="J327" s="1" t="s">
        <v>51</v>
      </c>
      <c r="K327" s="1" t="s">
        <v>1250</v>
      </c>
      <c r="L327" s="1" t="s">
        <v>29</v>
      </c>
      <c r="M327" s="1" t="s">
        <v>43</v>
      </c>
      <c r="N327" s="1" t="s">
        <v>1054</v>
      </c>
      <c r="O327">
        <v>171.96</v>
      </c>
      <c r="P327">
        <v>2</v>
      </c>
      <c r="Q327">
        <v>44.709600000000002</v>
      </c>
      <c r="R327" s="1" t="s">
        <v>4423</v>
      </c>
      <c r="S327">
        <v>2015</v>
      </c>
      <c r="T327" s="1" t="s">
        <v>187</v>
      </c>
    </row>
    <row r="328" spans="1:20" x14ac:dyDescent="0.25">
      <c r="A328" s="1" t="s">
        <v>1358</v>
      </c>
      <c r="B328" s="2">
        <v>42916</v>
      </c>
      <c r="C328" s="2">
        <v>42916</v>
      </c>
      <c r="D328" s="1" t="s">
        <v>417</v>
      </c>
      <c r="E328" s="1" t="s">
        <v>1359</v>
      </c>
      <c r="F328" s="1" t="s">
        <v>1360</v>
      </c>
      <c r="G328" s="1" t="s">
        <v>24</v>
      </c>
      <c r="H328" s="1" t="s">
        <v>165</v>
      </c>
      <c r="I328" s="1" t="s">
        <v>114</v>
      </c>
      <c r="J328" s="1" t="s">
        <v>63</v>
      </c>
      <c r="K328" s="1" t="s">
        <v>42</v>
      </c>
      <c r="L328" s="1" t="s">
        <v>29</v>
      </c>
      <c r="M328" s="1" t="s">
        <v>43</v>
      </c>
      <c r="N328" s="1" t="s">
        <v>44</v>
      </c>
      <c r="O328">
        <v>1044.6300000000001</v>
      </c>
      <c r="P328">
        <v>5</v>
      </c>
      <c r="Q328">
        <v>-295.9785</v>
      </c>
      <c r="R328" s="1" t="s">
        <v>4427</v>
      </c>
      <c r="S328">
        <v>2017</v>
      </c>
      <c r="T328" s="1" t="s">
        <v>55</v>
      </c>
    </row>
    <row r="329" spans="1:20" x14ac:dyDescent="0.25">
      <c r="A329" s="1" t="s">
        <v>1361</v>
      </c>
      <c r="B329" s="2">
        <v>41966</v>
      </c>
      <c r="C329" s="2">
        <v>41968</v>
      </c>
      <c r="D329" s="1" t="s">
        <v>81</v>
      </c>
      <c r="E329" s="1" t="s">
        <v>498</v>
      </c>
      <c r="F329" s="1" t="s">
        <v>499</v>
      </c>
      <c r="G329" s="1" t="s">
        <v>24</v>
      </c>
      <c r="H329" s="1" t="s">
        <v>49</v>
      </c>
      <c r="I329" s="1" t="s">
        <v>50</v>
      </c>
      <c r="J329" s="1" t="s">
        <v>51</v>
      </c>
      <c r="K329" s="1" t="s">
        <v>151</v>
      </c>
      <c r="L329" s="1" t="s">
        <v>29</v>
      </c>
      <c r="M329" s="1" t="s">
        <v>34</v>
      </c>
      <c r="N329" s="1" t="s">
        <v>152</v>
      </c>
      <c r="O329">
        <v>603.91999999999996</v>
      </c>
      <c r="P329">
        <v>5</v>
      </c>
      <c r="Q329">
        <v>-67.941000000000003</v>
      </c>
      <c r="R329" s="1" t="s">
        <v>4423</v>
      </c>
      <c r="S329">
        <v>2014</v>
      </c>
      <c r="T329" s="1" t="s">
        <v>32</v>
      </c>
    </row>
    <row r="330" spans="1:20" x14ac:dyDescent="0.25">
      <c r="A330" s="1" t="s">
        <v>1361</v>
      </c>
      <c r="B330" s="2">
        <v>41966</v>
      </c>
      <c r="C330" s="2">
        <v>41968</v>
      </c>
      <c r="D330" s="1" t="s">
        <v>81</v>
      </c>
      <c r="E330" s="1" t="s">
        <v>498</v>
      </c>
      <c r="F330" s="1" t="s">
        <v>499</v>
      </c>
      <c r="G330" s="1" t="s">
        <v>24</v>
      </c>
      <c r="H330" s="1" t="s">
        <v>49</v>
      </c>
      <c r="I330" s="1" t="s">
        <v>50</v>
      </c>
      <c r="J330" s="1" t="s">
        <v>51</v>
      </c>
      <c r="K330" s="1" t="s">
        <v>571</v>
      </c>
      <c r="L330" s="1" t="s">
        <v>29</v>
      </c>
      <c r="M330" s="1" t="s">
        <v>34</v>
      </c>
      <c r="N330" s="1" t="s">
        <v>572</v>
      </c>
      <c r="O330">
        <v>381.44</v>
      </c>
      <c r="P330">
        <v>2</v>
      </c>
      <c r="Q330">
        <v>23.84</v>
      </c>
      <c r="R330" s="1" t="s">
        <v>4423</v>
      </c>
      <c r="S330">
        <v>2014</v>
      </c>
      <c r="T330" s="1" t="s">
        <v>32</v>
      </c>
    </row>
    <row r="331" spans="1:20" x14ac:dyDescent="0.25">
      <c r="A331" s="1" t="s">
        <v>1362</v>
      </c>
      <c r="B331" s="2">
        <v>41988</v>
      </c>
      <c r="C331" s="2">
        <v>41991</v>
      </c>
      <c r="D331" s="1" t="s">
        <v>81</v>
      </c>
      <c r="E331" s="1" t="s">
        <v>1363</v>
      </c>
      <c r="F331" s="1" t="s">
        <v>1364</v>
      </c>
      <c r="G331" s="1" t="s">
        <v>24</v>
      </c>
      <c r="H331" s="1" t="s">
        <v>1365</v>
      </c>
      <c r="I331" s="1" t="s">
        <v>86</v>
      </c>
      <c r="J331" s="1" t="s">
        <v>87</v>
      </c>
      <c r="K331" s="1" t="s">
        <v>807</v>
      </c>
      <c r="L331" s="1" t="s">
        <v>29</v>
      </c>
      <c r="M331" s="1" t="s">
        <v>34</v>
      </c>
      <c r="N331" s="1" t="s">
        <v>808</v>
      </c>
      <c r="O331">
        <v>763.28</v>
      </c>
      <c r="P331">
        <v>5</v>
      </c>
      <c r="Q331">
        <v>-21.808</v>
      </c>
      <c r="R331" s="1" t="s">
        <v>4420</v>
      </c>
      <c r="S331">
        <v>2014</v>
      </c>
      <c r="T331" s="1" t="s">
        <v>90</v>
      </c>
    </row>
    <row r="332" spans="1:20" x14ac:dyDescent="0.25">
      <c r="A332" s="1" t="s">
        <v>1366</v>
      </c>
      <c r="B332" s="2">
        <v>42225</v>
      </c>
      <c r="C332" s="2">
        <v>42228</v>
      </c>
      <c r="D332" s="1" t="s">
        <v>81</v>
      </c>
      <c r="E332" s="1" t="s">
        <v>704</v>
      </c>
      <c r="F332" s="1" t="s">
        <v>705</v>
      </c>
      <c r="G332" s="1" t="s">
        <v>24</v>
      </c>
      <c r="H332" s="1" t="s">
        <v>165</v>
      </c>
      <c r="I332" s="1" t="s">
        <v>114</v>
      </c>
      <c r="J332" s="1" t="s">
        <v>63</v>
      </c>
      <c r="K332" s="1" t="s">
        <v>309</v>
      </c>
      <c r="L332" s="1" t="s">
        <v>29</v>
      </c>
      <c r="M332" s="1" t="s">
        <v>43</v>
      </c>
      <c r="N332" s="1" t="s">
        <v>310</v>
      </c>
      <c r="O332">
        <v>382.80599999999998</v>
      </c>
      <c r="P332">
        <v>9</v>
      </c>
      <c r="Q332">
        <v>-153.1224</v>
      </c>
      <c r="R332" s="1" t="s">
        <v>4420</v>
      </c>
      <c r="S332">
        <v>2015</v>
      </c>
      <c r="T332" s="1" t="s">
        <v>245</v>
      </c>
    </row>
    <row r="333" spans="1:20" x14ac:dyDescent="0.25">
      <c r="A333" s="1" t="s">
        <v>1366</v>
      </c>
      <c r="B333" s="2">
        <v>42225</v>
      </c>
      <c r="C333" s="2">
        <v>42228</v>
      </c>
      <c r="D333" s="1" t="s">
        <v>81</v>
      </c>
      <c r="E333" s="1" t="s">
        <v>704</v>
      </c>
      <c r="F333" s="1" t="s">
        <v>705</v>
      </c>
      <c r="G333" s="1" t="s">
        <v>24</v>
      </c>
      <c r="H333" s="1" t="s">
        <v>165</v>
      </c>
      <c r="I333" s="1" t="s">
        <v>114</v>
      </c>
      <c r="J333" s="1" t="s">
        <v>63</v>
      </c>
      <c r="K333" s="1" t="s">
        <v>193</v>
      </c>
      <c r="L333" s="1" t="s">
        <v>29</v>
      </c>
      <c r="M333" s="1" t="s">
        <v>53</v>
      </c>
      <c r="N333" s="1" t="s">
        <v>194</v>
      </c>
      <c r="O333">
        <v>47.04</v>
      </c>
      <c r="P333">
        <v>3</v>
      </c>
      <c r="Q333">
        <v>18.345600000000001</v>
      </c>
      <c r="R333" s="1" t="s">
        <v>4420</v>
      </c>
      <c r="S333">
        <v>2015</v>
      </c>
      <c r="T333" s="1" t="s">
        <v>245</v>
      </c>
    </row>
    <row r="334" spans="1:20" x14ac:dyDescent="0.25">
      <c r="A334" s="1" t="s">
        <v>1366</v>
      </c>
      <c r="B334" s="2">
        <v>42225</v>
      </c>
      <c r="C334" s="2">
        <v>42228</v>
      </c>
      <c r="D334" s="1" t="s">
        <v>81</v>
      </c>
      <c r="E334" s="1" t="s">
        <v>704</v>
      </c>
      <c r="F334" s="1" t="s">
        <v>705</v>
      </c>
      <c r="G334" s="1" t="s">
        <v>24</v>
      </c>
      <c r="H334" s="1" t="s">
        <v>165</v>
      </c>
      <c r="I334" s="1" t="s">
        <v>114</v>
      </c>
      <c r="J334" s="1" t="s">
        <v>63</v>
      </c>
      <c r="K334" s="1" t="s">
        <v>105</v>
      </c>
      <c r="L334" s="1" t="s">
        <v>29</v>
      </c>
      <c r="M334" s="1" t="s">
        <v>53</v>
      </c>
      <c r="N334" s="1" t="s">
        <v>106</v>
      </c>
      <c r="O334">
        <v>6.16</v>
      </c>
      <c r="P334">
        <v>2</v>
      </c>
      <c r="Q334">
        <v>2.9567999999999999</v>
      </c>
      <c r="R334" s="1" t="s">
        <v>4420</v>
      </c>
      <c r="S334">
        <v>2015</v>
      </c>
      <c r="T334" s="1" t="s">
        <v>245</v>
      </c>
    </row>
    <row r="335" spans="1:20" x14ac:dyDescent="0.25">
      <c r="A335" s="1" t="s">
        <v>1367</v>
      </c>
      <c r="B335" s="2">
        <v>42087</v>
      </c>
      <c r="C335" s="2">
        <v>42090</v>
      </c>
      <c r="D335" s="1" t="s">
        <v>81</v>
      </c>
      <c r="E335" s="1" t="s">
        <v>1368</v>
      </c>
      <c r="F335" s="1" t="s">
        <v>1369</v>
      </c>
      <c r="G335" s="1" t="s">
        <v>94</v>
      </c>
      <c r="H335" s="1" t="s">
        <v>1370</v>
      </c>
      <c r="I335" s="1" t="s">
        <v>126</v>
      </c>
      <c r="J335" s="1" t="s">
        <v>87</v>
      </c>
      <c r="K335" s="1" t="s">
        <v>1371</v>
      </c>
      <c r="L335" s="1" t="s">
        <v>29</v>
      </c>
      <c r="M335" s="1" t="s">
        <v>30</v>
      </c>
      <c r="N335" s="1" t="s">
        <v>1372</v>
      </c>
      <c r="O335">
        <v>359.05799999999999</v>
      </c>
      <c r="P335">
        <v>3</v>
      </c>
      <c r="Q335">
        <v>-35.905799999999999</v>
      </c>
      <c r="R335" s="1" t="s">
        <v>4420</v>
      </c>
      <c r="S335">
        <v>2015</v>
      </c>
      <c r="T335" s="1" t="s">
        <v>187</v>
      </c>
    </row>
    <row r="336" spans="1:20" x14ac:dyDescent="0.25">
      <c r="A336" s="1" t="s">
        <v>1373</v>
      </c>
      <c r="B336" s="2">
        <v>42863</v>
      </c>
      <c r="C336" s="2">
        <v>42867</v>
      </c>
      <c r="D336" s="1" t="s">
        <v>37</v>
      </c>
      <c r="E336" s="1" t="s">
        <v>1374</v>
      </c>
      <c r="F336" s="1" t="s">
        <v>1375</v>
      </c>
      <c r="G336" s="1" t="s">
        <v>24</v>
      </c>
      <c r="H336" s="1" t="s">
        <v>339</v>
      </c>
      <c r="I336" s="1" t="s">
        <v>223</v>
      </c>
      <c r="J336" s="1" t="s">
        <v>63</v>
      </c>
      <c r="K336" s="1" t="s">
        <v>1093</v>
      </c>
      <c r="L336" s="1" t="s">
        <v>29</v>
      </c>
      <c r="M336" s="1" t="s">
        <v>34</v>
      </c>
      <c r="N336" s="1" t="s">
        <v>1094</v>
      </c>
      <c r="O336">
        <v>47.991999999999997</v>
      </c>
      <c r="P336">
        <v>2</v>
      </c>
      <c r="Q336">
        <v>-2.0568</v>
      </c>
      <c r="R336" s="1" t="s">
        <v>4424</v>
      </c>
      <c r="S336">
        <v>2017</v>
      </c>
      <c r="T336" s="1" t="s">
        <v>153</v>
      </c>
    </row>
    <row r="337" spans="1:20" x14ac:dyDescent="0.25">
      <c r="A337" s="1" t="s">
        <v>1376</v>
      </c>
      <c r="B337" s="2">
        <v>43024</v>
      </c>
      <c r="C337" s="2">
        <v>43026</v>
      </c>
      <c r="D337" s="1" t="s">
        <v>81</v>
      </c>
      <c r="E337" s="1" t="s">
        <v>547</v>
      </c>
      <c r="F337" s="1" t="s">
        <v>548</v>
      </c>
      <c r="G337" s="1" t="s">
        <v>84</v>
      </c>
      <c r="H337" s="1" t="s">
        <v>165</v>
      </c>
      <c r="I337" s="1" t="s">
        <v>114</v>
      </c>
      <c r="J337" s="1" t="s">
        <v>63</v>
      </c>
      <c r="K337" s="1" t="s">
        <v>557</v>
      </c>
      <c r="L337" s="1" t="s">
        <v>29</v>
      </c>
      <c r="M337" s="1" t="s">
        <v>53</v>
      </c>
      <c r="N337" s="1" t="s">
        <v>558</v>
      </c>
      <c r="O337">
        <v>547.29999999999995</v>
      </c>
      <c r="P337">
        <v>13</v>
      </c>
      <c r="Q337">
        <v>175.136</v>
      </c>
      <c r="R337" s="1" t="s">
        <v>4423</v>
      </c>
      <c r="S337">
        <v>2017</v>
      </c>
      <c r="T337" s="1" t="s">
        <v>45</v>
      </c>
    </row>
    <row r="338" spans="1:20" x14ac:dyDescent="0.25">
      <c r="A338" s="1" t="s">
        <v>1377</v>
      </c>
      <c r="B338" s="2">
        <v>43058</v>
      </c>
      <c r="C338" s="2">
        <v>43060</v>
      </c>
      <c r="D338" s="1" t="s">
        <v>21</v>
      </c>
      <c r="E338" s="1" t="s">
        <v>1378</v>
      </c>
      <c r="F338" s="1" t="s">
        <v>1379</v>
      </c>
      <c r="G338" s="1" t="s">
        <v>24</v>
      </c>
      <c r="H338" s="1" t="s">
        <v>1380</v>
      </c>
      <c r="I338" s="1" t="s">
        <v>86</v>
      </c>
      <c r="J338" s="1" t="s">
        <v>87</v>
      </c>
      <c r="K338" s="1" t="s">
        <v>392</v>
      </c>
      <c r="L338" s="1" t="s">
        <v>29</v>
      </c>
      <c r="M338" s="1" t="s">
        <v>53</v>
      </c>
      <c r="N338" s="1" t="s">
        <v>393</v>
      </c>
      <c r="O338">
        <v>15.992000000000001</v>
      </c>
      <c r="P338">
        <v>2</v>
      </c>
      <c r="Q338">
        <v>-13.993</v>
      </c>
      <c r="R338" s="1" t="s">
        <v>4423</v>
      </c>
      <c r="S338">
        <v>2017</v>
      </c>
      <c r="T338" s="1" t="s">
        <v>32</v>
      </c>
    </row>
    <row r="339" spans="1:20" x14ac:dyDescent="0.25">
      <c r="A339" s="1" t="s">
        <v>1381</v>
      </c>
      <c r="B339" s="2">
        <v>42498</v>
      </c>
      <c r="C339" s="2">
        <v>42503</v>
      </c>
      <c r="D339" s="1" t="s">
        <v>21</v>
      </c>
      <c r="E339" s="1" t="s">
        <v>1071</v>
      </c>
      <c r="F339" s="1" t="s">
        <v>1072</v>
      </c>
      <c r="G339" s="1" t="s">
        <v>84</v>
      </c>
      <c r="H339" s="1" t="s">
        <v>732</v>
      </c>
      <c r="I339" s="1" t="s">
        <v>192</v>
      </c>
      <c r="J339" s="1" t="s">
        <v>63</v>
      </c>
      <c r="K339" s="1" t="s">
        <v>1382</v>
      </c>
      <c r="L339" s="1" t="s">
        <v>29</v>
      </c>
      <c r="M339" s="1" t="s">
        <v>53</v>
      </c>
      <c r="N339" s="1" t="s">
        <v>1383</v>
      </c>
      <c r="O339">
        <v>211.96</v>
      </c>
      <c r="P339">
        <v>2</v>
      </c>
      <c r="Q339">
        <v>42.392000000000003</v>
      </c>
      <c r="R339" s="1" t="s">
        <v>4422</v>
      </c>
      <c r="S339">
        <v>2016</v>
      </c>
      <c r="T339" s="1" t="s">
        <v>153</v>
      </c>
    </row>
    <row r="340" spans="1:20" x14ac:dyDescent="0.25">
      <c r="A340" s="1" t="s">
        <v>1384</v>
      </c>
      <c r="B340" s="2">
        <v>41785</v>
      </c>
      <c r="C340" s="2">
        <v>41789</v>
      </c>
      <c r="D340" s="1" t="s">
        <v>37</v>
      </c>
      <c r="E340" s="1" t="s">
        <v>1385</v>
      </c>
      <c r="F340" s="1" t="s">
        <v>1386</v>
      </c>
      <c r="G340" s="1" t="s">
        <v>84</v>
      </c>
      <c r="H340" s="1" t="s">
        <v>49</v>
      </c>
      <c r="I340" s="1" t="s">
        <v>50</v>
      </c>
      <c r="J340" s="1" t="s">
        <v>51</v>
      </c>
      <c r="K340" s="1" t="s">
        <v>1371</v>
      </c>
      <c r="L340" s="1" t="s">
        <v>29</v>
      </c>
      <c r="M340" s="1" t="s">
        <v>30</v>
      </c>
      <c r="N340" s="1" t="s">
        <v>1372</v>
      </c>
      <c r="O340">
        <v>290.666</v>
      </c>
      <c r="P340">
        <v>2</v>
      </c>
      <c r="Q340">
        <v>27.3568</v>
      </c>
      <c r="R340" s="1" t="s">
        <v>4424</v>
      </c>
      <c r="S340">
        <v>2014</v>
      </c>
      <c r="T340" s="1" t="s">
        <v>153</v>
      </c>
    </row>
    <row r="341" spans="1:20" x14ac:dyDescent="0.25">
      <c r="A341" s="1" t="s">
        <v>1387</v>
      </c>
      <c r="B341" s="2">
        <v>42924</v>
      </c>
      <c r="C341" s="2">
        <v>42931</v>
      </c>
      <c r="D341" s="1" t="s">
        <v>37</v>
      </c>
      <c r="E341" s="1" t="s">
        <v>1388</v>
      </c>
      <c r="F341" s="1" t="s">
        <v>1389</v>
      </c>
      <c r="G341" s="1" t="s">
        <v>24</v>
      </c>
      <c r="H341" s="1" t="s">
        <v>1390</v>
      </c>
      <c r="I341" s="1" t="s">
        <v>184</v>
      </c>
      <c r="J341" s="1" t="s">
        <v>51</v>
      </c>
      <c r="K341" s="1" t="s">
        <v>1391</v>
      </c>
      <c r="L341" s="1" t="s">
        <v>29</v>
      </c>
      <c r="M341" s="1" t="s">
        <v>53</v>
      </c>
      <c r="N341" s="1" t="s">
        <v>1392</v>
      </c>
      <c r="O341">
        <v>198.46</v>
      </c>
      <c r="P341">
        <v>2</v>
      </c>
      <c r="Q341">
        <v>99.23</v>
      </c>
      <c r="R341" s="1" t="s">
        <v>4421</v>
      </c>
      <c r="S341">
        <v>2017</v>
      </c>
      <c r="T341" s="1" t="s">
        <v>66</v>
      </c>
    </row>
    <row r="342" spans="1:20" x14ac:dyDescent="0.25">
      <c r="A342" s="1" t="s">
        <v>1393</v>
      </c>
      <c r="B342" s="2">
        <v>42271</v>
      </c>
      <c r="C342" s="2">
        <v>42277</v>
      </c>
      <c r="D342" s="1" t="s">
        <v>37</v>
      </c>
      <c r="E342" s="1" t="s">
        <v>1394</v>
      </c>
      <c r="F342" s="1" t="s">
        <v>1395</v>
      </c>
      <c r="G342" s="1" t="s">
        <v>24</v>
      </c>
      <c r="H342" s="1" t="s">
        <v>1396</v>
      </c>
      <c r="I342" s="1" t="s">
        <v>1397</v>
      </c>
      <c r="J342" s="1" t="s">
        <v>27</v>
      </c>
      <c r="K342" s="1" t="s">
        <v>1081</v>
      </c>
      <c r="L342" s="1" t="s">
        <v>29</v>
      </c>
      <c r="M342" s="1" t="s">
        <v>34</v>
      </c>
      <c r="N342" s="1" t="s">
        <v>1082</v>
      </c>
      <c r="O342">
        <v>517.5</v>
      </c>
      <c r="P342">
        <v>6</v>
      </c>
      <c r="Q342">
        <v>155.25</v>
      </c>
      <c r="R342" s="1" t="s">
        <v>4426</v>
      </c>
      <c r="S342">
        <v>2015</v>
      </c>
      <c r="T342" s="1" t="s">
        <v>72</v>
      </c>
    </row>
    <row r="343" spans="1:20" x14ac:dyDescent="0.25">
      <c r="A343" s="1" t="s">
        <v>1398</v>
      </c>
      <c r="B343" s="2">
        <v>42907</v>
      </c>
      <c r="C343" s="2">
        <v>42911</v>
      </c>
      <c r="D343" s="1" t="s">
        <v>21</v>
      </c>
      <c r="E343" s="1" t="s">
        <v>634</v>
      </c>
      <c r="F343" s="1" t="s">
        <v>635</v>
      </c>
      <c r="G343" s="1" t="s">
        <v>24</v>
      </c>
      <c r="H343" s="1" t="s">
        <v>684</v>
      </c>
      <c r="I343" s="1" t="s">
        <v>223</v>
      </c>
      <c r="J343" s="1" t="s">
        <v>63</v>
      </c>
      <c r="K343" s="1" t="s">
        <v>1399</v>
      </c>
      <c r="L343" s="1" t="s">
        <v>29</v>
      </c>
      <c r="M343" s="1" t="s">
        <v>53</v>
      </c>
      <c r="N343" s="1" t="s">
        <v>1400</v>
      </c>
      <c r="O343">
        <v>17.920000000000002</v>
      </c>
      <c r="P343">
        <v>5</v>
      </c>
      <c r="Q343">
        <v>2.464</v>
      </c>
      <c r="R343" s="1" t="s">
        <v>4424</v>
      </c>
      <c r="S343">
        <v>2017</v>
      </c>
      <c r="T343" s="1" t="s">
        <v>55</v>
      </c>
    </row>
    <row r="344" spans="1:20" x14ac:dyDescent="0.25">
      <c r="A344" s="1" t="s">
        <v>1401</v>
      </c>
      <c r="B344" s="2">
        <v>42516</v>
      </c>
      <c r="C344" s="2">
        <v>42522</v>
      </c>
      <c r="D344" s="1" t="s">
        <v>37</v>
      </c>
      <c r="E344" s="1" t="s">
        <v>1402</v>
      </c>
      <c r="F344" s="1" t="s">
        <v>1403</v>
      </c>
      <c r="G344" s="1" t="s">
        <v>24</v>
      </c>
      <c r="H344" s="1" t="s">
        <v>184</v>
      </c>
      <c r="I344" s="1" t="s">
        <v>971</v>
      </c>
      <c r="J344" s="1" t="s">
        <v>63</v>
      </c>
      <c r="K344" s="1" t="s">
        <v>166</v>
      </c>
      <c r="L344" s="1" t="s">
        <v>29</v>
      </c>
      <c r="M344" s="1" t="s">
        <v>53</v>
      </c>
      <c r="N344" s="1" t="s">
        <v>167</v>
      </c>
      <c r="O344">
        <v>41.37</v>
      </c>
      <c r="P344">
        <v>3</v>
      </c>
      <c r="Q344">
        <v>17.375399999999999</v>
      </c>
      <c r="R344" s="1" t="s">
        <v>4426</v>
      </c>
      <c r="S344">
        <v>2016</v>
      </c>
      <c r="T344" s="1" t="s">
        <v>153</v>
      </c>
    </row>
    <row r="345" spans="1:20" x14ac:dyDescent="0.25">
      <c r="A345" s="1" t="s">
        <v>1404</v>
      </c>
      <c r="B345" s="2">
        <v>41771</v>
      </c>
      <c r="C345" s="2">
        <v>41774</v>
      </c>
      <c r="D345" s="1" t="s">
        <v>81</v>
      </c>
      <c r="E345" s="1" t="s">
        <v>1046</v>
      </c>
      <c r="F345" s="1" t="s">
        <v>1047</v>
      </c>
      <c r="G345" s="1" t="s">
        <v>24</v>
      </c>
      <c r="H345" s="1" t="s">
        <v>896</v>
      </c>
      <c r="I345" s="1" t="s">
        <v>230</v>
      </c>
      <c r="J345" s="1" t="s">
        <v>87</v>
      </c>
      <c r="K345" s="1" t="s">
        <v>641</v>
      </c>
      <c r="L345" s="1" t="s">
        <v>29</v>
      </c>
      <c r="M345" s="1" t="s">
        <v>53</v>
      </c>
      <c r="N345" s="1" t="s">
        <v>642</v>
      </c>
      <c r="O345">
        <v>34.79</v>
      </c>
      <c r="P345">
        <v>7</v>
      </c>
      <c r="Q345">
        <v>10.7849</v>
      </c>
      <c r="R345" s="1" t="s">
        <v>4420</v>
      </c>
      <c r="S345">
        <v>2014</v>
      </c>
      <c r="T345" s="1" t="s">
        <v>153</v>
      </c>
    </row>
    <row r="346" spans="1:20" x14ac:dyDescent="0.25">
      <c r="A346" s="1" t="s">
        <v>1405</v>
      </c>
      <c r="B346" s="2">
        <v>42014</v>
      </c>
      <c r="C346" s="2">
        <v>42019</v>
      </c>
      <c r="D346" s="1" t="s">
        <v>37</v>
      </c>
      <c r="E346" s="1" t="s">
        <v>1406</v>
      </c>
      <c r="F346" s="1" t="s">
        <v>1407</v>
      </c>
      <c r="G346" s="1" t="s">
        <v>24</v>
      </c>
      <c r="H346" s="1" t="s">
        <v>165</v>
      </c>
      <c r="I346" s="1" t="s">
        <v>114</v>
      </c>
      <c r="J346" s="1" t="s">
        <v>63</v>
      </c>
      <c r="K346" s="1" t="s">
        <v>512</v>
      </c>
      <c r="L346" s="1" t="s">
        <v>29</v>
      </c>
      <c r="M346" s="1" t="s">
        <v>43</v>
      </c>
      <c r="N346" s="1" t="s">
        <v>513</v>
      </c>
      <c r="O346">
        <v>1018.104</v>
      </c>
      <c r="P346">
        <v>4</v>
      </c>
      <c r="Q346">
        <v>-373.3048</v>
      </c>
      <c r="R346" s="1" t="s">
        <v>4422</v>
      </c>
      <c r="S346">
        <v>2015</v>
      </c>
      <c r="T346" s="1" t="s">
        <v>161</v>
      </c>
    </row>
    <row r="347" spans="1:20" x14ac:dyDescent="0.25">
      <c r="A347" s="1" t="s">
        <v>1408</v>
      </c>
      <c r="B347" s="2">
        <v>42264</v>
      </c>
      <c r="C347" s="2">
        <v>42268</v>
      </c>
      <c r="D347" s="1" t="s">
        <v>37</v>
      </c>
      <c r="E347" s="1" t="s">
        <v>644</v>
      </c>
      <c r="F347" s="1" t="s">
        <v>645</v>
      </c>
      <c r="G347" s="1" t="s">
        <v>84</v>
      </c>
      <c r="H347" s="1" t="s">
        <v>95</v>
      </c>
      <c r="I347" s="1" t="s">
        <v>86</v>
      </c>
      <c r="J347" s="1" t="s">
        <v>87</v>
      </c>
      <c r="K347" s="1" t="s">
        <v>1140</v>
      </c>
      <c r="L347" s="1" t="s">
        <v>29</v>
      </c>
      <c r="M347" s="1" t="s">
        <v>53</v>
      </c>
      <c r="N347" s="1" t="s">
        <v>1141</v>
      </c>
      <c r="O347">
        <v>21.936</v>
      </c>
      <c r="P347">
        <v>2</v>
      </c>
      <c r="Q347">
        <v>-10.419600000000001</v>
      </c>
      <c r="R347" s="1" t="s">
        <v>4424</v>
      </c>
      <c r="S347">
        <v>2015</v>
      </c>
      <c r="T347" s="1" t="s">
        <v>72</v>
      </c>
    </row>
    <row r="348" spans="1:20" x14ac:dyDescent="0.25">
      <c r="A348" s="1" t="s">
        <v>1409</v>
      </c>
      <c r="B348" s="2">
        <v>41889</v>
      </c>
      <c r="C348" s="2">
        <v>41895</v>
      </c>
      <c r="D348" s="1" t="s">
        <v>37</v>
      </c>
      <c r="E348" s="1" t="s">
        <v>1410</v>
      </c>
      <c r="F348" s="1" t="s">
        <v>1411</v>
      </c>
      <c r="G348" s="1" t="s">
        <v>84</v>
      </c>
      <c r="H348" s="1" t="s">
        <v>61</v>
      </c>
      <c r="I348" s="1" t="s">
        <v>62</v>
      </c>
      <c r="J348" s="1" t="s">
        <v>63</v>
      </c>
      <c r="K348" s="1" t="s">
        <v>1412</v>
      </c>
      <c r="L348" s="1" t="s">
        <v>29</v>
      </c>
      <c r="M348" s="1" t="s">
        <v>53</v>
      </c>
      <c r="N348" s="1" t="s">
        <v>1413</v>
      </c>
      <c r="O348">
        <v>42.368000000000002</v>
      </c>
      <c r="P348">
        <v>2</v>
      </c>
      <c r="Q348">
        <v>8.4735999999999994</v>
      </c>
      <c r="R348" s="1" t="s">
        <v>4426</v>
      </c>
      <c r="S348">
        <v>2014</v>
      </c>
      <c r="T348" s="1" t="s">
        <v>72</v>
      </c>
    </row>
    <row r="349" spans="1:20" x14ac:dyDescent="0.25">
      <c r="A349" s="1" t="s">
        <v>1414</v>
      </c>
      <c r="B349" s="2">
        <v>42681</v>
      </c>
      <c r="C349" s="2">
        <v>42686</v>
      </c>
      <c r="D349" s="1" t="s">
        <v>37</v>
      </c>
      <c r="E349" s="1" t="s">
        <v>1059</v>
      </c>
      <c r="F349" s="1" t="s">
        <v>1060</v>
      </c>
      <c r="G349" s="1" t="s">
        <v>84</v>
      </c>
      <c r="H349" s="1" t="s">
        <v>320</v>
      </c>
      <c r="I349" s="1" t="s">
        <v>50</v>
      </c>
      <c r="J349" s="1" t="s">
        <v>51</v>
      </c>
      <c r="K349" s="1" t="s">
        <v>793</v>
      </c>
      <c r="L349" s="1" t="s">
        <v>29</v>
      </c>
      <c r="M349" s="1" t="s">
        <v>53</v>
      </c>
      <c r="N349" s="1" t="s">
        <v>794</v>
      </c>
      <c r="O349">
        <v>14.82</v>
      </c>
      <c r="P349">
        <v>3</v>
      </c>
      <c r="Q349">
        <v>6.2244000000000002</v>
      </c>
      <c r="R349" s="1" t="s">
        <v>4422</v>
      </c>
      <c r="S349">
        <v>2016</v>
      </c>
      <c r="T349" s="1" t="s">
        <v>32</v>
      </c>
    </row>
    <row r="350" spans="1:20" x14ac:dyDescent="0.25">
      <c r="A350" s="1" t="s">
        <v>1415</v>
      </c>
      <c r="B350" s="2">
        <v>43079</v>
      </c>
      <c r="C350" s="2">
        <v>43081</v>
      </c>
      <c r="D350" s="1" t="s">
        <v>81</v>
      </c>
      <c r="E350" s="1" t="s">
        <v>1416</v>
      </c>
      <c r="F350" s="1" t="s">
        <v>1417</v>
      </c>
      <c r="G350" s="1" t="s">
        <v>24</v>
      </c>
      <c r="H350" s="1" t="s">
        <v>61</v>
      </c>
      <c r="I350" s="1" t="s">
        <v>62</v>
      </c>
      <c r="J350" s="1" t="s">
        <v>63</v>
      </c>
      <c r="K350" s="1" t="s">
        <v>781</v>
      </c>
      <c r="L350" s="1" t="s">
        <v>29</v>
      </c>
      <c r="M350" s="1" t="s">
        <v>53</v>
      </c>
      <c r="N350" s="1" t="s">
        <v>782</v>
      </c>
      <c r="O350">
        <v>310.88</v>
      </c>
      <c r="P350">
        <v>2</v>
      </c>
      <c r="Q350">
        <v>23.315999999999999</v>
      </c>
      <c r="R350" s="1" t="s">
        <v>4423</v>
      </c>
      <c r="S350">
        <v>2017</v>
      </c>
      <c r="T350" s="1" t="s">
        <v>90</v>
      </c>
    </row>
    <row r="351" spans="1:20" x14ac:dyDescent="0.25">
      <c r="A351" s="1" t="s">
        <v>1418</v>
      </c>
      <c r="B351" s="2">
        <v>41867</v>
      </c>
      <c r="C351" s="2">
        <v>41871</v>
      </c>
      <c r="D351" s="1" t="s">
        <v>37</v>
      </c>
      <c r="E351" s="1" t="s">
        <v>1419</v>
      </c>
      <c r="F351" s="1" t="s">
        <v>1420</v>
      </c>
      <c r="G351" s="1" t="s">
        <v>24</v>
      </c>
      <c r="H351" s="1" t="s">
        <v>61</v>
      </c>
      <c r="I351" s="1" t="s">
        <v>62</v>
      </c>
      <c r="J351" s="1" t="s">
        <v>63</v>
      </c>
      <c r="K351" s="1" t="s">
        <v>56</v>
      </c>
      <c r="L351" s="1" t="s">
        <v>29</v>
      </c>
      <c r="M351" s="1" t="s">
        <v>43</v>
      </c>
      <c r="N351" s="1" t="s">
        <v>57</v>
      </c>
      <c r="O351">
        <v>853.09199999999998</v>
      </c>
      <c r="P351">
        <v>6</v>
      </c>
      <c r="Q351">
        <v>-227.49119999999999</v>
      </c>
      <c r="R351" s="1" t="s">
        <v>4424</v>
      </c>
      <c r="S351">
        <v>2014</v>
      </c>
      <c r="T351" s="1" t="s">
        <v>245</v>
      </c>
    </row>
    <row r="352" spans="1:20" x14ac:dyDescent="0.25">
      <c r="A352" s="1" t="s">
        <v>1421</v>
      </c>
      <c r="B352" s="2">
        <v>42443</v>
      </c>
      <c r="C352" s="2">
        <v>42448</v>
      </c>
      <c r="D352" s="1" t="s">
        <v>37</v>
      </c>
      <c r="E352" s="1" t="s">
        <v>1422</v>
      </c>
      <c r="F352" s="1" t="s">
        <v>1423</v>
      </c>
      <c r="G352" s="1" t="s">
        <v>24</v>
      </c>
      <c r="H352" s="1" t="s">
        <v>339</v>
      </c>
      <c r="I352" s="1" t="s">
        <v>223</v>
      </c>
      <c r="J352" s="1" t="s">
        <v>63</v>
      </c>
      <c r="K352" s="1" t="s">
        <v>611</v>
      </c>
      <c r="L352" s="1" t="s">
        <v>29</v>
      </c>
      <c r="M352" s="1" t="s">
        <v>53</v>
      </c>
      <c r="N352" s="1" t="s">
        <v>612</v>
      </c>
      <c r="O352">
        <v>21.88</v>
      </c>
      <c r="P352">
        <v>5</v>
      </c>
      <c r="Q352">
        <v>6.2904999999999998</v>
      </c>
      <c r="R352" s="1" t="s">
        <v>4422</v>
      </c>
      <c r="S352">
        <v>2016</v>
      </c>
      <c r="T352" s="1" t="s">
        <v>187</v>
      </c>
    </row>
    <row r="353" spans="1:20" x14ac:dyDescent="0.25">
      <c r="A353" s="1" t="s">
        <v>1424</v>
      </c>
      <c r="B353" s="2">
        <v>41793</v>
      </c>
      <c r="C353" s="2">
        <v>41797</v>
      </c>
      <c r="D353" s="1" t="s">
        <v>21</v>
      </c>
      <c r="E353" s="1" t="s">
        <v>189</v>
      </c>
      <c r="F353" s="1" t="s">
        <v>190</v>
      </c>
      <c r="G353" s="1" t="s">
        <v>24</v>
      </c>
      <c r="H353" s="1" t="s">
        <v>183</v>
      </c>
      <c r="I353" s="1" t="s">
        <v>184</v>
      </c>
      <c r="J353" s="1" t="s">
        <v>51</v>
      </c>
      <c r="K353" s="1" t="s">
        <v>1053</v>
      </c>
      <c r="L353" s="1" t="s">
        <v>29</v>
      </c>
      <c r="M353" s="1" t="s">
        <v>43</v>
      </c>
      <c r="N353" s="1" t="s">
        <v>1054</v>
      </c>
      <c r="O353">
        <v>515.88</v>
      </c>
      <c r="P353">
        <v>6</v>
      </c>
      <c r="Q353">
        <v>113.4936</v>
      </c>
      <c r="R353" s="1" t="s">
        <v>4424</v>
      </c>
      <c r="S353">
        <v>2014</v>
      </c>
      <c r="T353" s="1" t="s">
        <v>55</v>
      </c>
    </row>
    <row r="354" spans="1:20" x14ac:dyDescent="0.25">
      <c r="A354" s="1" t="s">
        <v>1425</v>
      </c>
      <c r="B354" s="2">
        <v>42198</v>
      </c>
      <c r="C354" s="2">
        <v>42200</v>
      </c>
      <c r="D354" s="1" t="s">
        <v>21</v>
      </c>
      <c r="E354" s="1" t="s">
        <v>1426</v>
      </c>
      <c r="F354" s="1" t="s">
        <v>1427</v>
      </c>
      <c r="G354" s="1" t="s">
        <v>24</v>
      </c>
      <c r="H354" s="1" t="s">
        <v>165</v>
      </c>
      <c r="I354" s="1" t="s">
        <v>114</v>
      </c>
      <c r="J354" s="1" t="s">
        <v>63</v>
      </c>
      <c r="K354" s="1" t="s">
        <v>571</v>
      </c>
      <c r="L354" s="1" t="s">
        <v>29</v>
      </c>
      <c r="M354" s="1" t="s">
        <v>34</v>
      </c>
      <c r="N354" s="1" t="s">
        <v>572</v>
      </c>
      <c r="O354">
        <v>1931.04</v>
      </c>
      <c r="P354">
        <v>9</v>
      </c>
      <c r="Q354">
        <v>321.83999999999997</v>
      </c>
      <c r="R354" s="1" t="s">
        <v>4423</v>
      </c>
      <c r="S354">
        <v>2015</v>
      </c>
      <c r="T354" s="1" t="s">
        <v>66</v>
      </c>
    </row>
    <row r="355" spans="1:20" x14ac:dyDescent="0.25">
      <c r="A355" s="1" t="s">
        <v>1428</v>
      </c>
      <c r="B355" s="2">
        <v>43038</v>
      </c>
      <c r="C355" s="2">
        <v>43044</v>
      </c>
      <c r="D355" s="1" t="s">
        <v>37</v>
      </c>
      <c r="E355" s="1" t="s">
        <v>1429</v>
      </c>
      <c r="F355" s="1" t="s">
        <v>1430</v>
      </c>
      <c r="G355" s="1" t="s">
        <v>24</v>
      </c>
      <c r="H355" s="1" t="s">
        <v>320</v>
      </c>
      <c r="I355" s="1" t="s">
        <v>50</v>
      </c>
      <c r="J355" s="1" t="s">
        <v>51</v>
      </c>
      <c r="K355" s="1" t="s">
        <v>108</v>
      </c>
      <c r="L355" s="1" t="s">
        <v>29</v>
      </c>
      <c r="M355" s="1" t="s">
        <v>34</v>
      </c>
      <c r="N355" s="1" t="s">
        <v>109</v>
      </c>
      <c r="O355">
        <v>71.992000000000004</v>
      </c>
      <c r="P355">
        <v>1</v>
      </c>
      <c r="Q355">
        <v>-0.89990000000000003</v>
      </c>
      <c r="R355" s="1" t="s">
        <v>4426</v>
      </c>
      <c r="S355">
        <v>2017</v>
      </c>
      <c r="T355" s="1" t="s">
        <v>45</v>
      </c>
    </row>
    <row r="356" spans="1:20" x14ac:dyDescent="0.25">
      <c r="A356" s="1" t="s">
        <v>1431</v>
      </c>
      <c r="B356" s="2">
        <v>42986</v>
      </c>
      <c r="C356" s="2">
        <v>42991</v>
      </c>
      <c r="D356" s="1" t="s">
        <v>21</v>
      </c>
      <c r="E356" s="1" t="s">
        <v>1432</v>
      </c>
      <c r="F356" s="1" t="s">
        <v>1433</v>
      </c>
      <c r="G356" s="1" t="s">
        <v>24</v>
      </c>
      <c r="H356" s="1" t="s">
        <v>125</v>
      </c>
      <c r="I356" s="1" t="s">
        <v>126</v>
      </c>
      <c r="J356" s="1" t="s">
        <v>87</v>
      </c>
      <c r="K356" s="1" t="s">
        <v>258</v>
      </c>
      <c r="L356" s="1" t="s">
        <v>29</v>
      </c>
      <c r="M356" s="1" t="s">
        <v>43</v>
      </c>
      <c r="N356" s="1" t="s">
        <v>259</v>
      </c>
      <c r="O356">
        <v>765.625</v>
      </c>
      <c r="P356">
        <v>7</v>
      </c>
      <c r="Q356">
        <v>-566.5625</v>
      </c>
      <c r="R356" s="1" t="s">
        <v>4422</v>
      </c>
      <c r="S356">
        <v>2017</v>
      </c>
      <c r="T356" s="1" t="s">
        <v>72</v>
      </c>
    </row>
    <row r="357" spans="1:20" x14ac:dyDescent="0.25">
      <c r="A357" s="1" t="s">
        <v>1434</v>
      </c>
      <c r="B357" s="2">
        <v>43015</v>
      </c>
      <c r="C357" s="2">
        <v>43021</v>
      </c>
      <c r="D357" s="1" t="s">
        <v>37</v>
      </c>
      <c r="E357" s="1" t="s">
        <v>1435</v>
      </c>
      <c r="F357" s="1" t="s">
        <v>1436</v>
      </c>
      <c r="G357" s="1" t="s">
        <v>24</v>
      </c>
      <c r="H357" s="1" t="s">
        <v>320</v>
      </c>
      <c r="I357" s="1" t="s">
        <v>50</v>
      </c>
      <c r="J357" s="1" t="s">
        <v>51</v>
      </c>
      <c r="K357" s="1" t="s">
        <v>1437</v>
      </c>
      <c r="L357" s="1" t="s">
        <v>29</v>
      </c>
      <c r="M357" s="1" t="s">
        <v>30</v>
      </c>
      <c r="N357" s="1" t="s">
        <v>1438</v>
      </c>
      <c r="O357">
        <v>307.666</v>
      </c>
      <c r="P357">
        <v>2</v>
      </c>
      <c r="Q357">
        <v>-14.478400000000001</v>
      </c>
      <c r="R357" s="1" t="s">
        <v>4426</v>
      </c>
      <c r="S357">
        <v>2017</v>
      </c>
      <c r="T357" s="1" t="s">
        <v>45</v>
      </c>
    </row>
    <row r="358" spans="1:20" x14ac:dyDescent="0.25">
      <c r="A358" s="1" t="s">
        <v>1439</v>
      </c>
      <c r="B358" s="2">
        <v>42509</v>
      </c>
      <c r="C358" s="2">
        <v>42514</v>
      </c>
      <c r="D358" s="1" t="s">
        <v>37</v>
      </c>
      <c r="E358" s="1" t="s">
        <v>1440</v>
      </c>
      <c r="F358" s="1" t="s">
        <v>1441</v>
      </c>
      <c r="G358" s="1" t="s">
        <v>24</v>
      </c>
      <c r="H358" s="1" t="s">
        <v>165</v>
      </c>
      <c r="I358" s="1" t="s">
        <v>114</v>
      </c>
      <c r="J358" s="1" t="s">
        <v>63</v>
      </c>
      <c r="K358" s="1" t="s">
        <v>1442</v>
      </c>
      <c r="L358" s="1" t="s">
        <v>29</v>
      </c>
      <c r="M358" s="1" t="s">
        <v>53</v>
      </c>
      <c r="N358" s="1" t="s">
        <v>1443</v>
      </c>
      <c r="O358">
        <v>35.92</v>
      </c>
      <c r="P358">
        <v>4</v>
      </c>
      <c r="Q358">
        <v>15.086399999999999</v>
      </c>
      <c r="R358" s="1" t="s">
        <v>4422</v>
      </c>
      <c r="S358">
        <v>2016</v>
      </c>
      <c r="T358" s="1" t="s">
        <v>153</v>
      </c>
    </row>
    <row r="359" spans="1:20" x14ac:dyDescent="0.25">
      <c r="A359" s="1" t="s">
        <v>1439</v>
      </c>
      <c r="B359" s="2">
        <v>42509</v>
      </c>
      <c r="C359" s="2">
        <v>42514</v>
      </c>
      <c r="D359" s="1" t="s">
        <v>37</v>
      </c>
      <c r="E359" s="1" t="s">
        <v>1440</v>
      </c>
      <c r="F359" s="1" t="s">
        <v>1441</v>
      </c>
      <c r="G359" s="1" t="s">
        <v>24</v>
      </c>
      <c r="H359" s="1" t="s">
        <v>165</v>
      </c>
      <c r="I359" s="1" t="s">
        <v>114</v>
      </c>
      <c r="J359" s="1" t="s">
        <v>63</v>
      </c>
      <c r="K359" s="1" t="s">
        <v>641</v>
      </c>
      <c r="L359" s="1" t="s">
        <v>29</v>
      </c>
      <c r="M359" s="1" t="s">
        <v>53</v>
      </c>
      <c r="N359" s="1" t="s">
        <v>642</v>
      </c>
      <c r="O359">
        <v>39.76</v>
      </c>
      <c r="P359">
        <v>8</v>
      </c>
      <c r="Q359">
        <v>12.3256</v>
      </c>
      <c r="R359" s="1" t="s">
        <v>4422</v>
      </c>
      <c r="S359">
        <v>2016</v>
      </c>
      <c r="T359" s="1" t="s">
        <v>153</v>
      </c>
    </row>
    <row r="360" spans="1:20" x14ac:dyDescent="0.25">
      <c r="A360" s="1" t="s">
        <v>1444</v>
      </c>
      <c r="B360" s="2">
        <v>42358</v>
      </c>
      <c r="C360" s="2">
        <v>42363</v>
      </c>
      <c r="D360" s="1" t="s">
        <v>37</v>
      </c>
      <c r="E360" s="1" t="s">
        <v>1445</v>
      </c>
      <c r="F360" s="1" t="s">
        <v>1446</v>
      </c>
      <c r="G360" s="1" t="s">
        <v>24</v>
      </c>
      <c r="H360" s="1" t="s">
        <v>125</v>
      </c>
      <c r="I360" s="1" t="s">
        <v>126</v>
      </c>
      <c r="J360" s="1" t="s">
        <v>87</v>
      </c>
      <c r="K360" s="1" t="s">
        <v>1447</v>
      </c>
      <c r="L360" s="1" t="s">
        <v>29</v>
      </c>
      <c r="M360" s="1" t="s">
        <v>30</v>
      </c>
      <c r="N360" s="1" t="s">
        <v>1448</v>
      </c>
      <c r="O360">
        <v>359.05799999999999</v>
      </c>
      <c r="P360">
        <v>3</v>
      </c>
      <c r="Q360">
        <v>-71.811599999999999</v>
      </c>
      <c r="R360" s="1" t="s">
        <v>4422</v>
      </c>
      <c r="S360">
        <v>2015</v>
      </c>
      <c r="T360" s="1" t="s">
        <v>90</v>
      </c>
    </row>
    <row r="361" spans="1:20" x14ac:dyDescent="0.25">
      <c r="A361" s="1" t="s">
        <v>1449</v>
      </c>
      <c r="B361" s="2">
        <v>42854</v>
      </c>
      <c r="C361" s="2">
        <v>42859</v>
      </c>
      <c r="D361" s="1" t="s">
        <v>21</v>
      </c>
      <c r="E361" s="1" t="s">
        <v>1450</v>
      </c>
      <c r="F361" s="1" t="s">
        <v>1451</v>
      </c>
      <c r="G361" s="1" t="s">
        <v>84</v>
      </c>
      <c r="H361" s="1" t="s">
        <v>274</v>
      </c>
      <c r="I361" s="1" t="s">
        <v>223</v>
      </c>
      <c r="J361" s="1" t="s">
        <v>63</v>
      </c>
      <c r="K361" s="1" t="s">
        <v>1452</v>
      </c>
      <c r="L361" s="1" t="s">
        <v>29</v>
      </c>
      <c r="M361" s="1" t="s">
        <v>43</v>
      </c>
      <c r="N361" s="1" t="s">
        <v>1453</v>
      </c>
      <c r="O361">
        <v>1048.3499999999999</v>
      </c>
      <c r="P361">
        <v>5</v>
      </c>
      <c r="Q361">
        <v>-69.89</v>
      </c>
      <c r="R361" s="1" t="s">
        <v>4422</v>
      </c>
      <c r="S361">
        <v>2017</v>
      </c>
      <c r="T361" s="1" t="s">
        <v>107</v>
      </c>
    </row>
    <row r="362" spans="1:20" x14ac:dyDescent="0.25">
      <c r="A362" s="1" t="s">
        <v>1454</v>
      </c>
      <c r="B362" s="2">
        <v>43038</v>
      </c>
      <c r="C362" s="2">
        <v>43042</v>
      </c>
      <c r="D362" s="1" t="s">
        <v>37</v>
      </c>
      <c r="E362" s="1" t="s">
        <v>1363</v>
      </c>
      <c r="F362" s="1" t="s">
        <v>1364</v>
      </c>
      <c r="G362" s="1" t="s">
        <v>24</v>
      </c>
      <c r="H362" s="1" t="s">
        <v>61</v>
      </c>
      <c r="I362" s="1" t="s">
        <v>62</v>
      </c>
      <c r="J362" s="1" t="s">
        <v>63</v>
      </c>
      <c r="K362" s="1" t="s">
        <v>1399</v>
      </c>
      <c r="L362" s="1" t="s">
        <v>29</v>
      </c>
      <c r="M362" s="1" t="s">
        <v>53</v>
      </c>
      <c r="N362" s="1" t="s">
        <v>1400</v>
      </c>
      <c r="O362">
        <v>7.1680000000000001</v>
      </c>
      <c r="P362">
        <v>2</v>
      </c>
      <c r="Q362">
        <v>0.98560000000000003</v>
      </c>
      <c r="R362" s="1" t="s">
        <v>4424</v>
      </c>
      <c r="S362">
        <v>2017</v>
      </c>
      <c r="T362" s="1" t="s">
        <v>45</v>
      </c>
    </row>
    <row r="363" spans="1:20" x14ac:dyDescent="0.25">
      <c r="A363" s="1" t="s">
        <v>1455</v>
      </c>
      <c r="B363" s="2">
        <v>42330</v>
      </c>
      <c r="C363" s="2">
        <v>42335</v>
      </c>
      <c r="D363" s="1" t="s">
        <v>37</v>
      </c>
      <c r="E363" s="1" t="s">
        <v>650</v>
      </c>
      <c r="F363" s="1" t="s">
        <v>651</v>
      </c>
      <c r="G363" s="1" t="s">
        <v>94</v>
      </c>
      <c r="H363" s="1" t="s">
        <v>237</v>
      </c>
      <c r="I363" s="1" t="s">
        <v>86</v>
      </c>
      <c r="J363" s="1" t="s">
        <v>87</v>
      </c>
      <c r="K363" s="1" t="s">
        <v>1456</v>
      </c>
      <c r="L363" s="1" t="s">
        <v>29</v>
      </c>
      <c r="M363" s="1" t="s">
        <v>43</v>
      </c>
      <c r="N363" s="1" t="s">
        <v>1457</v>
      </c>
      <c r="O363">
        <v>206.96199999999999</v>
      </c>
      <c r="P363">
        <v>2</v>
      </c>
      <c r="Q363">
        <v>-32.522599999999997</v>
      </c>
      <c r="R363" s="1" t="s">
        <v>4422</v>
      </c>
      <c r="S363">
        <v>2015</v>
      </c>
      <c r="T363" s="1" t="s">
        <v>32</v>
      </c>
    </row>
    <row r="364" spans="1:20" x14ac:dyDescent="0.25">
      <c r="A364" s="1" t="s">
        <v>1458</v>
      </c>
      <c r="B364" s="2">
        <v>43022</v>
      </c>
      <c r="C364" s="2">
        <v>43025</v>
      </c>
      <c r="D364" s="1" t="s">
        <v>81</v>
      </c>
      <c r="E364" s="1" t="s">
        <v>1459</v>
      </c>
      <c r="F364" s="1" t="s">
        <v>1460</v>
      </c>
      <c r="G364" s="1" t="s">
        <v>24</v>
      </c>
      <c r="H364" s="1" t="s">
        <v>1461</v>
      </c>
      <c r="I364" s="1" t="s">
        <v>50</v>
      </c>
      <c r="J364" s="1" t="s">
        <v>51</v>
      </c>
      <c r="K364" s="1" t="s">
        <v>371</v>
      </c>
      <c r="L364" s="1" t="s">
        <v>29</v>
      </c>
      <c r="M364" s="1" t="s">
        <v>53</v>
      </c>
      <c r="N364" s="1" t="s">
        <v>372</v>
      </c>
      <c r="O364">
        <v>9.4600000000000009</v>
      </c>
      <c r="P364">
        <v>2</v>
      </c>
      <c r="Q364">
        <v>3.6894</v>
      </c>
      <c r="R364" s="1" t="s">
        <v>4420</v>
      </c>
      <c r="S364">
        <v>2017</v>
      </c>
      <c r="T364" s="1" t="s">
        <v>45</v>
      </c>
    </row>
    <row r="365" spans="1:20" x14ac:dyDescent="0.25">
      <c r="A365" s="1" t="s">
        <v>1462</v>
      </c>
      <c r="B365" s="2">
        <v>42252</v>
      </c>
      <c r="C365" s="2">
        <v>42256</v>
      </c>
      <c r="D365" s="1" t="s">
        <v>37</v>
      </c>
      <c r="E365" s="1" t="s">
        <v>1463</v>
      </c>
      <c r="F365" s="1" t="s">
        <v>1464</v>
      </c>
      <c r="G365" s="1" t="s">
        <v>24</v>
      </c>
      <c r="H365" s="1" t="s">
        <v>630</v>
      </c>
      <c r="I365" s="1" t="s">
        <v>50</v>
      </c>
      <c r="J365" s="1" t="s">
        <v>51</v>
      </c>
      <c r="K365" s="1" t="s">
        <v>1465</v>
      </c>
      <c r="L365" s="1" t="s">
        <v>29</v>
      </c>
      <c r="M365" s="1" t="s">
        <v>30</v>
      </c>
      <c r="N365" s="1" t="s">
        <v>1466</v>
      </c>
      <c r="O365">
        <v>411.33199999999999</v>
      </c>
      <c r="P365">
        <v>4</v>
      </c>
      <c r="Q365">
        <v>-4.8391999999999999</v>
      </c>
      <c r="R365" s="1" t="s">
        <v>4424</v>
      </c>
      <c r="S365">
        <v>2015</v>
      </c>
      <c r="T365" s="1" t="s">
        <v>72</v>
      </c>
    </row>
    <row r="366" spans="1:20" x14ac:dyDescent="0.25">
      <c r="A366" s="1" t="s">
        <v>1462</v>
      </c>
      <c r="B366" s="2">
        <v>42252</v>
      </c>
      <c r="C366" s="2">
        <v>42256</v>
      </c>
      <c r="D366" s="1" t="s">
        <v>37</v>
      </c>
      <c r="E366" s="1" t="s">
        <v>1463</v>
      </c>
      <c r="F366" s="1" t="s">
        <v>1464</v>
      </c>
      <c r="G366" s="1" t="s">
        <v>24</v>
      </c>
      <c r="H366" s="1" t="s">
        <v>630</v>
      </c>
      <c r="I366" s="1" t="s">
        <v>50</v>
      </c>
      <c r="J366" s="1" t="s">
        <v>51</v>
      </c>
      <c r="K366" s="1" t="s">
        <v>1467</v>
      </c>
      <c r="L366" s="1" t="s">
        <v>29</v>
      </c>
      <c r="M366" s="1" t="s">
        <v>30</v>
      </c>
      <c r="N366" s="1" t="s">
        <v>1468</v>
      </c>
      <c r="O366">
        <v>293.19900000000001</v>
      </c>
      <c r="P366">
        <v>3</v>
      </c>
      <c r="Q366">
        <v>-20.696400000000001</v>
      </c>
      <c r="R366" s="1" t="s">
        <v>4424</v>
      </c>
      <c r="S366">
        <v>2015</v>
      </c>
      <c r="T366" s="1" t="s">
        <v>72</v>
      </c>
    </row>
    <row r="367" spans="1:20" x14ac:dyDescent="0.25">
      <c r="A367" s="1" t="s">
        <v>1469</v>
      </c>
      <c r="B367" s="2">
        <v>42586</v>
      </c>
      <c r="C367" s="2">
        <v>42590</v>
      </c>
      <c r="D367" s="1" t="s">
        <v>37</v>
      </c>
      <c r="E367" s="1" t="s">
        <v>1470</v>
      </c>
      <c r="F367" s="1" t="s">
        <v>1471</v>
      </c>
      <c r="G367" s="1" t="s">
        <v>94</v>
      </c>
      <c r="H367" s="1" t="s">
        <v>1472</v>
      </c>
      <c r="I367" s="1" t="s">
        <v>707</v>
      </c>
      <c r="J367" s="1" t="s">
        <v>27</v>
      </c>
      <c r="K367" s="1" t="s">
        <v>1473</v>
      </c>
      <c r="L367" s="1" t="s">
        <v>29</v>
      </c>
      <c r="M367" s="1" t="s">
        <v>53</v>
      </c>
      <c r="N367" s="1" t="s">
        <v>1474</v>
      </c>
      <c r="O367">
        <v>109.8</v>
      </c>
      <c r="P367">
        <v>9</v>
      </c>
      <c r="Q367">
        <v>46.116</v>
      </c>
      <c r="R367" s="1" t="s">
        <v>4424</v>
      </c>
      <c r="S367">
        <v>2016</v>
      </c>
      <c r="T367" s="1" t="s">
        <v>245</v>
      </c>
    </row>
    <row r="368" spans="1:20" x14ac:dyDescent="0.25">
      <c r="A368" s="1" t="s">
        <v>1475</v>
      </c>
      <c r="B368" s="2">
        <v>41974</v>
      </c>
      <c r="C368" s="2">
        <v>41976</v>
      </c>
      <c r="D368" s="1" t="s">
        <v>81</v>
      </c>
      <c r="E368" s="1" t="s">
        <v>682</v>
      </c>
      <c r="F368" s="1" t="s">
        <v>683</v>
      </c>
      <c r="G368" s="1" t="s">
        <v>24</v>
      </c>
      <c r="H368" s="1" t="s">
        <v>1476</v>
      </c>
      <c r="I368" s="1" t="s">
        <v>230</v>
      </c>
      <c r="J368" s="1" t="s">
        <v>87</v>
      </c>
      <c r="K368" s="1" t="s">
        <v>1477</v>
      </c>
      <c r="L368" s="1" t="s">
        <v>29</v>
      </c>
      <c r="M368" s="1" t="s">
        <v>34</v>
      </c>
      <c r="N368" s="1" t="s">
        <v>1478</v>
      </c>
      <c r="O368">
        <v>2807.84</v>
      </c>
      <c r="P368">
        <v>8</v>
      </c>
      <c r="Q368">
        <v>673.88160000000005</v>
      </c>
      <c r="R368" s="1" t="s">
        <v>4423</v>
      </c>
      <c r="S368">
        <v>2014</v>
      </c>
      <c r="T368" s="1" t="s">
        <v>90</v>
      </c>
    </row>
    <row r="369" spans="1:20" x14ac:dyDescent="0.25">
      <c r="A369" s="1" t="s">
        <v>1479</v>
      </c>
      <c r="B369" s="2">
        <v>42558</v>
      </c>
      <c r="C369" s="2">
        <v>42562</v>
      </c>
      <c r="D369" s="1" t="s">
        <v>37</v>
      </c>
      <c r="E369" s="1" t="s">
        <v>1480</v>
      </c>
      <c r="F369" s="1" t="s">
        <v>1481</v>
      </c>
      <c r="G369" s="1" t="s">
        <v>24</v>
      </c>
      <c r="H369" s="1" t="s">
        <v>1482</v>
      </c>
      <c r="I369" s="1" t="s">
        <v>50</v>
      </c>
      <c r="J369" s="1" t="s">
        <v>51</v>
      </c>
      <c r="K369" s="1" t="s">
        <v>598</v>
      </c>
      <c r="L369" s="1" t="s">
        <v>29</v>
      </c>
      <c r="M369" s="1" t="s">
        <v>53</v>
      </c>
      <c r="N369" s="1" t="s">
        <v>599</v>
      </c>
      <c r="O369">
        <v>215.65</v>
      </c>
      <c r="P369">
        <v>5</v>
      </c>
      <c r="Q369">
        <v>73.320999999999998</v>
      </c>
      <c r="R369" s="1" t="s">
        <v>4424</v>
      </c>
      <c r="S369">
        <v>2016</v>
      </c>
      <c r="T369" s="1" t="s">
        <v>66</v>
      </c>
    </row>
    <row r="370" spans="1:20" x14ac:dyDescent="0.25">
      <c r="A370" s="1" t="s">
        <v>1483</v>
      </c>
      <c r="B370" s="2">
        <v>42687</v>
      </c>
      <c r="C370" s="2">
        <v>42693</v>
      </c>
      <c r="D370" s="1" t="s">
        <v>37</v>
      </c>
      <c r="E370" s="1" t="s">
        <v>1484</v>
      </c>
      <c r="F370" s="1" t="s">
        <v>1485</v>
      </c>
      <c r="G370" s="1" t="s">
        <v>94</v>
      </c>
      <c r="H370" s="1" t="s">
        <v>943</v>
      </c>
      <c r="I370" s="1" t="s">
        <v>184</v>
      </c>
      <c r="J370" s="1" t="s">
        <v>51</v>
      </c>
      <c r="K370" s="1" t="s">
        <v>1302</v>
      </c>
      <c r="L370" s="1" t="s">
        <v>29</v>
      </c>
      <c r="M370" s="1" t="s">
        <v>53</v>
      </c>
      <c r="N370" s="1" t="s">
        <v>1303</v>
      </c>
      <c r="O370">
        <v>4.18</v>
      </c>
      <c r="P370">
        <v>1</v>
      </c>
      <c r="Q370">
        <v>1.5047999999999999</v>
      </c>
      <c r="R370" s="1" t="s">
        <v>4426</v>
      </c>
      <c r="S370">
        <v>2016</v>
      </c>
      <c r="T370" s="1" t="s">
        <v>32</v>
      </c>
    </row>
    <row r="371" spans="1:20" x14ac:dyDescent="0.25">
      <c r="A371" s="1" t="s">
        <v>1486</v>
      </c>
      <c r="B371" s="2">
        <v>42666</v>
      </c>
      <c r="C371" s="2">
        <v>42672</v>
      </c>
      <c r="D371" s="1" t="s">
        <v>37</v>
      </c>
      <c r="E371" s="1" t="s">
        <v>261</v>
      </c>
      <c r="F371" s="1" t="s">
        <v>262</v>
      </c>
      <c r="G371" s="1" t="s">
        <v>84</v>
      </c>
      <c r="H371" s="1" t="s">
        <v>125</v>
      </c>
      <c r="I371" s="1" t="s">
        <v>126</v>
      </c>
      <c r="J371" s="1" t="s">
        <v>87</v>
      </c>
      <c r="K371" s="1" t="s">
        <v>1487</v>
      </c>
      <c r="L371" s="1" t="s">
        <v>29</v>
      </c>
      <c r="M371" s="1" t="s">
        <v>53</v>
      </c>
      <c r="N371" s="1" t="s">
        <v>1488</v>
      </c>
      <c r="O371">
        <v>16.155999999999999</v>
      </c>
      <c r="P371">
        <v>7</v>
      </c>
      <c r="Q371">
        <v>-12.117000000000001</v>
      </c>
      <c r="R371" s="1" t="s">
        <v>4426</v>
      </c>
      <c r="S371">
        <v>2016</v>
      </c>
      <c r="T371" s="1" t="s">
        <v>45</v>
      </c>
    </row>
    <row r="372" spans="1:20" x14ac:dyDescent="0.25">
      <c r="A372" s="1" t="s">
        <v>1489</v>
      </c>
      <c r="B372" s="2">
        <v>41799</v>
      </c>
      <c r="C372" s="2">
        <v>41801</v>
      </c>
      <c r="D372" s="1" t="s">
        <v>21</v>
      </c>
      <c r="E372" s="1" t="s">
        <v>1490</v>
      </c>
      <c r="F372" s="1" t="s">
        <v>1491</v>
      </c>
      <c r="G372" s="1" t="s">
        <v>24</v>
      </c>
      <c r="H372" s="1" t="s">
        <v>1067</v>
      </c>
      <c r="I372" s="1" t="s">
        <v>707</v>
      </c>
      <c r="J372" s="1" t="s">
        <v>27</v>
      </c>
      <c r="K372" s="1" t="s">
        <v>204</v>
      </c>
      <c r="L372" s="1" t="s">
        <v>29</v>
      </c>
      <c r="M372" s="1" t="s">
        <v>43</v>
      </c>
      <c r="N372" s="1" t="s">
        <v>205</v>
      </c>
      <c r="O372">
        <v>1441.3</v>
      </c>
      <c r="P372">
        <v>7</v>
      </c>
      <c r="Q372">
        <v>245.02099999999999</v>
      </c>
      <c r="R372" s="1" t="s">
        <v>4423</v>
      </c>
      <c r="S372">
        <v>2014</v>
      </c>
      <c r="T372" s="1" t="s">
        <v>55</v>
      </c>
    </row>
    <row r="373" spans="1:20" x14ac:dyDescent="0.25">
      <c r="A373" s="1" t="s">
        <v>1492</v>
      </c>
      <c r="B373" s="2">
        <v>43059</v>
      </c>
      <c r="C373" s="2">
        <v>43065</v>
      </c>
      <c r="D373" s="1" t="s">
        <v>37</v>
      </c>
      <c r="E373" s="1" t="s">
        <v>1493</v>
      </c>
      <c r="F373" s="1" t="s">
        <v>1494</v>
      </c>
      <c r="G373" s="1" t="s">
        <v>24</v>
      </c>
      <c r="H373" s="1" t="s">
        <v>222</v>
      </c>
      <c r="I373" s="1" t="s">
        <v>223</v>
      </c>
      <c r="J373" s="1" t="s">
        <v>63</v>
      </c>
      <c r="K373" s="1" t="s">
        <v>355</v>
      </c>
      <c r="L373" s="1" t="s">
        <v>29</v>
      </c>
      <c r="M373" s="1" t="s">
        <v>53</v>
      </c>
      <c r="N373" s="1" t="s">
        <v>356</v>
      </c>
      <c r="O373">
        <v>77.599999999999994</v>
      </c>
      <c r="P373">
        <v>5</v>
      </c>
      <c r="Q373">
        <v>28.13</v>
      </c>
      <c r="R373" s="1" t="s">
        <v>4426</v>
      </c>
      <c r="S373">
        <v>2017</v>
      </c>
      <c r="T373" s="1" t="s">
        <v>32</v>
      </c>
    </row>
    <row r="374" spans="1:20" x14ac:dyDescent="0.25">
      <c r="A374" s="1" t="s">
        <v>1492</v>
      </c>
      <c r="B374" s="2">
        <v>43059</v>
      </c>
      <c r="C374" s="2">
        <v>43065</v>
      </c>
      <c r="D374" s="1" t="s">
        <v>37</v>
      </c>
      <c r="E374" s="1" t="s">
        <v>1493</v>
      </c>
      <c r="F374" s="1" t="s">
        <v>1494</v>
      </c>
      <c r="G374" s="1" t="s">
        <v>24</v>
      </c>
      <c r="H374" s="1" t="s">
        <v>222</v>
      </c>
      <c r="I374" s="1" t="s">
        <v>223</v>
      </c>
      <c r="J374" s="1" t="s">
        <v>63</v>
      </c>
      <c r="K374" s="1" t="s">
        <v>491</v>
      </c>
      <c r="L374" s="1" t="s">
        <v>29</v>
      </c>
      <c r="M374" s="1" t="s">
        <v>53</v>
      </c>
      <c r="N374" s="1" t="s">
        <v>492</v>
      </c>
      <c r="O374">
        <v>4.6559999999999997</v>
      </c>
      <c r="P374">
        <v>2</v>
      </c>
      <c r="Q374">
        <v>1.5713999999999999</v>
      </c>
      <c r="R374" s="1" t="s">
        <v>4426</v>
      </c>
      <c r="S374">
        <v>2017</v>
      </c>
      <c r="T374" s="1" t="s">
        <v>32</v>
      </c>
    </row>
    <row r="375" spans="1:20" x14ac:dyDescent="0.25">
      <c r="A375" s="1" t="s">
        <v>1495</v>
      </c>
      <c r="B375" s="2">
        <v>42261</v>
      </c>
      <c r="C375" s="2">
        <v>42265</v>
      </c>
      <c r="D375" s="1" t="s">
        <v>37</v>
      </c>
      <c r="E375" s="1" t="s">
        <v>1102</v>
      </c>
      <c r="F375" s="1" t="s">
        <v>1103</v>
      </c>
      <c r="G375" s="1" t="s">
        <v>84</v>
      </c>
      <c r="H375" s="1" t="s">
        <v>49</v>
      </c>
      <c r="I375" s="1" t="s">
        <v>50</v>
      </c>
      <c r="J375" s="1" t="s">
        <v>51</v>
      </c>
      <c r="K375" s="1" t="s">
        <v>309</v>
      </c>
      <c r="L375" s="1" t="s">
        <v>29</v>
      </c>
      <c r="M375" s="1" t="s">
        <v>43</v>
      </c>
      <c r="N375" s="1" t="s">
        <v>310</v>
      </c>
      <c r="O375">
        <v>170.136</v>
      </c>
      <c r="P375">
        <v>3</v>
      </c>
      <c r="Q375">
        <v>-8.5068000000000001</v>
      </c>
      <c r="R375" s="1" t="s">
        <v>4424</v>
      </c>
      <c r="S375">
        <v>2015</v>
      </c>
      <c r="T375" s="1" t="s">
        <v>72</v>
      </c>
    </row>
    <row r="376" spans="1:20" x14ac:dyDescent="0.25">
      <c r="A376" s="1" t="s">
        <v>1496</v>
      </c>
      <c r="B376" s="2">
        <v>41784</v>
      </c>
      <c r="C376" s="2">
        <v>41788</v>
      </c>
      <c r="D376" s="1" t="s">
        <v>37</v>
      </c>
      <c r="E376" s="1" t="s">
        <v>1497</v>
      </c>
      <c r="F376" s="1" t="s">
        <v>1498</v>
      </c>
      <c r="G376" s="1" t="s">
        <v>24</v>
      </c>
      <c r="H376" s="1" t="s">
        <v>125</v>
      </c>
      <c r="I376" s="1" t="s">
        <v>126</v>
      </c>
      <c r="J376" s="1" t="s">
        <v>87</v>
      </c>
      <c r="K376" s="1" t="s">
        <v>1499</v>
      </c>
      <c r="L376" s="1" t="s">
        <v>29</v>
      </c>
      <c r="M376" s="1" t="s">
        <v>53</v>
      </c>
      <c r="N376" s="1" t="s">
        <v>1500</v>
      </c>
      <c r="O376">
        <v>29.32</v>
      </c>
      <c r="P376">
        <v>2</v>
      </c>
      <c r="Q376">
        <v>-24.189</v>
      </c>
      <c r="R376" s="1" t="s">
        <v>4424</v>
      </c>
      <c r="S376">
        <v>2014</v>
      </c>
      <c r="T376" s="1" t="s">
        <v>153</v>
      </c>
    </row>
    <row r="377" spans="1:20" x14ac:dyDescent="0.25">
      <c r="A377" s="1" t="s">
        <v>1501</v>
      </c>
      <c r="B377" s="2">
        <v>42416</v>
      </c>
      <c r="C377" s="2">
        <v>42420</v>
      </c>
      <c r="D377" s="1" t="s">
        <v>37</v>
      </c>
      <c r="E377" s="1" t="s">
        <v>1502</v>
      </c>
      <c r="F377" s="1" t="s">
        <v>1503</v>
      </c>
      <c r="G377" s="1" t="s">
        <v>84</v>
      </c>
      <c r="H377" s="1" t="s">
        <v>125</v>
      </c>
      <c r="I377" s="1" t="s">
        <v>126</v>
      </c>
      <c r="J377" s="1" t="s">
        <v>87</v>
      </c>
      <c r="K377" s="1" t="s">
        <v>1504</v>
      </c>
      <c r="L377" s="1" t="s">
        <v>29</v>
      </c>
      <c r="M377" s="1" t="s">
        <v>34</v>
      </c>
      <c r="N377" s="1" t="s">
        <v>1505</v>
      </c>
      <c r="O377">
        <v>62.957999999999998</v>
      </c>
      <c r="P377">
        <v>3</v>
      </c>
      <c r="Q377">
        <v>-2.6981999999999999</v>
      </c>
      <c r="R377" s="1" t="s">
        <v>4424</v>
      </c>
      <c r="S377">
        <v>2016</v>
      </c>
      <c r="T377" s="1" t="s">
        <v>289</v>
      </c>
    </row>
    <row r="378" spans="1:20" x14ac:dyDescent="0.25">
      <c r="A378" s="1" t="s">
        <v>1506</v>
      </c>
      <c r="B378" s="2">
        <v>42726</v>
      </c>
      <c r="C378" s="2">
        <v>42732</v>
      </c>
      <c r="D378" s="1" t="s">
        <v>37</v>
      </c>
      <c r="E378" s="1" t="s">
        <v>810</v>
      </c>
      <c r="F378" s="1" t="s">
        <v>811</v>
      </c>
      <c r="G378" s="1" t="s">
        <v>24</v>
      </c>
      <c r="H378" s="1" t="s">
        <v>1507</v>
      </c>
      <c r="I378" s="1" t="s">
        <v>1508</v>
      </c>
      <c r="J378" s="1" t="s">
        <v>51</v>
      </c>
      <c r="K378" s="1" t="s">
        <v>437</v>
      </c>
      <c r="L378" s="1" t="s">
        <v>29</v>
      </c>
      <c r="M378" s="1" t="s">
        <v>53</v>
      </c>
      <c r="N378" s="1" t="s">
        <v>438</v>
      </c>
      <c r="O378">
        <v>11.84</v>
      </c>
      <c r="P378">
        <v>4</v>
      </c>
      <c r="Q378">
        <v>3.1080000000000001</v>
      </c>
      <c r="R378" s="1" t="s">
        <v>4426</v>
      </c>
      <c r="S378">
        <v>2016</v>
      </c>
      <c r="T378" s="1" t="s">
        <v>90</v>
      </c>
    </row>
    <row r="379" spans="1:20" x14ac:dyDescent="0.25">
      <c r="A379" s="1" t="s">
        <v>1506</v>
      </c>
      <c r="B379" s="2">
        <v>42726</v>
      </c>
      <c r="C379" s="2">
        <v>42732</v>
      </c>
      <c r="D379" s="1" t="s">
        <v>37</v>
      </c>
      <c r="E379" s="1" t="s">
        <v>810</v>
      </c>
      <c r="F379" s="1" t="s">
        <v>811</v>
      </c>
      <c r="G379" s="1" t="s">
        <v>24</v>
      </c>
      <c r="H379" s="1" t="s">
        <v>1507</v>
      </c>
      <c r="I379" s="1" t="s">
        <v>1508</v>
      </c>
      <c r="J379" s="1" t="s">
        <v>51</v>
      </c>
      <c r="K379" s="1" t="s">
        <v>1509</v>
      </c>
      <c r="L379" s="1" t="s">
        <v>29</v>
      </c>
      <c r="M379" s="1" t="s">
        <v>53</v>
      </c>
      <c r="N379" s="1" t="s">
        <v>1510</v>
      </c>
      <c r="O379">
        <v>22.783999999999999</v>
      </c>
      <c r="P379">
        <v>1</v>
      </c>
      <c r="Q379">
        <v>4.8415999999999997</v>
      </c>
      <c r="R379" s="1" t="s">
        <v>4426</v>
      </c>
      <c r="S379">
        <v>2016</v>
      </c>
      <c r="T379" s="1" t="s">
        <v>90</v>
      </c>
    </row>
    <row r="380" spans="1:20" x14ac:dyDescent="0.25">
      <c r="A380" s="1" t="s">
        <v>1511</v>
      </c>
      <c r="B380" s="2">
        <v>43029</v>
      </c>
      <c r="C380" s="2">
        <v>43029</v>
      </c>
      <c r="D380" s="1" t="s">
        <v>417</v>
      </c>
      <c r="E380" s="1" t="s">
        <v>945</v>
      </c>
      <c r="F380" s="1" t="s">
        <v>946</v>
      </c>
      <c r="G380" s="1" t="s">
        <v>94</v>
      </c>
      <c r="H380" s="1" t="s">
        <v>1512</v>
      </c>
      <c r="I380" s="1" t="s">
        <v>1513</v>
      </c>
      <c r="J380" s="1" t="s">
        <v>87</v>
      </c>
      <c r="K380" s="1" t="s">
        <v>906</v>
      </c>
      <c r="L380" s="1" t="s">
        <v>29</v>
      </c>
      <c r="M380" s="1" t="s">
        <v>43</v>
      </c>
      <c r="N380" s="1" t="s">
        <v>907</v>
      </c>
      <c r="O380">
        <v>262.11</v>
      </c>
      <c r="P380">
        <v>1</v>
      </c>
      <c r="Q380">
        <v>62.906399999999998</v>
      </c>
      <c r="R380" s="1" t="s">
        <v>4427</v>
      </c>
      <c r="S380">
        <v>2017</v>
      </c>
      <c r="T380" s="1" t="s">
        <v>45</v>
      </c>
    </row>
    <row r="381" spans="1:20" x14ac:dyDescent="0.25">
      <c r="A381" s="1" t="s">
        <v>1514</v>
      </c>
      <c r="B381" s="2">
        <v>42313</v>
      </c>
      <c r="C381" s="2">
        <v>42317</v>
      </c>
      <c r="D381" s="1" t="s">
        <v>37</v>
      </c>
      <c r="E381" s="1" t="s">
        <v>1071</v>
      </c>
      <c r="F381" s="1" t="s">
        <v>1072</v>
      </c>
      <c r="G381" s="1" t="s">
        <v>84</v>
      </c>
      <c r="H381" s="1" t="s">
        <v>1026</v>
      </c>
      <c r="I381" s="1" t="s">
        <v>1027</v>
      </c>
      <c r="J381" s="1" t="s">
        <v>27</v>
      </c>
      <c r="K381" s="1" t="s">
        <v>1081</v>
      </c>
      <c r="L381" s="1" t="s">
        <v>29</v>
      </c>
      <c r="M381" s="1" t="s">
        <v>34</v>
      </c>
      <c r="N381" s="1" t="s">
        <v>1082</v>
      </c>
      <c r="O381">
        <v>207</v>
      </c>
      <c r="P381">
        <v>3</v>
      </c>
      <c r="Q381">
        <v>25.875</v>
      </c>
      <c r="R381" s="1" t="s">
        <v>4424</v>
      </c>
      <c r="S381">
        <v>2015</v>
      </c>
      <c r="T381" s="1" t="s">
        <v>32</v>
      </c>
    </row>
    <row r="382" spans="1:20" x14ac:dyDescent="0.25">
      <c r="A382" s="1" t="s">
        <v>1515</v>
      </c>
      <c r="B382" s="2">
        <v>41852</v>
      </c>
      <c r="C382" s="2">
        <v>41856</v>
      </c>
      <c r="D382" s="1" t="s">
        <v>37</v>
      </c>
      <c r="E382" s="1" t="s">
        <v>1516</v>
      </c>
      <c r="F382" s="1" t="s">
        <v>1517</v>
      </c>
      <c r="G382" s="1" t="s">
        <v>84</v>
      </c>
      <c r="H382" s="1" t="s">
        <v>1518</v>
      </c>
      <c r="I382" s="1" t="s">
        <v>1027</v>
      </c>
      <c r="J382" s="1" t="s">
        <v>27</v>
      </c>
      <c r="K382" s="1" t="s">
        <v>166</v>
      </c>
      <c r="L382" s="1" t="s">
        <v>29</v>
      </c>
      <c r="M382" s="1" t="s">
        <v>53</v>
      </c>
      <c r="N382" s="1" t="s">
        <v>167</v>
      </c>
      <c r="O382">
        <v>44.128</v>
      </c>
      <c r="P382">
        <v>4</v>
      </c>
      <c r="Q382">
        <v>12.135199999999999</v>
      </c>
      <c r="R382" s="1" t="s">
        <v>4424</v>
      </c>
      <c r="S382">
        <v>2014</v>
      </c>
      <c r="T382" s="1" t="s">
        <v>245</v>
      </c>
    </row>
    <row r="383" spans="1:20" x14ac:dyDescent="0.25">
      <c r="A383" s="1" t="s">
        <v>1519</v>
      </c>
      <c r="B383" s="2">
        <v>42569</v>
      </c>
      <c r="C383" s="2">
        <v>42574</v>
      </c>
      <c r="D383" s="1" t="s">
        <v>37</v>
      </c>
      <c r="E383" s="1" t="s">
        <v>1520</v>
      </c>
      <c r="F383" s="1" t="s">
        <v>1521</v>
      </c>
      <c r="G383" s="1" t="s">
        <v>84</v>
      </c>
      <c r="H383" s="1" t="s">
        <v>1522</v>
      </c>
      <c r="I383" s="1" t="s">
        <v>26</v>
      </c>
      <c r="J383" s="1" t="s">
        <v>27</v>
      </c>
      <c r="K383" s="1" t="s">
        <v>1523</v>
      </c>
      <c r="L383" s="1" t="s">
        <v>29</v>
      </c>
      <c r="M383" s="1" t="s">
        <v>34</v>
      </c>
      <c r="N383" s="1" t="s">
        <v>1524</v>
      </c>
      <c r="O383">
        <v>140.81</v>
      </c>
      <c r="P383">
        <v>1</v>
      </c>
      <c r="Q383">
        <v>39.4268</v>
      </c>
      <c r="R383" s="1" t="s">
        <v>4422</v>
      </c>
      <c r="S383">
        <v>2016</v>
      </c>
      <c r="T383" s="1" t="s">
        <v>66</v>
      </c>
    </row>
    <row r="384" spans="1:20" x14ac:dyDescent="0.25">
      <c r="A384" s="1" t="s">
        <v>1525</v>
      </c>
      <c r="B384" s="2">
        <v>42044</v>
      </c>
      <c r="C384" s="2">
        <v>42046</v>
      </c>
      <c r="D384" s="1" t="s">
        <v>21</v>
      </c>
      <c r="E384" s="1" t="s">
        <v>1526</v>
      </c>
      <c r="F384" s="1" t="s">
        <v>1527</v>
      </c>
      <c r="G384" s="1" t="s">
        <v>84</v>
      </c>
      <c r="H384" s="1" t="s">
        <v>237</v>
      </c>
      <c r="I384" s="1" t="s">
        <v>86</v>
      </c>
      <c r="J384" s="1" t="s">
        <v>87</v>
      </c>
      <c r="K384" s="1" t="s">
        <v>1528</v>
      </c>
      <c r="L384" s="1" t="s">
        <v>29</v>
      </c>
      <c r="M384" s="1" t="s">
        <v>53</v>
      </c>
      <c r="N384" s="1" t="s">
        <v>1529</v>
      </c>
      <c r="O384">
        <v>40.783999999999999</v>
      </c>
      <c r="P384">
        <v>2</v>
      </c>
      <c r="Q384">
        <v>-30.588000000000001</v>
      </c>
      <c r="R384" s="1" t="s">
        <v>4423</v>
      </c>
      <c r="S384">
        <v>2015</v>
      </c>
      <c r="T384" s="1" t="s">
        <v>289</v>
      </c>
    </row>
    <row r="385" spans="1:20" x14ac:dyDescent="0.25">
      <c r="A385" s="1" t="s">
        <v>1530</v>
      </c>
      <c r="B385" s="2">
        <v>42747</v>
      </c>
      <c r="C385" s="2">
        <v>42752</v>
      </c>
      <c r="D385" s="1" t="s">
        <v>21</v>
      </c>
      <c r="E385" s="1" t="s">
        <v>1531</v>
      </c>
      <c r="F385" s="1" t="s">
        <v>1532</v>
      </c>
      <c r="G385" s="1" t="s">
        <v>94</v>
      </c>
      <c r="H385" s="1" t="s">
        <v>184</v>
      </c>
      <c r="I385" s="1" t="s">
        <v>971</v>
      </c>
      <c r="J385" s="1" t="s">
        <v>63</v>
      </c>
      <c r="K385" s="1" t="s">
        <v>1533</v>
      </c>
      <c r="L385" s="1" t="s">
        <v>29</v>
      </c>
      <c r="M385" s="1" t="s">
        <v>53</v>
      </c>
      <c r="N385" s="1" t="s">
        <v>1534</v>
      </c>
      <c r="O385">
        <v>37.68</v>
      </c>
      <c r="P385">
        <v>2</v>
      </c>
      <c r="Q385">
        <v>15.8256</v>
      </c>
      <c r="R385" s="1" t="s">
        <v>4422</v>
      </c>
      <c r="S385">
        <v>2017</v>
      </c>
      <c r="T385" s="1" t="s">
        <v>161</v>
      </c>
    </row>
    <row r="386" spans="1:20" x14ac:dyDescent="0.25">
      <c r="A386" s="1" t="s">
        <v>1535</v>
      </c>
      <c r="B386" s="2">
        <v>42988</v>
      </c>
      <c r="C386" s="2">
        <v>42988</v>
      </c>
      <c r="D386" s="1" t="s">
        <v>417</v>
      </c>
      <c r="E386" s="1" t="s">
        <v>1536</v>
      </c>
      <c r="F386" s="1" t="s">
        <v>1537</v>
      </c>
      <c r="G386" s="1" t="s">
        <v>84</v>
      </c>
      <c r="H386" s="1" t="s">
        <v>49</v>
      </c>
      <c r="I386" s="1" t="s">
        <v>50</v>
      </c>
      <c r="J386" s="1" t="s">
        <v>51</v>
      </c>
      <c r="K386" s="1" t="s">
        <v>386</v>
      </c>
      <c r="L386" s="1" t="s">
        <v>29</v>
      </c>
      <c r="M386" s="1" t="s">
        <v>34</v>
      </c>
      <c r="N386" s="1" t="s">
        <v>387</v>
      </c>
      <c r="O386">
        <v>362.35199999999998</v>
      </c>
      <c r="P386">
        <v>3</v>
      </c>
      <c r="Q386">
        <v>27.176400000000001</v>
      </c>
      <c r="R386" s="1" t="s">
        <v>4427</v>
      </c>
      <c r="S386">
        <v>2017</v>
      </c>
      <c r="T386" s="1" t="s">
        <v>72</v>
      </c>
    </row>
    <row r="387" spans="1:20" x14ac:dyDescent="0.25">
      <c r="A387" s="1" t="s">
        <v>1538</v>
      </c>
      <c r="B387" s="2">
        <v>42820</v>
      </c>
      <c r="C387" s="2">
        <v>42821</v>
      </c>
      <c r="D387" s="1" t="s">
        <v>81</v>
      </c>
      <c r="E387" s="1" t="s">
        <v>824</v>
      </c>
      <c r="F387" s="1" t="s">
        <v>825</v>
      </c>
      <c r="G387" s="1" t="s">
        <v>24</v>
      </c>
      <c r="H387" s="1" t="s">
        <v>165</v>
      </c>
      <c r="I387" s="1" t="s">
        <v>114</v>
      </c>
      <c r="J387" s="1" t="s">
        <v>63</v>
      </c>
      <c r="K387" s="1" t="s">
        <v>1539</v>
      </c>
      <c r="L387" s="1" t="s">
        <v>29</v>
      </c>
      <c r="M387" s="1" t="s">
        <v>30</v>
      </c>
      <c r="N387" s="1" t="s">
        <v>1540</v>
      </c>
      <c r="O387">
        <v>257.56799999999998</v>
      </c>
      <c r="P387">
        <v>2</v>
      </c>
      <c r="Q387">
        <v>-28.976400000000002</v>
      </c>
      <c r="R387" s="1" t="s">
        <v>4425</v>
      </c>
      <c r="S387">
        <v>2017</v>
      </c>
      <c r="T387" s="1" t="s">
        <v>187</v>
      </c>
    </row>
    <row r="388" spans="1:20" x14ac:dyDescent="0.25">
      <c r="A388" s="1" t="s">
        <v>1541</v>
      </c>
      <c r="B388" s="2">
        <v>42656</v>
      </c>
      <c r="C388" s="2">
        <v>42660</v>
      </c>
      <c r="D388" s="1" t="s">
        <v>37</v>
      </c>
      <c r="E388" s="1" t="s">
        <v>1542</v>
      </c>
      <c r="F388" s="1" t="s">
        <v>1543</v>
      </c>
      <c r="G388" s="1" t="s">
        <v>84</v>
      </c>
      <c r="H388" s="1" t="s">
        <v>171</v>
      </c>
      <c r="I388" s="1" t="s">
        <v>172</v>
      </c>
      <c r="J388" s="1" t="s">
        <v>51</v>
      </c>
      <c r="K388" s="1" t="s">
        <v>402</v>
      </c>
      <c r="L388" s="1" t="s">
        <v>29</v>
      </c>
      <c r="M388" s="1" t="s">
        <v>43</v>
      </c>
      <c r="N388" s="1" t="s">
        <v>403</v>
      </c>
      <c r="O388">
        <v>727.45</v>
      </c>
      <c r="P388">
        <v>5</v>
      </c>
      <c r="Q388">
        <v>-465.56799999999998</v>
      </c>
      <c r="R388" s="1" t="s">
        <v>4424</v>
      </c>
      <c r="S388">
        <v>2016</v>
      </c>
      <c r="T388" s="1" t="s">
        <v>45</v>
      </c>
    </row>
    <row r="389" spans="1:20" x14ac:dyDescent="0.25">
      <c r="A389" s="1" t="s">
        <v>1541</v>
      </c>
      <c r="B389" s="2">
        <v>42656</v>
      </c>
      <c r="C389" s="2">
        <v>42660</v>
      </c>
      <c r="D389" s="1" t="s">
        <v>37</v>
      </c>
      <c r="E389" s="1" t="s">
        <v>1542</v>
      </c>
      <c r="F389" s="1" t="s">
        <v>1543</v>
      </c>
      <c r="G389" s="1" t="s">
        <v>84</v>
      </c>
      <c r="H389" s="1" t="s">
        <v>171</v>
      </c>
      <c r="I389" s="1" t="s">
        <v>172</v>
      </c>
      <c r="J389" s="1" t="s">
        <v>51</v>
      </c>
      <c r="K389" s="1" t="s">
        <v>1544</v>
      </c>
      <c r="L389" s="1" t="s">
        <v>29</v>
      </c>
      <c r="M389" s="1" t="s">
        <v>53</v>
      </c>
      <c r="N389" s="1" t="s">
        <v>1545</v>
      </c>
      <c r="O389">
        <v>24.96</v>
      </c>
      <c r="P389">
        <v>3</v>
      </c>
      <c r="Q389">
        <v>4.3680000000000003</v>
      </c>
      <c r="R389" s="1" t="s">
        <v>4424</v>
      </c>
      <c r="S389">
        <v>2016</v>
      </c>
      <c r="T389" s="1" t="s">
        <v>45</v>
      </c>
    </row>
    <row r="390" spans="1:20" x14ac:dyDescent="0.25">
      <c r="A390" s="1" t="s">
        <v>1546</v>
      </c>
      <c r="B390" s="2">
        <v>42840</v>
      </c>
      <c r="C390" s="2">
        <v>42843</v>
      </c>
      <c r="D390" s="1" t="s">
        <v>81</v>
      </c>
      <c r="E390" s="1" t="s">
        <v>1547</v>
      </c>
      <c r="F390" s="1" t="s">
        <v>1548</v>
      </c>
      <c r="G390" s="1" t="s">
        <v>84</v>
      </c>
      <c r="H390" s="1" t="s">
        <v>25</v>
      </c>
      <c r="I390" s="1" t="s">
        <v>1331</v>
      </c>
      <c r="J390" s="1" t="s">
        <v>51</v>
      </c>
      <c r="K390" s="1" t="s">
        <v>1003</v>
      </c>
      <c r="L390" s="1" t="s">
        <v>29</v>
      </c>
      <c r="M390" s="1" t="s">
        <v>53</v>
      </c>
      <c r="N390" s="1" t="s">
        <v>1004</v>
      </c>
      <c r="O390">
        <v>196.45</v>
      </c>
      <c r="P390">
        <v>5</v>
      </c>
      <c r="Q390">
        <v>70.721999999999994</v>
      </c>
      <c r="R390" s="1" t="s">
        <v>4420</v>
      </c>
      <c r="S390">
        <v>2017</v>
      </c>
      <c r="T390" s="1" t="s">
        <v>107</v>
      </c>
    </row>
    <row r="391" spans="1:20" x14ac:dyDescent="0.25">
      <c r="A391" s="1" t="s">
        <v>1549</v>
      </c>
      <c r="B391" s="2">
        <v>41841</v>
      </c>
      <c r="C391" s="2">
        <v>41845</v>
      </c>
      <c r="D391" s="1" t="s">
        <v>37</v>
      </c>
      <c r="E391" s="1" t="s">
        <v>1550</v>
      </c>
      <c r="F391" s="1" t="s">
        <v>1551</v>
      </c>
      <c r="G391" s="1" t="s">
        <v>84</v>
      </c>
      <c r="H391" s="1" t="s">
        <v>320</v>
      </c>
      <c r="I391" s="1" t="s">
        <v>50</v>
      </c>
      <c r="J391" s="1" t="s">
        <v>51</v>
      </c>
      <c r="K391" s="1" t="s">
        <v>550</v>
      </c>
      <c r="L391" s="1" t="s">
        <v>29</v>
      </c>
      <c r="M391" s="1" t="s">
        <v>34</v>
      </c>
      <c r="N391" s="1" t="s">
        <v>551</v>
      </c>
      <c r="O391">
        <v>801.56799999999998</v>
      </c>
      <c r="P391">
        <v>2</v>
      </c>
      <c r="Q391">
        <v>50.097999999999999</v>
      </c>
      <c r="R391" s="1" t="s">
        <v>4424</v>
      </c>
      <c r="S391">
        <v>2014</v>
      </c>
      <c r="T391" s="1" t="s">
        <v>66</v>
      </c>
    </row>
    <row r="392" spans="1:20" x14ac:dyDescent="0.25">
      <c r="A392" s="1" t="s">
        <v>1549</v>
      </c>
      <c r="B392" s="2">
        <v>41841</v>
      </c>
      <c r="C392" s="2">
        <v>41845</v>
      </c>
      <c r="D392" s="1" t="s">
        <v>37</v>
      </c>
      <c r="E392" s="1" t="s">
        <v>1550</v>
      </c>
      <c r="F392" s="1" t="s">
        <v>1551</v>
      </c>
      <c r="G392" s="1" t="s">
        <v>84</v>
      </c>
      <c r="H392" s="1" t="s">
        <v>320</v>
      </c>
      <c r="I392" s="1" t="s">
        <v>50</v>
      </c>
      <c r="J392" s="1" t="s">
        <v>51</v>
      </c>
      <c r="K392" s="1" t="s">
        <v>1552</v>
      </c>
      <c r="L392" s="1" t="s">
        <v>29</v>
      </c>
      <c r="M392" s="1" t="s">
        <v>43</v>
      </c>
      <c r="N392" s="1" t="s">
        <v>1553</v>
      </c>
      <c r="O392">
        <v>272.84800000000001</v>
      </c>
      <c r="P392">
        <v>1</v>
      </c>
      <c r="Q392">
        <v>27.284800000000001</v>
      </c>
      <c r="R392" s="1" t="s">
        <v>4424</v>
      </c>
      <c r="S392">
        <v>2014</v>
      </c>
      <c r="T392" s="1" t="s">
        <v>66</v>
      </c>
    </row>
    <row r="393" spans="1:20" x14ac:dyDescent="0.25">
      <c r="A393" s="1" t="s">
        <v>1554</v>
      </c>
      <c r="B393" s="2">
        <v>43060</v>
      </c>
      <c r="C393" s="2">
        <v>43064</v>
      </c>
      <c r="D393" s="1" t="s">
        <v>37</v>
      </c>
      <c r="E393" s="1" t="s">
        <v>1555</v>
      </c>
      <c r="F393" s="1" t="s">
        <v>1556</v>
      </c>
      <c r="G393" s="1" t="s">
        <v>24</v>
      </c>
      <c r="H393" s="1" t="s">
        <v>1557</v>
      </c>
      <c r="I393" s="1" t="s">
        <v>184</v>
      </c>
      <c r="J393" s="1" t="s">
        <v>51</v>
      </c>
      <c r="K393" s="1" t="s">
        <v>1558</v>
      </c>
      <c r="L393" s="1" t="s">
        <v>29</v>
      </c>
      <c r="M393" s="1" t="s">
        <v>43</v>
      </c>
      <c r="N393" s="1" t="s">
        <v>1559</v>
      </c>
      <c r="O393">
        <v>70.98</v>
      </c>
      <c r="P393">
        <v>1</v>
      </c>
      <c r="Q393">
        <v>20.584199999999999</v>
      </c>
      <c r="R393" s="1" t="s">
        <v>4424</v>
      </c>
      <c r="S393">
        <v>2017</v>
      </c>
      <c r="T393" s="1" t="s">
        <v>32</v>
      </c>
    </row>
    <row r="394" spans="1:20" x14ac:dyDescent="0.25">
      <c r="A394" s="1" t="s">
        <v>1560</v>
      </c>
      <c r="B394" s="2">
        <v>42439</v>
      </c>
      <c r="C394" s="2">
        <v>42445</v>
      </c>
      <c r="D394" s="1" t="s">
        <v>37</v>
      </c>
      <c r="E394" s="1" t="s">
        <v>1336</v>
      </c>
      <c r="F394" s="1" t="s">
        <v>1337</v>
      </c>
      <c r="G394" s="1" t="s">
        <v>24</v>
      </c>
      <c r="H394" s="1" t="s">
        <v>721</v>
      </c>
      <c r="I394" s="1" t="s">
        <v>114</v>
      </c>
      <c r="J394" s="1" t="s">
        <v>63</v>
      </c>
      <c r="K394" s="1" t="s">
        <v>727</v>
      </c>
      <c r="L394" s="1" t="s">
        <v>29</v>
      </c>
      <c r="M394" s="1" t="s">
        <v>30</v>
      </c>
      <c r="N394" s="1" t="s">
        <v>728</v>
      </c>
      <c r="O394">
        <v>176.78399999999999</v>
      </c>
      <c r="P394">
        <v>1</v>
      </c>
      <c r="Q394">
        <v>-22.097999999999999</v>
      </c>
      <c r="R394" s="1" t="s">
        <v>4426</v>
      </c>
      <c r="S394">
        <v>2016</v>
      </c>
      <c r="T394" s="1" t="s">
        <v>187</v>
      </c>
    </row>
    <row r="395" spans="1:20" x14ac:dyDescent="0.25">
      <c r="A395" s="1" t="s">
        <v>1561</v>
      </c>
      <c r="B395" s="2">
        <v>43098</v>
      </c>
      <c r="C395" s="2">
        <v>43102</v>
      </c>
      <c r="D395" s="1" t="s">
        <v>37</v>
      </c>
      <c r="E395" s="1" t="s">
        <v>1562</v>
      </c>
      <c r="F395" s="1" t="s">
        <v>1563</v>
      </c>
      <c r="G395" s="1" t="s">
        <v>24</v>
      </c>
      <c r="H395" s="1" t="s">
        <v>49</v>
      </c>
      <c r="I395" s="1" t="s">
        <v>50</v>
      </c>
      <c r="J395" s="1" t="s">
        <v>51</v>
      </c>
      <c r="K395" s="1" t="s">
        <v>1019</v>
      </c>
      <c r="L395" s="1" t="s">
        <v>29</v>
      </c>
      <c r="M395" s="1" t="s">
        <v>34</v>
      </c>
      <c r="N395" s="1" t="s">
        <v>1020</v>
      </c>
      <c r="O395">
        <v>393.56799999999998</v>
      </c>
      <c r="P395">
        <v>4</v>
      </c>
      <c r="Q395">
        <v>-44.276400000000002</v>
      </c>
      <c r="R395" s="1" t="s">
        <v>4424</v>
      </c>
      <c r="S395">
        <v>2017</v>
      </c>
      <c r="T395" s="1" t="s">
        <v>90</v>
      </c>
    </row>
    <row r="396" spans="1:20" x14ac:dyDescent="0.25">
      <c r="A396" s="1" t="s">
        <v>1564</v>
      </c>
      <c r="B396" s="2">
        <v>42068</v>
      </c>
      <c r="C396" s="2">
        <v>42068</v>
      </c>
      <c r="D396" s="1" t="s">
        <v>417</v>
      </c>
      <c r="E396" s="1" t="s">
        <v>1565</v>
      </c>
      <c r="F396" s="1" t="s">
        <v>1566</v>
      </c>
      <c r="G396" s="1" t="s">
        <v>24</v>
      </c>
      <c r="H396" s="1" t="s">
        <v>165</v>
      </c>
      <c r="I396" s="1" t="s">
        <v>114</v>
      </c>
      <c r="J396" s="1" t="s">
        <v>63</v>
      </c>
      <c r="K396" s="1" t="s">
        <v>127</v>
      </c>
      <c r="L396" s="1" t="s">
        <v>29</v>
      </c>
      <c r="M396" s="1" t="s">
        <v>34</v>
      </c>
      <c r="N396" s="1" t="s">
        <v>128</v>
      </c>
      <c r="O396">
        <v>383.60700000000003</v>
      </c>
      <c r="P396">
        <v>7</v>
      </c>
      <c r="Q396">
        <v>63.9345</v>
      </c>
      <c r="R396" s="1" t="s">
        <v>4427</v>
      </c>
      <c r="S396">
        <v>2015</v>
      </c>
      <c r="T396" s="1" t="s">
        <v>187</v>
      </c>
    </row>
    <row r="397" spans="1:20" x14ac:dyDescent="0.25">
      <c r="A397" s="1" t="s">
        <v>1567</v>
      </c>
      <c r="B397" s="2">
        <v>42482</v>
      </c>
      <c r="C397" s="2">
        <v>42486</v>
      </c>
      <c r="D397" s="1" t="s">
        <v>21</v>
      </c>
      <c r="E397" s="1" t="s">
        <v>584</v>
      </c>
      <c r="F397" s="1" t="s">
        <v>585</v>
      </c>
      <c r="G397" s="1" t="s">
        <v>24</v>
      </c>
      <c r="H397" s="1" t="s">
        <v>320</v>
      </c>
      <c r="I397" s="1" t="s">
        <v>50</v>
      </c>
      <c r="J397" s="1" t="s">
        <v>51</v>
      </c>
      <c r="K397" s="1" t="s">
        <v>1568</v>
      </c>
      <c r="L397" s="1" t="s">
        <v>29</v>
      </c>
      <c r="M397" s="1" t="s">
        <v>53</v>
      </c>
      <c r="N397" s="1" t="s">
        <v>1569</v>
      </c>
      <c r="O397">
        <v>31.56</v>
      </c>
      <c r="P397">
        <v>3</v>
      </c>
      <c r="Q397">
        <v>10.4148</v>
      </c>
      <c r="R397" s="1" t="s">
        <v>4424</v>
      </c>
      <c r="S397">
        <v>2016</v>
      </c>
      <c r="T397" s="1" t="s">
        <v>107</v>
      </c>
    </row>
    <row r="398" spans="1:20" x14ac:dyDescent="0.25">
      <c r="A398" s="1" t="s">
        <v>1570</v>
      </c>
      <c r="B398" s="2">
        <v>41933</v>
      </c>
      <c r="C398" s="2">
        <v>41934</v>
      </c>
      <c r="D398" s="1" t="s">
        <v>81</v>
      </c>
      <c r="E398" s="1" t="s">
        <v>74</v>
      </c>
      <c r="F398" s="1" t="s">
        <v>75</v>
      </c>
      <c r="G398" s="1" t="s">
        <v>24</v>
      </c>
      <c r="H398" s="1" t="s">
        <v>1571</v>
      </c>
      <c r="I398" s="1" t="s">
        <v>223</v>
      </c>
      <c r="J398" s="1" t="s">
        <v>63</v>
      </c>
      <c r="K398" s="1" t="s">
        <v>432</v>
      </c>
      <c r="L398" s="1" t="s">
        <v>29</v>
      </c>
      <c r="M398" s="1" t="s">
        <v>43</v>
      </c>
      <c r="N398" s="1" t="s">
        <v>433</v>
      </c>
      <c r="O398">
        <v>409.59</v>
      </c>
      <c r="P398">
        <v>3</v>
      </c>
      <c r="Q398">
        <v>-122.877</v>
      </c>
      <c r="R398" s="1" t="s">
        <v>4425</v>
      </c>
      <c r="S398">
        <v>2014</v>
      </c>
      <c r="T398" s="1" t="s">
        <v>45</v>
      </c>
    </row>
    <row r="399" spans="1:20" x14ac:dyDescent="0.25">
      <c r="A399" s="1" t="s">
        <v>1572</v>
      </c>
      <c r="B399" s="2">
        <v>41880</v>
      </c>
      <c r="C399" s="2">
        <v>41884</v>
      </c>
      <c r="D399" s="1" t="s">
        <v>21</v>
      </c>
      <c r="E399" s="1" t="s">
        <v>1573</v>
      </c>
      <c r="F399" s="1" t="s">
        <v>1574</v>
      </c>
      <c r="G399" s="1" t="s">
        <v>24</v>
      </c>
      <c r="H399" s="1" t="s">
        <v>997</v>
      </c>
      <c r="I399" s="1" t="s">
        <v>41</v>
      </c>
      <c r="J399" s="1" t="s">
        <v>27</v>
      </c>
      <c r="K399" s="1" t="s">
        <v>538</v>
      </c>
      <c r="L399" s="1" t="s">
        <v>29</v>
      </c>
      <c r="M399" s="1" t="s">
        <v>43</v>
      </c>
      <c r="N399" s="1" t="s">
        <v>539</v>
      </c>
      <c r="O399">
        <v>174.05850000000001</v>
      </c>
      <c r="P399">
        <v>3</v>
      </c>
      <c r="Q399">
        <v>-110.7645</v>
      </c>
      <c r="R399" s="1" t="s">
        <v>4424</v>
      </c>
      <c r="S399">
        <v>2014</v>
      </c>
      <c r="T399" s="1" t="s">
        <v>245</v>
      </c>
    </row>
    <row r="400" spans="1:20" x14ac:dyDescent="0.25">
      <c r="A400" s="1" t="s">
        <v>1575</v>
      </c>
      <c r="B400" s="2">
        <v>43029</v>
      </c>
      <c r="C400" s="2">
        <v>43030</v>
      </c>
      <c r="D400" s="1" t="s">
        <v>81</v>
      </c>
      <c r="E400" s="1" t="s">
        <v>1295</v>
      </c>
      <c r="F400" s="1" t="s">
        <v>1296</v>
      </c>
      <c r="G400" s="1" t="s">
        <v>84</v>
      </c>
      <c r="H400" s="1" t="s">
        <v>869</v>
      </c>
      <c r="I400" s="1" t="s">
        <v>1508</v>
      </c>
      <c r="J400" s="1" t="s">
        <v>51</v>
      </c>
      <c r="K400" s="1" t="s">
        <v>1576</v>
      </c>
      <c r="L400" s="1" t="s">
        <v>29</v>
      </c>
      <c r="M400" s="1" t="s">
        <v>34</v>
      </c>
      <c r="N400" s="1" t="s">
        <v>1577</v>
      </c>
      <c r="O400">
        <v>478.48</v>
      </c>
      <c r="P400">
        <v>2</v>
      </c>
      <c r="Q400">
        <v>47.847999999999999</v>
      </c>
      <c r="R400" s="1" t="s">
        <v>4425</v>
      </c>
      <c r="S400">
        <v>2017</v>
      </c>
      <c r="T400" s="1" t="s">
        <v>45</v>
      </c>
    </row>
    <row r="401" spans="1:20" x14ac:dyDescent="0.25">
      <c r="A401" s="1" t="s">
        <v>1578</v>
      </c>
      <c r="B401" s="2">
        <v>42038</v>
      </c>
      <c r="C401" s="2">
        <v>42039</v>
      </c>
      <c r="D401" s="1" t="s">
        <v>81</v>
      </c>
      <c r="E401" s="1" t="s">
        <v>1579</v>
      </c>
      <c r="F401" s="1" t="s">
        <v>1580</v>
      </c>
      <c r="G401" s="1" t="s">
        <v>84</v>
      </c>
      <c r="H401" s="1" t="s">
        <v>49</v>
      </c>
      <c r="I401" s="1" t="s">
        <v>50</v>
      </c>
      <c r="J401" s="1" t="s">
        <v>51</v>
      </c>
      <c r="K401" s="1" t="s">
        <v>1581</v>
      </c>
      <c r="L401" s="1" t="s">
        <v>29</v>
      </c>
      <c r="M401" s="1" t="s">
        <v>53</v>
      </c>
      <c r="N401" s="1" t="s">
        <v>1582</v>
      </c>
      <c r="O401">
        <v>136.91999999999999</v>
      </c>
      <c r="P401">
        <v>4</v>
      </c>
      <c r="Q401">
        <v>41.076000000000001</v>
      </c>
      <c r="R401" s="1" t="s">
        <v>4425</v>
      </c>
      <c r="S401">
        <v>2015</v>
      </c>
      <c r="T401" s="1" t="s">
        <v>289</v>
      </c>
    </row>
    <row r="402" spans="1:20" x14ac:dyDescent="0.25">
      <c r="A402" s="1" t="s">
        <v>1583</v>
      </c>
      <c r="B402" s="2">
        <v>43087</v>
      </c>
      <c r="C402" s="2">
        <v>43092</v>
      </c>
      <c r="D402" s="1" t="s">
        <v>37</v>
      </c>
      <c r="E402" s="1" t="s">
        <v>1584</v>
      </c>
      <c r="F402" s="1" t="s">
        <v>1585</v>
      </c>
      <c r="G402" s="1" t="s">
        <v>24</v>
      </c>
      <c r="H402" s="1" t="s">
        <v>752</v>
      </c>
      <c r="I402" s="1" t="s">
        <v>114</v>
      </c>
      <c r="J402" s="1" t="s">
        <v>63</v>
      </c>
      <c r="K402" s="1" t="s">
        <v>1586</v>
      </c>
      <c r="L402" s="1" t="s">
        <v>29</v>
      </c>
      <c r="M402" s="1" t="s">
        <v>53</v>
      </c>
      <c r="N402" s="1" t="s">
        <v>1587</v>
      </c>
      <c r="O402">
        <v>18.96</v>
      </c>
      <c r="P402">
        <v>2</v>
      </c>
      <c r="Q402">
        <v>8.532</v>
      </c>
      <c r="R402" s="1" t="s">
        <v>4422</v>
      </c>
      <c r="S402">
        <v>2017</v>
      </c>
      <c r="T402" s="1" t="s">
        <v>90</v>
      </c>
    </row>
    <row r="403" spans="1:20" x14ac:dyDescent="0.25">
      <c r="A403" s="1" t="s">
        <v>1588</v>
      </c>
      <c r="B403" s="2">
        <v>42964</v>
      </c>
      <c r="C403" s="2">
        <v>42966</v>
      </c>
      <c r="D403" s="1" t="s">
        <v>81</v>
      </c>
      <c r="E403" s="1" t="s">
        <v>1589</v>
      </c>
      <c r="F403" s="1" t="s">
        <v>1590</v>
      </c>
      <c r="G403" s="1" t="s">
        <v>84</v>
      </c>
      <c r="H403" s="1" t="s">
        <v>1356</v>
      </c>
      <c r="I403" s="1" t="s">
        <v>114</v>
      </c>
      <c r="J403" s="1" t="s">
        <v>63</v>
      </c>
      <c r="K403" s="1" t="s">
        <v>1591</v>
      </c>
      <c r="L403" s="1" t="s">
        <v>29</v>
      </c>
      <c r="M403" s="1" t="s">
        <v>34</v>
      </c>
      <c r="N403" s="1" t="s">
        <v>1592</v>
      </c>
      <c r="O403">
        <v>462.56400000000002</v>
      </c>
      <c r="P403">
        <v>2</v>
      </c>
      <c r="Q403">
        <v>97.6524</v>
      </c>
      <c r="R403" s="1" t="s">
        <v>4423</v>
      </c>
      <c r="S403">
        <v>2017</v>
      </c>
      <c r="T403" s="1" t="s">
        <v>245</v>
      </c>
    </row>
    <row r="404" spans="1:20" x14ac:dyDescent="0.25">
      <c r="A404" s="1" t="s">
        <v>1593</v>
      </c>
      <c r="B404" s="2">
        <v>42953</v>
      </c>
      <c r="C404" s="2">
        <v>42957</v>
      </c>
      <c r="D404" s="1" t="s">
        <v>21</v>
      </c>
      <c r="E404" s="1" t="s">
        <v>730</v>
      </c>
      <c r="F404" s="1" t="s">
        <v>731</v>
      </c>
      <c r="G404" s="1" t="s">
        <v>24</v>
      </c>
      <c r="H404" s="1" t="s">
        <v>1396</v>
      </c>
      <c r="I404" s="1" t="s">
        <v>1397</v>
      </c>
      <c r="J404" s="1" t="s">
        <v>27</v>
      </c>
      <c r="K404" s="1" t="s">
        <v>1594</v>
      </c>
      <c r="L404" s="1" t="s">
        <v>29</v>
      </c>
      <c r="M404" s="1" t="s">
        <v>30</v>
      </c>
      <c r="N404" s="1" t="s">
        <v>1595</v>
      </c>
      <c r="O404">
        <v>145.74</v>
      </c>
      <c r="P404">
        <v>3</v>
      </c>
      <c r="Q404">
        <v>23.3184</v>
      </c>
      <c r="R404" s="1" t="s">
        <v>4424</v>
      </c>
      <c r="S404">
        <v>2017</v>
      </c>
      <c r="T404" s="1" t="s">
        <v>245</v>
      </c>
    </row>
    <row r="405" spans="1:20" x14ac:dyDescent="0.25">
      <c r="A405" s="1" t="s">
        <v>1593</v>
      </c>
      <c r="B405" s="2">
        <v>42953</v>
      </c>
      <c r="C405" s="2">
        <v>42957</v>
      </c>
      <c r="D405" s="1" t="s">
        <v>21</v>
      </c>
      <c r="E405" s="1" t="s">
        <v>730</v>
      </c>
      <c r="F405" s="1" t="s">
        <v>731</v>
      </c>
      <c r="G405" s="1" t="s">
        <v>24</v>
      </c>
      <c r="H405" s="1" t="s">
        <v>1396</v>
      </c>
      <c r="I405" s="1" t="s">
        <v>1397</v>
      </c>
      <c r="J405" s="1" t="s">
        <v>27</v>
      </c>
      <c r="K405" s="1" t="s">
        <v>105</v>
      </c>
      <c r="L405" s="1" t="s">
        <v>29</v>
      </c>
      <c r="M405" s="1" t="s">
        <v>53</v>
      </c>
      <c r="N405" s="1" t="s">
        <v>106</v>
      </c>
      <c r="O405">
        <v>15.4</v>
      </c>
      <c r="P405">
        <v>5</v>
      </c>
      <c r="Q405">
        <v>7.3920000000000003</v>
      </c>
      <c r="R405" s="1" t="s">
        <v>4424</v>
      </c>
      <c r="S405">
        <v>2017</v>
      </c>
      <c r="T405" s="1" t="s">
        <v>245</v>
      </c>
    </row>
    <row r="406" spans="1:20" x14ac:dyDescent="0.25">
      <c r="A406" s="1" t="s">
        <v>1596</v>
      </c>
      <c r="B406" s="2">
        <v>42149</v>
      </c>
      <c r="C406" s="2">
        <v>42151</v>
      </c>
      <c r="D406" s="1" t="s">
        <v>21</v>
      </c>
      <c r="E406" s="1" t="s">
        <v>1597</v>
      </c>
      <c r="F406" s="1" t="s">
        <v>1598</v>
      </c>
      <c r="G406" s="1" t="s">
        <v>94</v>
      </c>
      <c r="H406" s="1" t="s">
        <v>320</v>
      </c>
      <c r="I406" s="1" t="s">
        <v>50</v>
      </c>
      <c r="J406" s="1" t="s">
        <v>51</v>
      </c>
      <c r="K406" s="1" t="s">
        <v>1090</v>
      </c>
      <c r="L406" s="1" t="s">
        <v>29</v>
      </c>
      <c r="M406" s="1" t="s">
        <v>53</v>
      </c>
      <c r="N406" s="1" t="s">
        <v>1091</v>
      </c>
      <c r="O406">
        <v>14.73</v>
      </c>
      <c r="P406">
        <v>3</v>
      </c>
      <c r="Q406">
        <v>4.8609</v>
      </c>
      <c r="R406" s="1" t="s">
        <v>4423</v>
      </c>
      <c r="S406">
        <v>2015</v>
      </c>
      <c r="T406" s="1" t="s">
        <v>153</v>
      </c>
    </row>
    <row r="407" spans="1:20" x14ac:dyDescent="0.25">
      <c r="A407" s="1" t="s">
        <v>1599</v>
      </c>
      <c r="B407" s="2">
        <v>42559</v>
      </c>
      <c r="C407" s="2">
        <v>42563</v>
      </c>
      <c r="D407" s="1" t="s">
        <v>37</v>
      </c>
      <c r="E407" s="1" t="s">
        <v>1600</v>
      </c>
      <c r="F407" s="1" t="s">
        <v>1601</v>
      </c>
      <c r="G407" s="1" t="s">
        <v>24</v>
      </c>
      <c r="H407" s="1" t="s">
        <v>1602</v>
      </c>
      <c r="I407" s="1" t="s">
        <v>172</v>
      </c>
      <c r="J407" s="1" t="s">
        <v>51</v>
      </c>
      <c r="K407" s="1" t="s">
        <v>238</v>
      </c>
      <c r="L407" s="1" t="s">
        <v>29</v>
      </c>
      <c r="M407" s="1" t="s">
        <v>34</v>
      </c>
      <c r="N407" s="1" t="s">
        <v>239</v>
      </c>
      <c r="O407">
        <v>662.88</v>
      </c>
      <c r="P407">
        <v>3</v>
      </c>
      <c r="Q407">
        <v>74.573999999999998</v>
      </c>
      <c r="R407" s="1" t="s">
        <v>4424</v>
      </c>
      <c r="S407">
        <v>2016</v>
      </c>
      <c r="T407" s="1" t="s">
        <v>66</v>
      </c>
    </row>
    <row r="408" spans="1:20" x14ac:dyDescent="0.25">
      <c r="A408" s="1" t="s">
        <v>1603</v>
      </c>
      <c r="B408" s="2">
        <v>42980</v>
      </c>
      <c r="C408" s="2">
        <v>42984</v>
      </c>
      <c r="D408" s="1" t="s">
        <v>37</v>
      </c>
      <c r="E408" s="1" t="s">
        <v>1604</v>
      </c>
      <c r="F408" s="1" t="s">
        <v>1605</v>
      </c>
      <c r="G408" s="1" t="s">
        <v>84</v>
      </c>
      <c r="H408" s="1" t="s">
        <v>165</v>
      </c>
      <c r="I408" s="1" t="s">
        <v>114</v>
      </c>
      <c r="J408" s="1" t="s">
        <v>63</v>
      </c>
      <c r="K408" s="1" t="s">
        <v>1487</v>
      </c>
      <c r="L408" s="1" t="s">
        <v>29</v>
      </c>
      <c r="M408" s="1" t="s">
        <v>53</v>
      </c>
      <c r="N408" s="1" t="s">
        <v>1488</v>
      </c>
      <c r="O408">
        <v>11.54</v>
      </c>
      <c r="P408">
        <v>2</v>
      </c>
      <c r="Q408">
        <v>3.4620000000000002</v>
      </c>
      <c r="R408" s="1" t="s">
        <v>4424</v>
      </c>
      <c r="S408">
        <v>2017</v>
      </c>
      <c r="T408" s="1" t="s">
        <v>72</v>
      </c>
    </row>
    <row r="409" spans="1:20" x14ac:dyDescent="0.25">
      <c r="A409" s="1" t="s">
        <v>1603</v>
      </c>
      <c r="B409" s="2">
        <v>42980</v>
      </c>
      <c r="C409" s="2">
        <v>42984</v>
      </c>
      <c r="D409" s="1" t="s">
        <v>37</v>
      </c>
      <c r="E409" s="1" t="s">
        <v>1604</v>
      </c>
      <c r="F409" s="1" t="s">
        <v>1605</v>
      </c>
      <c r="G409" s="1" t="s">
        <v>84</v>
      </c>
      <c r="H409" s="1" t="s">
        <v>165</v>
      </c>
      <c r="I409" s="1" t="s">
        <v>114</v>
      </c>
      <c r="J409" s="1" t="s">
        <v>63</v>
      </c>
      <c r="K409" s="1" t="s">
        <v>512</v>
      </c>
      <c r="L409" s="1" t="s">
        <v>29</v>
      </c>
      <c r="M409" s="1" t="s">
        <v>43</v>
      </c>
      <c r="N409" s="1" t="s">
        <v>513</v>
      </c>
      <c r="O409">
        <v>254.52600000000001</v>
      </c>
      <c r="P409">
        <v>1</v>
      </c>
      <c r="Q409">
        <v>-93.3262</v>
      </c>
      <c r="R409" s="1" t="s">
        <v>4424</v>
      </c>
      <c r="S409">
        <v>2017</v>
      </c>
      <c r="T409" s="1" t="s">
        <v>72</v>
      </c>
    </row>
    <row r="410" spans="1:20" x14ac:dyDescent="0.25">
      <c r="A410" s="1" t="s">
        <v>1603</v>
      </c>
      <c r="B410" s="2">
        <v>42980</v>
      </c>
      <c r="C410" s="2">
        <v>42984</v>
      </c>
      <c r="D410" s="1" t="s">
        <v>37</v>
      </c>
      <c r="E410" s="1" t="s">
        <v>1604</v>
      </c>
      <c r="F410" s="1" t="s">
        <v>1605</v>
      </c>
      <c r="G410" s="1" t="s">
        <v>84</v>
      </c>
      <c r="H410" s="1" t="s">
        <v>165</v>
      </c>
      <c r="I410" s="1" t="s">
        <v>114</v>
      </c>
      <c r="J410" s="1" t="s">
        <v>63</v>
      </c>
      <c r="K410" s="1" t="s">
        <v>566</v>
      </c>
      <c r="L410" s="1" t="s">
        <v>29</v>
      </c>
      <c r="M410" s="1" t="s">
        <v>34</v>
      </c>
      <c r="N410" s="1" t="s">
        <v>567</v>
      </c>
      <c r="O410">
        <v>1282.4100000000001</v>
      </c>
      <c r="P410">
        <v>5</v>
      </c>
      <c r="Q410">
        <v>213.73500000000001</v>
      </c>
      <c r="R410" s="1" t="s">
        <v>4424</v>
      </c>
      <c r="S410">
        <v>2017</v>
      </c>
      <c r="T410" s="1" t="s">
        <v>72</v>
      </c>
    </row>
    <row r="411" spans="1:20" x14ac:dyDescent="0.25">
      <c r="A411" s="1" t="s">
        <v>1606</v>
      </c>
      <c r="B411" s="2">
        <v>41930</v>
      </c>
      <c r="C411" s="2">
        <v>41932</v>
      </c>
      <c r="D411" s="1" t="s">
        <v>21</v>
      </c>
      <c r="E411" s="1" t="s">
        <v>363</v>
      </c>
      <c r="F411" s="1" t="s">
        <v>364</v>
      </c>
      <c r="G411" s="1" t="s">
        <v>84</v>
      </c>
      <c r="H411" s="1" t="s">
        <v>1607</v>
      </c>
      <c r="I411" s="1" t="s">
        <v>1267</v>
      </c>
      <c r="J411" s="1" t="s">
        <v>27</v>
      </c>
      <c r="K411" s="1" t="s">
        <v>1608</v>
      </c>
      <c r="L411" s="1" t="s">
        <v>29</v>
      </c>
      <c r="M411" s="1" t="s">
        <v>34</v>
      </c>
      <c r="N411" s="1" t="s">
        <v>1609</v>
      </c>
      <c r="O411">
        <v>545.88</v>
      </c>
      <c r="P411">
        <v>6</v>
      </c>
      <c r="Q411">
        <v>70.964399999999998</v>
      </c>
      <c r="R411" s="1" t="s">
        <v>4423</v>
      </c>
      <c r="S411">
        <v>2014</v>
      </c>
      <c r="T411" s="1" t="s">
        <v>45</v>
      </c>
    </row>
    <row r="412" spans="1:20" x14ac:dyDescent="0.25">
      <c r="A412" s="1" t="s">
        <v>1610</v>
      </c>
      <c r="B412" s="2">
        <v>42474</v>
      </c>
      <c r="C412" s="2">
        <v>42474</v>
      </c>
      <c r="D412" s="1" t="s">
        <v>417</v>
      </c>
      <c r="E412" s="1" t="s">
        <v>1206</v>
      </c>
      <c r="F412" s="1" t="s">
        <v>1207</v>
      </c>
      <c r="G412" s="1" t="s">
        <v>24</v>
      </c>
      <c r="H412" s="1" t="s">
        <v>1293</v>
      </c>
      <c r="I412" s="1" t="s">
        <v>511</v>
      </c>
      <c r="J412" s="1" t="s">
        <v>51</v>
      </c>
      <c r="K412" s="1" t="s">
        <v>373</v>
      </c>
      <c r="L412" s="1" t="s">
        <v>29</v>
      </c>
      <c r="M412" s="1" t="s">
        <v>34</v>
      </c>
      <c r="N412" s="1" t="s">
        <v>374</v>
      </c>
      <c r="O412">
        <v>933.53599999999994</v>
      </c>
      <c r="P412">
        <v>4</v>
      </c>
      <c r="Q412">
        <v>105.0228</v>
      </c>
      <c r="R412" s="1" t="s">
        <v>4427</v>
      </c>
      <c r="S412">
        <v>2016</v>
      </c>
      <c r="T412" s="1" t="s">
        <v>107</v>
      </c>
    </row>
    <row r="413" spans="1:20" x14ac:dyDescent="0.25">
      <c r="A413" s="1" t="s">
        <v>1611</v>
      </c>
      <c r="B413" s="2">
        <v>41968</v>
      </c>
      <c r="C413" s="2">
        <v>41970</v>
      </c>
      <c r="D413" s="1" t="s">
        <v>21</v>
      </c>
      <c r="E413" s="1" t="s">
        <v>1612</v>
      </c>
      <c r="F413" s="1" t="s">
        <v>1613</v>
      </c>
      <c r="G413" s="1" t="s">
        <v>84</v>
      </c>
      <c r="H413" s="1" t="s">
        <v>1614</v>
      </c>
      <c r="I413" s="1" t="s">
        <v>50</v>
      </c>
      <c r="J413" s="1" t="s">
        <v>51</v>
      </c>
      <c r="K413" s="1" t="s">
        <v>918</v>
      </c>
      <c r="L413" s="1" t="s">
        <v>29</v>
      </c>
      <c r="M413" s="1" t="s">
        <v>53</v>
      </c>
      <c r="N413" s="1" t="s">
        <v>308</v>
      </c>
      <c r="O413">
        <v>23.88</v>
      </c>
      <c r="P413">
        <v>3</v>
      </c>
      <c r="Q413">
        <v>10.507199999999999</v>
      </c>
      <c r="R413" s="1" t="s">
        <v>4423</v>
      </c>
      <c r="S413">
        <v>2014</v>
      </c>
      <c r="T413" s="1" t="s">
        <v>32</v>
      </c>
    </row>
    <row r="414" spans="1:20" x14ac:dyDescent="0.25">
      <c r="A414" s="1" t="s">
        <v>1615</v>
      </c>
      <c r="B414" s="2">
        <v>42317</v>
      </c>
      <c r="C414" s="2">
        <v>42321</v>
      </c>
      <c r="D414" s="1" t="s">
        <v>37</v>
      </c>
      <c r="E414" s="1" t="s">
        <v>1616</v>
      </c>
      <c r="F414" s="1" t="s">
        <v>1617</v>
      </c>
      <c r="G414" s="1" t="s">
        <v>24</v>
      </c>
      <c r="H414" s="1" t="s">
        <v>869</v>
      </c>
      <c r="I414" s="1" t="s">
        <v>556</v>
      </c>
      <c r="J414" s="1" t="s">
        <v>87</v>
      </c>
      <c r="K414" s="1" t="s">
        <v>1618</v>
      </c>
      <c r="L414" s="1" t="s">
        <v>29</v>
      </c>
      <c r="M414" s="1" t="s">
        <v>43</v>
      </c>
      <c r="N414" s="1" t="s">
        <v>1619</v>
      </c>
      <c r="O414">
        <v>1024.3800000000001</v>
      </c>
      <c r="P414">
        <v>7</v>
      </c>
      <c r="Q414">
        <v>215.1198</v>
      </c>
      <c r="R414" s="1" t="s">
        <v>4424</v>
      </c>
      <c r="S414">
        <v>2015</v>
      </c>
      <c r="T414" s="1" t="s">
        <v>32</v>
      </c>
    </row>
    <row r="415" spans="1:20" x14ac:dyDescent="0.25">
      <c r="A415" s="1" t="s">
        <v>1620</v>
      </c>
      <c r="B415" s="2">
        <v>43071</v>
      </c>
      <c r="C415" s="2">
        <v>43073</v>
      </c>
      <c r="D415" s="1" t="s">
        <v>21</v>
      </c>
      <c r="E415" s="1" t="s">
        <v>1621</v>
      </c>
      <c r="F415" s="1" t="s">
        <v>1622</v>
      </c>
      <c r="G415" s="1" t="s">
        <v>24</v>
      </c>
      <c r="H415" s="1" t="s">
        <v>95</v>
      </c>
      <c r="I415" s="1" t="s">
        <v>86</v>
      </c>
      <c r="J415" s="1" t="s">
        <v>87</v>
      </c>
      <c r="K415" s="1" t="s">
        <v>611</v>
      </c>
      <c r="L415" s="1" t="s">
        <v>29</v>
      </c>
      <c r="M415" s="1" t="s">
        <v>53</v>
      </c>
      <c r="N415" s="1" t="s">
        <v>612</v>
      </c>
      <c r="O415">
        <v>8.7520000000000007</v>
      </c>
      <c r="P415">
        <v>4</v>
      </c>
      <c r="Q415">
        <v>-3.7195999999999998</v>
      </c>
      <c r="R415" s="1" t="s">
        <v>4423</v>
      </c>
      <c r="S415">
        <v>2017</v>
      </c>
      <c r="T415" s="1" t="s">
        <v>90</v>
      </c>
    </row>
    <row r="416" spans="1:20" x14ac:dyDescent="0.25">
      <c r="A416" s="1" t="s">
        <v>1623</v>
      </c>
      <c r="B416" s="2">
        <v>43094</v>
      </c>
      <c r="C416" s="2">
        <v>43097</v>
      </c>
      <c r="D416" s="1" t="s">
        <v>21</v>
      </c>
      <c r="E416" s="1" t="s">
        <v>1459</v>
      </c>
      <c r="F416" s="1" t="s">
        <v>1460</v>
      </c>
      <c r="G416" s="1" t="s">
        <v>24</v>
      </c>
      <c r="H416" s="1" t="s">
        <v>856</v>
      </c>
      <c r="I416" s="1" t="s">
        <v>26</v>
      </c>
      <c r="J416" s="1" t="s">
        <v>27</v>
      </c>
      <c r="K416" s="1" t="s">
        <v>127</v>
      </c>
      <c r="L416" s="1" t="s">
        <v>29</v>
      </c>
      <c r="M416" s="1" t="s">
        <v>34</v>
      </c>
      <c r="N416" s="1" t="s">
        <v>128</v>
      </c>
      <c r="O416">
        <v>304.45</v>
      </c>
      <c r="P416">
        <v>5</v>
      </c>
      <c r="Q416">
        <v>76.112499999999997</v>
      </c>
      <c r="R416" s="1" t="s">
        <v>4420</v>
      </c>
      <c r="S416">
        <v>2017</v>
      </c>
      <c r="T416" s="1" t="s">
        <v>90</v>
      </c>
    </row>
    <row r="417" spans="1:20" x14ac:dyDescent="0.25">
      <c r="A417" s="1" t="s">
        <v>1624</v>
      </c>
      <c r="B417" s="2">
        <v>42950</v>
      </c>
      <c r="C417" s="2">
        <v>42951</v>
      </c>
      <c r="D417" s="1" t="s">
        <v>81</v>
      </c>
      <c r="E417" s="1" t="s">
        <v>1625</v>
      </c>
      <c r="F417" s="1" t="s">
        <v>1626</v>
      </c>
      <c r="G417" s="1" t="s">
        <v>24</v>
      </c>
      <c r="H417" s="1" t="s">
        <v>125</v>
      </c>
      <c r="I417" s="1" t="s">
        <v>126</v>
      </c>
      <c r="J417" s="1" t="s">
        <v>87</v>
      </c>
      <c r="K417" s="1" t="s">
        <v>1627</v>
      </c>
      <c r="L417" s="1" t="s">
        <v>29</v>
      </c>
      <c r="M417" s="1" t="s">
        <v>30</v>
      </c>
      <c r="N417" s="1" t="s">
        <v>1628</v>
      </c>
      <c r="O417">
        <v>183.37200000000001</v>
      </c>
      <c r="P417">
        <v>2</v>
      </c>
      <c r="Q417">
        <v>-36.674399999999999</v>
      </c>
      <c r="R417" s="1" t="s">
        <v>4425</v>
      </c>
      <c r="S417">
        <v>2017</v>
      </c>
      <c r="T417" s="1" t="s">
        <v>245</v>
      </c>
    </row>
    <row r="418" spans="1:20" x14ac:dyDescent="0.25">
      <c r="A418" s="1" t="s">
        <v>1629</v>
      </c>
      <c r="B418" s="2">
        <v>42631</v>
      </c>
      <c r="C418" s="2">
        <v>42636</v>
      </c>
      <c r="D418" s="1" t="s">
        <v>37</v>
      </c>
      <c r="E418" s="1" t="s">
        <v>1630</v>
      </c>
      <c r="F418" s="1" t="s">
        <v>1631</v>
      </c>
      <c r="G418" s="1" t="s">
        <v>24</v>
      </c>
      <c r="H418" s="1" t="s">
        <v>943</v>
      </c>
      <c r="I418" s="1" t="s">
        <v>1267</v>
      </c>
      <c r="J418" s="1" t="s">
        <v>27</v>
      </c>
      <c r="K418" s="1" t="s">
        <v>1477</v>
      </c>
      <c r="L418" s="1" t="s">
        <v>29</v>
      </c>
      <c r="M418" s="1" t="s">
        <v>34</v>
      </c>
      <c r="N418" s="1" t="s">
        <v>1478</v>
      </c>
      <c r="O418">
        <v>350.98</v>
      </c>
      <c r="P418">
        <v>1</v>
      </c>
      <c r="Q418">
        <v>84.235200000000006</v>
      </c>
      <c r="R418" s="1" t="s">
        <v>4422</v>
      </c>
      <c r="S418">
        <v>2016</v>
      </c>
      <c r="T418" s="1" t="s">
        <v>72</v>
      </c>
    </row>
    <row r="419" spans="1:20" x14ac:dyDescent="0.25">
      <c r="A419" s="1" t="s">
        <v>1632</v>
      </c>
      <c r="B419" s="2">
        <v>42632</v>
      </c>
      <c r="C419" s="2">
        <v>42634</v>
      </c>
      <c r="D419" s="1" t="s">
        <v>81</v>
      </c>
      <c r="E419" s="1" t="s">
        <v>1633</v>
      </c>
      <c r="F419" s="1" t="s">
        <v>1634</v>
      </c>
      <c r="G419" s="1" t="s">
        <v>94</v>
      </c>
      <c r="H419" s="1" t="s">
        <v>1635</v>
      </c>
      <c r="I419" s="1" t="s">
        <v>1636</v>
      </c>
      <c r="J419" s="1" t="s">
        <v>63</v>
      </c>
      <c r="K419" s="1" t="s">
        <v>807</v>
      </c>
      <c r="L419" s="1" t="s">
        <v>29</v>
      </c>
      <c r="M419" s="1" t="s">
        <v>34</v>
      </c>
      <c r="N419" s="1" t="s">
        <v>808</v>
      </c>
      <c r="O419">
        <v>872.32</v>
      </c>
      <c r="P419">
        <v>4</v>
      </c>
      <c r="Q419">
        <v>244.24959999999999</v>
      </c>
      <c r="R419" s="1" t="s">
        <v>4423</v>
      </c>
      <c r="S419">
        <v>2016</v>
      </c>
      <c r="T419" s="1" t="s">
        <v>72</v>
      </c>
    </row>
    <row r="420" spans="1:20" x14ac:dyDescent="0.25">
      <c r="A420" s="1" t="s">
        <v>1637</v>
      </c>
      <c r="B420" s="2">
        <v>42076</v>
      </c>
      <c r="C420" s="2">
        <v>42078</v>
      </c>
      <c r="D420" s="1" t="s">
        <v>81</v>
      </c>
      <c r="E420" s="1" t="s">
        <v>1394</v>
      </c>
      <c r="F420" s="1" t="s">
        <v>1395</v>
      </c>
      <c r="G420" s="1" t="s">
        <v>24</v>
      </c>
      <c r="H420" s="1" t="s">
        <v>183</v>
      </c>
      <c r="I420" s="1" t="s">
        <v>184</v>
      </c>
      <c r="J420" s="1" t="s">
        <v>51</v>
      </c>
      <c r="K420" s="1" t="s">
        <v>801</v>
      </c>
      <c r="L420" s="1" t="s">
        <v>29</v>
      </c>
      <c r="M420" s="1" t="s">
        <v>30</v>
      </c>
      <c r="N420" s="1" t="s">
        <v>802</v>
      </c>
      <c r="O420">
        <v>141.96</v>
      </c>
      <c r="P420">
        <v>2</v>
      </c>
      <c r="Q420">
        <v>39.748800000000003</v>
      </c>
      <c r="R420" s="1" t="s">
        <v>4423</v>
      </c>
      <c r="S420">
        <v>2015</v>
      </c>
      <c r="T420" s="1" t="s">
        <v>187</v>
      </c>
    </row>
    <row r="421" spans="1:20" x14ac:dyDescent="0.25">
      <c r="A421" s="1" t="s">
        <v>1638</v>
      </c>
      <c r="B421" s="2">
        <v>43003</v>
      </c>
      <c r="C421" s="2">
        <v>43007</v>
      </c>
      <c r="D421" s="1" t="s">
        <v>37</v>
      </c>
      <c r="E421" s="1" t="s">
        <v>1639</v>
      </c>
      <c r="F421" s="1" t="s">
        <v>1640</v>
      </c>
      <c r="G421" s="1" t="s">
        <v>24</v>
      </c>
      <c r="H421" s="1" t="s">
        <v>885</v>
      </c>
      <c r="I421" s="1" t="s">
        <v>158</v>
      </c>
      <c r="J421" s="1" t="s">
        <v>87</v>
      </c>
      <c r="K421" s="1" t="s">
        <v>108</v>
      </c>
      <c r="L421" s="1" t="s">
        <v>29</v>
      </c>
      <c r="M421" s="1" t="s">
        <v>34</v>
      </c>
      <c r="N421" s="1" t="s">
        <v>109</v>
      </c>
      <c r="O421">
        <v>269.97000000000003</v>
      </c>
      <c r="P421">
        <v>3</v>
      </c>
      <c r="Q421">
        <v>51.2943</v>
      </c>
      <c r="R421" s="1" t="s">
        <v>4424</v>
      </c>
      <c r="S421">
        <v>2017</v>
      </c>
      <c r="T421" s="1" t="s">
        <v>72</v>
      </c>
    </row>
    <row r="422" spans="1:20" x14ac:dyDescent="0.25">
      <c r="A422" s="1" t="s">
        <v>1641</v>
      </c>
      <c r="B422" s="2">
        <v>42173</v>
      </c>
      <c r="C422" s="2">
        <v>42178</v>
      </c>
      <c r="D422" s="1" t="s">
        <v>37</v>
      </c>
      <c r="E422" s="1" t="s">
        <v>1642</v>
      </c>
      <c r="F422" s="1" t="s">
        <v>1643</v>
      </c>
      <c r="G422" s="1" t="s">
        <v>94</v>
      </c>
      <c r="H422" s="1" t="s">
        <v>1370</v>
      </c>
      <c r="I422" s="1" t="s">
        <v>511</v>
      </c>
      <c r="J422" s="1" t="s">
        <v>51</v>
      </c>
      <c r="K422" s="1" t="s">
        <v>1533</v>
      </c>
      <c r="L422" s="1" t="s">
        <v>29</v>
      </c>
      <c r="M422" s="1" t="s">
        <v>53</v>
      </c>
      <c r="N422" s="1" t="s">
        <v>1534</v>
      </c>
      <c r="O422">
        <v>75.36</v>
      </c>
      <c r="P422">
        <v>5</v>
      </c>
      <c r="Q422">
        <v>20.724</v>
      </c>
      <c r="R422" s="1" t="s">
        <v>4422</v>
      </c>
      <c r="S422">
        <v>2015</v>
      </c>
      <c r="T422" s="1" t="s">
        <v>55</v>
      </c>
    </row>
    <row r="423" spans="1:20" x14ac:dyDescent="0.25">
      <c r="A423" s="1" t="s">
        <v>1644</v>
      </c>
      <c r="B423" s="2">
        <v>42196</v>
      </c>
      <c r="C423" s="2">
        <v>42198</v>
      </c>
      <c r="D423" s="1" t="s">
        <v>81</v>
      </c>
      <c r="E423" s="1" t="s">
        <v>1645</v>
      </c>
      <c r="F423" s="1" t="s">
        <v>1646</v>
      </c>
      <c r="G423" s="1" t="s">
        <v>24</v>
      </c>
      <c r="H423" s="1" t="s">
        <v>61</v>
      </c>
      <c r="I423" s="1" t="s">
        <v>62</v>
      </c>
      <c r="J423" s="1" t="s">
        <v>63</v>
      </c>
      <c r="K423" s="1" t="s">
        <v>78</v>
      </c>
      <c r="L423" s="1" t="s">
        <v>29</v>
      </c>
      <c r="M423" s="1" t="s">
        <v>53</v>
      </c>
      <c r="N423" s="1" t="s">
        <v>79</v>
      </c>
      <c r="O423">
        <v>289.8</v>
      </c>
      <c r="P423">
        <v>7</v>
      </c>
      <c r="Q423">
        <v>36.225000000000001</v>
      </c>
      <c r="R423" s="1" t="s">
        <v>4423</v>
      </c>
      <c r="S423">
        <v>2015</v>
      </c>
      <c r="T423" s="1" t="s">
        <v>66</v>
      </c>
    </row>
    <row r="424" spans="1:20" x14ac:dyDescent="0.25">
      <c r="A424" s="1" t="s">
        <v>1644</v>
      </c>
      <c r="B424" s="2">
        <v>42196</v>
      </c>
      <c r="C424" s="2">
        <v>42198</v>
      </c>
      <c r="D424" s="1" t="s">
        <v>81</v>
      </c>
      <c r="E424" s="1" t="s">
        <v>1645</v>
      </c>
      <c r="F424" s="1" t="s">
        <v>1646</v>
      </c>
      <c r="G424" s="1" t="s">
        <v>24</v>
      </c>
      <c r="H424" s="1" t="s">
        <v>61</v>
      </c>
      <c r="I424" s="1" t="s">
        <v>62</v>
      </c>
      <c r="J424" s="1" t="s">
        <v>63</v>
      </c>
      <c r="K424" s="1" t="s">
        <v>1647</v>
      </c>
      <c r="L424" s="1" t="s">
        <v>29</v>
      </c>
      <c r="M424" s="1" t="s">
        <v>34</v>
      </c>
      <c r="N424" s="1" t="s">
        <v>1648</v>
      </c>
      <c r="O424">
        <v>341.488</v>
      </c>
      <c r="P424">
        <v>8</v>
      </c>
      <c r="Q424">
        <v>-73.176000000000002</v>
      </c>
      <c r="R424" s="1" t="s">
        <v>4423</v>
      </c>
      <c r="S424">
        <v>2015</v>
      </c>
      <c r="T424" s="1" t="s">
        <v>66</v>
      </c>
    </row>
    <row r="425" spans="1:20" x14ac:dyDescent="0.25">
      <c r="A425" s="1" t="s">
        <v>1644</v>
      </c>
      <c r="B425" s="2">
        <v>42196</v>
      </c>
      <c r="C425" s="2">
        <v>42198</v>
      </c>
      <c r="D425" s="1" t="s">
        <v>81</v>
      </c>
      <c r="E425" s="1" t="s">
        <v>1645</v>
      </c>
      <c r="F425" s="1" t="s">
        <v>1646</v>
      </c>
      <c r="G425" s="1" t="s">
        <v>24</v>
      </c>
      <c r="H425" s="1" t="s">
        <v>61</v>
      </c>
      <c r="I425" s="1" t="s">
        <v>62</v>
      </c>
      <c r="J425" s="1" t="s">
        <v>63</v>
      </c>
      <c r="K425" s="1" t="s">
        <v>1649</v>
      </c>
      <c r="L425" s="1" t="s">
        <v>29</v>
      </c>
      <c r="M425" s="1" t="s">
        <v>53</v>
      </c>
      <c r="N425" s="1" t="s">
        <v>1650</v>
      </c>
      <c r="O425">
        <v>25.344000000000001</v>
      </c>
      <c r="P425">
        <v>6</v>
      </c>
      <c r="Q425">
        <v>3.4847999999999999</v>
      </c>
      <c r="R425" s="1" t="s">
        <v>4423</v>
      </c>
      <c r="S425">
        <v>2015</v>
      </c>
      <c r="T425" s="1" t="s">
        <v>66</v>
      </c>
    </row>
    <row r="426" spans="1:20" x14ac:dyDescent="0.25">
      <c r="A426" s="1" t="s">
        <v>1651</v>
      </c>
      <c r="B426" s="2">
        <v>42705</v>
      </c>
      <c r="C426" s="2">
        <v>42711</v>
      </c>
      <c r="D426" s="1" t="s">
        <v>37</v>
      </c>
      <c r="E426" s="1" t="s">
        <v>1652</v>
      </c>
      <c r="F426" s="1" t="s">
        <v>1653</v>
      </c>
      <c r="G426" s="1" t="s">
        <v>24</v>
      </c>
      <c r="H426" s="1" t="s">
        <v>626</v>
      </c>
      <c r="I426" s="1" t="s">
        <v>104</v>
      </c>
      <c r="J426" s="1" t="s">
        <v>87</v>
      </c>
      <c r="K426" s="1" t="s">
        <v>1487</v>
      </c>
      <c r="L426" s="1" t="s">
        <v>29</v>
      </c>
      <c r="M426" s="1" t="s">
        <v>53</v>
      </c>
      <c r="N426" s="1" t="s">
        <v>1488</v>
      </c>
      <c r="O426">
        <v>17.309999999999999</v>
      </c>
      <c r="P426">
        <v>3</v>
      </c>
      <c r="Q426">
        <v>5.1929999999999996</v>
      </c>
      <c r="R426" s="1" t="s">
        <v>4426</v>
      </c>
      <c r="S426">
        <v>2016</v>
      </c>
      <c r="T426" s="1" t="s">
        <v>90</v>
      </c>
    </row>
    <row r="427" spans="1:20" x14ac:dyDescent="0.25">
      <c r="A427" s="1" t="s">
        <v>1654</v>
      </c>
      <c r="B427" s="2">
        <v>43091</v>
      </c>
      <c r="C427" s="2">
        <v>43094</v>
      </c>
      <c r="D427" s="1" t="s">
        <v>81</v>
      </c>
      <c r="E427" s="1" t="s">
        <v>1655</v>
      </c>
      <c r="F427" s="1" t="s">
        <v>1656</v>
      </c>
      <c r="G427" s="1" t="s">
        <v>24</v>
      </c>
      <c r="H427" s="1" t="s">
        <v>280</v>
      </c>
      <c r="I427" s="1" t="s">
        <v>281</v>
      </c>
      <c r="J427" s="1" t="s">
        <v>87</v>
      </c>
      <c r="K427" s="1" t="s">
        <v>796</v>
      </c>
      <c r="L427" s="1" t="s">
        <v>29</v>
      </c>
      <c r="M427" s="1" t="s">
        <v>34</v>
      </c>
      <c r="N427" s="1" t="s">
        <v>797</v>
      </c>
      <c r="O427">
        <v>1586.69</v>
      </c>
      <c r="P427">
        <v>7</v>
      </c>
      <c r="Q427">
        <v>412.5394</v>
      </c>
      <c r="R427" s="1" t="s">
        <v>4420</v>
      </c>
      <c r="S427">
        <v>2017</v>
      </c>
      <c r="T427" s="1" t="s">
        <v>90</v>
      </c>
    </row>
    <row r="428" spans="1:20" x14ac:dyDescent="0.25">
      <c r="A428" s="1" t="s">
        <v>1654</v>
      </c>
      <c r="B428" s="2">
        <v>43091</v>
      </c>
      <c r="C428" s="2">
        <v>43094</v>
      </c>
      <c r="D428" s="1" t="s">
        <v>81</v>
      </c>
      <c r="E428" s="1" t="s">
        <v>1655</v>
      </c>
      <c r="F428" s="1" t="s">
        <v>1656</v>
      </c>
      <c r="G428" s="1" t="s">
        <v>24</v>
      </c>
      <c r="H428" s="1" t="s">
        <v>280</v>
      </c>
      <c r="I428" s="1" t="s">
        <v>281</v>
      </c>
      <c r="J428" s="1" t="s">
        <v>87</v>
      </c>
      <c r="K428" s="1" t="s">
        <v>204</v>
      </c>
      <c r="L428" s="1" t="s">
        <v>29</v>
      </c>
      <c r="M428" s="1" t="s">
        <v>43</v>
      </c>
      <c r="N428" s="1" t="s">
        <v>205</v>
      </c>
      <c r="O428">
        <v>411.8</v>
      </c>
      <c r="P428">
        <v>2</v>
      </c>
      <c r="Q428">
        <v>70.006</v>
      </c>
      <c r="R428" s="1" t="s">
        <v>4420</v>
      </c>
      <c r="S428">
        <v>2017</v>
      </c>
      <c r="T428" s="1" t="s">
        <v>90</v>
      </c>
    </row>
    <row r="429" spans="1:20" x14ac:dyDescent="0.25">
      <c r="A429" s="1" t="s">
        <v>1657</v>
      </c>
      <c r="B429" s="2">
        <v>41943</v>
      </c>
      <c r="C429" s="2">
        <v>41947</v>
      </c>
      <c r="D429" s="1" t="s">
        <v>37</v>
      </c>
      <c r="E429" s="1" t="s">
        <v>1658</v>
      </c>
      <c r="F429" s="1" t="s">
        <v>1659</v>
      </c>
      <c r="G429" s="1" t="s">
        <v>84</v>
      </c>
      <c r="H429" s="1" t="s">
        <v>49</v>
      </c>
      <c r="I429" s="1" t="s">
        <v>50</v>
      </c>
      <c r="J429" s="1" t="s">
        <v>51</v>
      </c>
      <c r="K429" s="1" t="s">
        <v>1647</v>
      </c>
      <c r="L429" s="1" t="s">
        <v>29</v>
      </c>
      <c r="M429" s="1" t="s">
        <v>34</v>
      </c>
      <c r="N429" s="1" t="s">
        <v>1648</v>
      </c>
      <c r="O429">
        <v>146.352</v>
      </c>
      <c r="P429">
        <v>3</v>
      </c>
      <c r="Q429">
        <v>-9.1470000000000002</v>
      </c>
      <c r="R429" s="1" t="s">
        <v>4424</v>
      </c>
      <c r="S429">
        <v>2014</v>
      </c>
      <c r="T429" s="1" t="s">
        <v>45</v>
      </c>
    </row>
    <row r="430" spans="1:20" x14ac:dyDescent="0.25">
      <c r="A430" s="1" t="s">
        <v>1660</v>
      </c>
      <c r="B430" s="2">
        <v>42107</v>
      </c>
      <c r="C430" s="2">
        <v>42113</v>
      </c>
      <c r="D430" s="1" t="s">
        <v>37</v>
      </c>
      <c r="E430" s="1" t="s">
        <v>834</v>
      </c>
      <c r="F430" s="1" t="s">
        <v>835</v>
      </c>
      <c r="G430" s="1" t="s">
        <v>24</v>
      </c>
      <c r="H430" s="1" t="s">
        <v>1661</v>
      </c>
      <c r="I430" s="1" t="s">
        <v>50</v>
      </c>
      <c r="J430" s="1" t="s">
        <v>51</v>
      </c>
      <c r="K430" s="1" t="s">
        <v>1662</v>
      </c>
      <c r="L430" s="1" t="s">
        <v>29</v>
      </c>
      <c r="M430" s="1" t="s">
        <v>43</v>
      </c>
      <c r="N430" s="1" t="s">
        <v>1663</v>
      </c>
      <c r="O430">
        <v>710.83199999999999</v>
      </c>
      <c r="P430">
        <v>3</v>
      </c>
      <c r="Q430">
        <v>-97.739400000000003</v>
      </c>
      <c r="R430" s="1" t="s">
        <v>4426</v>
      </c>
      <c r="S430">
        <v>2015</v>
      </c>
      <c r="T430" s="1" t="s">
        <v>107</v>
      </c>
    </row>
    <row r="431" spans="1:20" x14ac:dyDescent="0.25">
      <c r="A431" s="1" t="s">
        <v>1664</v>
      </c>
      <c r="B431" s="2">
        <v>43059</v>
      </c>
      <c r="C431" s="2">
        <v>43064</v>
      </c>
      <c r="D431" s="1" t="s">
        <v>37</v>
      </c>
      <c r="E431" s="1" t="s">
        <v>1665</v>
      </c>
      <c r="F431" s="1" t="s">
        <v>1666</v>
      </c>
      <c r="G431" s="1" t="s">
        <v>24</v>
      </c>
      <c r="H431" s="1" t="s">
        <v>1667</v>
      </c>
      <c r="I431" s="1" t="s">
        <v>50</v>
      </c>
      <c r="J431" s="1" t="s">
        <v>51</v>
      </c>
      <c r="K431" s="1" t="s">
        <v>449</v>
      </c>
      <c r="L431" s="1" t="s">
        <v>29</v>
      </c>
      <c r="M431" s="1" t="s">
        <v>34</v>
      </c>
      <c r="N431" s="1" t="s">
        <v>450</v>
      </c>
      <c r="O431">
        <v>283.92</v>
      </c>
      <c r="P431">
        <v>5</v>
      </c>
      <c r="Q431">
        <v>-46.137</v>
      </c>
      <c r="R431" s="1" t="s">
        <v>4422</v>
      </c>
      <c r="S431">
        <v>2017</v>
      </c>
      <c r="T431" s="1" t="s">
        <v>32</v>
      </c>
    </row>
    <row r="432" spans="1:20" x14ac:dyDescent="0.25">
      <c r="A432" s="1" t="s">
        <v>1668</v>
      </c>
      <c r="B432" s="2">
        <v>41974</v>
      </c>
      <c r="C432" s="2">
        <v>41978</v>
      </c>
      <c r="D432" s="1" t="s">
        <v>37</v>
      </c>
      <c r="E432" s="1" t="s">
        <v>1669</v>
      </c>
      <c r="F432" s="1" t="s">
        <v>1670</v>
      </c>
      <c r="G432" s="1" t="s">
        <v>24</v>
      </c>
      <c r="H432" s="1" t="s">
        <v>320</v>
      </c>
      <c r="I432" s="1" t="s">
        <v>50</v>
      </c>
      <c r="J432" s="1" t="s">
        <v>51</v>
      </c>
      <c r="K432" s="1" t="s">
        <v>355</v>
      </c>
      <c r="L432" s="1" t="s">
        <v>29</v>
      </c>
      <c r="M432" s="1" t="s">
        <v>53</v>
      </c>
      <c r="N432" s="1" t="s">
        <v>356</v>
      </c>
      <c r="O432">
        <v>58.2</v>
      </c>
      <c r="P432">
        <v>3</v>
      </c>
      <c r="Q432">
        <v>28.518000000000001</v>
      </c>
      <c r="R432" s="1" t="s">
        <v>4424</v>
      </c>
      <c r="S432">
        <v>2014</v>
      </c>
      <c r="T432" s="1" t="s">
        <v>90</v>
      </c>
    </row>
    <row r="433" spans="1:20" x14ac:dyDescent="0.25">
      <c r="A433" s="1" t="s">
        <v>1671</v>
      </c>
      <c r="B433" s="2">
        <v>42362</v>
      </c>
      <c r="C433" s="2">
        <v>42367</v>
      </c>
      <c r="D433" s="1" t="s">
        <v>37</v>
      </c>
      <c r="E433" s="1" t="s">
        <v>1672</v>
      </c>
      <c r="F433" s="1" t="s">
        <v>1673</v>
      </c>
      <c r="G433" s="1" t="s">
        <v>24</v>
      </c>
      <c r="H433" s="1" t="s">
        <v>510</v>
      </c>
      <c r="I433" s="1" t="s">
        <v>511</v>
      </c>
      <c r="J433" s="1" t="s">
        <v>51</v>
      </c>
      <c r="K433" s="1" t="s">
        <v>950</v>
      </c>
      <c r="L433" s="1" t="s">
        <v>29</v>
      </c>
      <c r="M433" s="1" t="s">
        <v>53</v>
      </c>
      <c r="N433" s="1" t="s">
        <v>951</v>
      </c>
      <c r="O433">
        <v>7.7119999999999997</v>
      </c>
      <c r="P433">
        <v>2</v>
      </c>
      <c r="Q433">
        <v>1.7352000000000001</v>
      </c>
      <c r="R433" s="1" t="s">
        <v>4422</v>
      </c>
      <c r="S433">
        <v>2015</v>
      </c>
      <c r="T433" s="1" t="s">
        <v>90</v>
      </c>
    </row>
    <row r="434" spans="1:20" x14ac:dyDescent="0.25">
      <c r="A434" s="1" t="s">
        <v>1674</v>
      </c>
      <c r="B434" s="2">
        <v>42931</v>
      </c>
      <c r="C434" s="2">
        <v>42935</v>
      </c>
      <c r="D434" s="1" t="s">
        <v>37</v>
      </c>
      <c r="E434" s="1" t="s">
        <v>1675</v>
      </c>
      <c r="F434" s="1" t="s">
        <v>1676</v>
      </c>
      <c r="G434" s="1" t="s">
        <v>24</v>
      </c>
      <c r="H434" s="1" t="s">
        <v>191</v>
      </c>
      <c r="I434" s="1" t="s">
        <v>192</v>
      </c>
      <c r="J434" s="1" t="s">
        <v>63</v>
      </c>
      <c r="K434" s="1" t="s">
        <v>1456</v>
      </c>
      <c r="L434" s="1" t="s">
        <v>29</v>
      </c>
      <c r="M434" s="1" t="s">
        <v>43</v>
      </c>
      <c r="N434" s="1" t="s">
        <v>1457</v>
      </c>
      <c r="O434">
        <v>310.44299999999998</v>
      </c>
      <c r="P434">
        <v>3</v>
      </c>
      <c r="Q434">
        <v>-48.783900000000003</v>
      </c>
      <c r="R434" s="1" t="s">
        <v>4424</v>
      </c>
      <c r="S434">
        <v>2017</v>
      </c>
      <c r="T434" s="1" t="s">
        <v>66</v>
      </c>
    </row>
    <row r="435" spans="1:20" x14ac:dyDescent="0.25">
      <c r="A435" s="1" t="s">
        <v>1677</v>
      </c>
      <c r="B435" s="2">
        <v>41960</v>
      </c>
      <c r="C435" s="2">
        <v>41964</v>
      </c>
      <c r="D435" s="1" t="s">
        <v>37</v>
      </c>
      <c r="E435" s="1" t="s">
        <v>250</v>
      </c>
      <c r="F435" s="1" t="s">
        <v>251</v>
      </c>
      <c r="G435" s="1" t="s">
        <v>94</v>
      </c>
      <c r="H435" s="1" t="s">
        <v>1678</v>
      </c>
      <c r="I435" s="1" t="s">
        <v>158</v>
      </c>
      <c r="J435" s="1" t="s">
        <v>87</v>
      </c>
      <c r="K435" s="1" t="s">
        <v>1270</v>
      </c>
      <c r="L435" s="1" t="s">
        <v>29</v>
      </c>
      <c r="M435" s="1" t="s">
        <v>34</v>
      </c>
      <c r="N435" s="1" t="s">
        <v>1271</v>
      </c>
      <c r="O435">
        <v>479.9</v>
      </c>
      <c r="P435">
        <v>5</v>
      </c>
      <c r="Q435">
        <v>81.582999999999998</v>
      </c>
      <c r="R435" s="1" t="s">
        <v>4424</v>
      </c>
      <c r="S435">
        <v>2014</v>
      </c>
      <c r="T435" s="1" t="s">
        <v>32</v>
      </c>
    </row>
    <row r="436" spans="1:20" x14ac:dyDescent="0.25">
      <c r="A436" s="1" t="s">
        <v>1679</v>
      </c>
      <c r="B436" s="2">
        <v>41838</v>
      </c>
      <c r="C436" s="2">
        <v>41838</v>
      </c>
      <c r="D436" s="1" t="s">
        <v>417</v>
      </c>
      <c r="E436" s="1" t="s">
        <v>1680</v>
      </c>
      <c r="F436" s="1" t="s">
        <v>1681</v>
      </c>
      <c r="G436" s="1" t="s">
        <v>94</v>
      </c>
      <c r="H436" s="1" t="s">
        <v>1213</v>
      </c>
      <c r="I436" s="1" t="s">
        <v>511</v>
      </c>
      <c r="J436" s="1" t="s">
        <v>51</v>
      </c>
      <c r="K436" s="1" t="s">
        <v>486</v>
      </c>
      <c r="L436" s="1" t="s">
        <v>29</v>
      </c>
      <c r="M436" s="1" t="s">
        <v>34</v>
      </c>
      <c r="N436" s="1" t="s">
        <v>487</v>
      </c>
      <c r="O436">
        <v>259.13600000000002</v>
      </c>
      <c r="P436">
        <v>4</v>
      </c>
      <c r="Q436">
        <v>-25.913599999999999</v>
      </c>
      <c r="R436" s="1" t="s">
        <v>4427</v>
      </c>
      <c r="S436">
        <v>2014</v>
      </c>
      <c r="T436" s="1" t="s">
        <v>66</v>
      </c>
    </row>
    <row r="437" spans="1:20" x14ac:dyDescent="0.25">
      <c r="A437" s="1" t="s">
        <v>1682</v>
      </c>
      <c r="B437" s="2">
        <v>42308</v>
      </c>
      <c r="C437" s="2">
        <v>42308</v>
      </c>
      <c r="D437" s="1" t="s">
        <v>417</v>
      </c>
      <c r="E437" s="1" t="s">
        <v>1683</v>
      </c>
      <c r="F437" s="1" t="s">
        <v>1684</v>
      </c>
      <c r="G437" s="1" t="s">
        <v>24</v>
      </c>
      <c r="H437" s="1" t="s">
        <v>1685</v>
      </c>
      <c r="I437" s="1" t="s">
        <v>50</v>
      </c>
      <c r="J437" s="1" t="s">
        <v>51</v>
      </c>
      <c r="K437" s="1" t="s">
        <v>98</v>
      </c>
      <c r="L437" s="1" t="s">
        <v>29</v>
      </c>
      <c r="M437" s="1" t="s">
        <v>34</v>
      </c>
      <c r="N437" s="1" t="s">
        <v>99</v>
      </c>
      <c r="O437">
        <v>323.13600000000002</v>
      </c>
      <c r="P437">
        <v>4</v>
      </c>
      <c r="Q437">
        <v>20.196000000000002</v>
      </c>
      <c r="R437" s="1" t="s">
        <v>4427</v>
      </c>
      <c r="S437">
        <v>2015</v>
      </c>
      <c r="T437" s="1" t="s">
        <v>45</v>
      </c>
    </row>
    <row r="438" spans="1:20" x14ac:dyDescent="0.25">
      <c r="A438" s="1" t="s">
        <v>1682</v>
      </c>
      <c r="B438" s="2">
        <v>42308</v>
      </c>
      <c r="C438" s="2">
        <v>42308</v>
      </c>
      <c r="D438" s="1" t="s">
        <v>417</v>
      </c>
      <c r="E438" s="1" t="s">
        <v>1683</v>
      </c>
      <c r="F438" s="1" t="s">
        <v>1684</v>
      </c>
      <c r="G438" s="1" t="s">
        <v>24</v>
      </c>
      <c r="H438" s="1" t="s">
        <v>1685</v>
      </c>
      <c r="I438" s="1" t="s">
        <v>50</v>
      </c>
      <c r="J438" s="1" t="s">
        <v>51</v>
      </c>
      <c r="K438" s="1" t="s">
        <v>1686</v>
      </c>
      <c r="L438" s="1" t="s">
        <v>29</v>
      </c>
      <c r="M438" s="1" t="s">
        <v>30</v>
      </c>
      <c r="N438" s="1" t="s">
        <v>1687</v>
      </c>
      <c r="O438">
        <v>425.83300000000003</v>
      </c>
      <c r="P438">
        <v>1</v>
      </c>
      <c r="Q438">
        <v>20.039200000000001</v>
      </c>
      <c r="R438" s="1" t="s">
        <v>4427</v>
      </c>
      <c r="S438">
        <v>2015</v>
      </c>
      <c r="T438" s="1" t="s">
        <v>45</v>
      </c>
    </row>
    <row r="439" spans="1:20" x14ac:dyDescent="0.25">
      <c r="A439" s="1" t="s">
        <v>1688</v>
      </c>
      <c r="B439" s="2">
        <v>42289</v>
      </c>
      <c r="C439" s="2">
        <v>42294</v>
      </c>
      <c r="D439" s="1" t="s">
        <v>21</v>
      </c>
      <c r="E439" s="1" t="s">
        <v>1689</v>
      </c>
      <c r="F439" s="1" t="s">
        <v>1690</v>
      </c>
      <c r="G439" s="1" t="s">
        <v>24</v>
      </c>
      <c r="H439" s="1" t="s">
        <v>885</v>
      </c>
      <c r="I439" s="1" t="s">
        <v>114</v>
      </c>
      <c r="J439" s="1" t="s">
        <v>63</v>
      </c>
      <c r="K439" s="1" t="s">
        <v>1452</v>
      </c>
      <c r="L439" s="1" t="s">
        <v>29</v>
      </c>
      <c r="M439" s="1" t="s">
        <v>43</v>
      </c>
      <c r="N439" s="1" t="s">
        <v>1453</v>
      </c>
      <c r="O439">
        <v>209.67</v>
      </c>
      <c r="P439">
        <v>1</v>
      </c>
      <c r="Q439">
        <v>-13.978</v>
      </c>
      <c r="R439" s="1" t="s">
        <v>4422</v>
      </c>
      <c r="S439">
        <v>2015</v>
      </c>
      <c r="T439" s="1" t="s">
        <v>45</v>
      </c>
    </row>
    <row r="440" spans="1:20" x14ac:dyDescent="0.25">
      <c r="A440" s="1" t="s">
        <v>1691</v>
      </c>
      <c r="B440" s="2">
        <v>43048</v>
      </c>
      <c r="C440" s="2">
        <v>43050</v>
      </c>
      <c r="D440" s="1" t="s">
        <v>81</v>
      </c>
      <c r="E440" s="1" t="s">
        <v>1692</v>
      </c>
      <c r="F440" s="1" t="s">
        <v>1693</v>
      </c>
      <c r="G440" s="1" t="s">
        <v>84</v>
      </c>
      <c r="H440" s="1" t="s">
        <v>1694</v>
      </c>
      <c r="I440" s="1" t="s">
        <v>50</v>
      </c>
      <c r="J440" s="1" t="s">
        <v>51</v>
      </c>
      <c r="K440" s="1" t="s">
        <v>108</v>
      </c>
      <c r="L440" s="1" t="s">
        <v>29</v>
      </c>
      <c r="M440" s="1" t="s">
        <v>34</v>
      </c>
      <c r="N440" s="1" t="s">
        <v>109</v>
      </c>
      <c r="O440">
        <v>215.976</v>
      </c>
      <c r="P440">
        <v>3</v>
      </c>
      <c r="Q440">
        <v>-2.6997</v>
      </c>
      <c r="R440" s="1" t="s">
        <v>4423</v>
      </c>
      <c r="S440">
        <v>2017</v>
      </c>
      <c r="T440" s="1" t="s">
        <v>32</v>
      </c>
    </row>
    <row r="441" spans="1:20" x14ac:dyDescent="0.25">
      <c r="A441" s="1" t="s">
        <v>1695</v>
      </c>
      <c r="B441" s="2">
        <v>43000</v>
      </c>
      <c r="C441" s="2">
        <v>43002</v>
      </c>
      <c r="D441" s="1" t="s">
        <v>21</v>
      </c>
      <c r="E441" s="1" t="s">
        <v>1696</v>
      </c>
      <c r="F441" s="1" t="s">
        <v>1697</v>
      </c>
      <c r="G441" s="1" t="s">
        <v>94</v>
      </c>
      <c r="H441" s="1" t="s">
        <v>1698</v>
      </c>
      <c r="I441" s="1" t="s">
        <v>281</v>
      </c>
      <c r="J441" s="1" t="s">
        <v>87</v>
      </c>
      <c r="K441" s="1" t="s">
        <v>447</v>
      </c>
      <c r="L441" s="1" t="s">
        <v>29</v>
      </c>
      <c r="M441" s="1" t="s">
        <v>30</v>
      </c>
      <c r="N441" s="1" t="s">
        <v>448</v>
      </c>
      <c r="O441">
        <v>241.96</v>
      </c>
      <c r="P441">
        <v>2</v>
      </c>
      <c r="Q441">
        <v>41.133200000000002</v>
      </c>
      <c r="R441" s="1" t="s">
        <v>4423</v>
      </c>
      <c r="S441">
        <v>2017</v>
      </c>
      <c r="T441" s="1" t="s">
        <v>72</v>
      </c>
    </row>
    <row r="442" spans="1:20" x14ac:dyDescent="0.25">
      <c r="A442" s="1" t="s">
        <v>1699</v>
      </c>
      <c r="B442" s="2">
        <v>42281</v>
      </c>
      <c r="C442" s="2">
        <v>42286</v>
      </c>
      <c r="D442" s="1" t="s">
        <v>37</v>
      </c>
      <c r="E442" s="1" t="s">
        <v>1228</v>
      </c>
      <c r="F442" s="1" t="s">
        <v>1229</v>
      </c>
      <c r="G442" s="1" t="s">
        <v>94</v>
      </c>
      <c r="H442" s="1" t="s">
        <v>61</v>
      </c>
      <c r="I442" s="1" t="s">
        <v>62</v>
      </c>
      <c r="J442" s="1" t="s">
        <v>63</v>
      </c>
      <c r="K442" s="1" t="s">
        <v>1700</v>
      </c>
      <c r="L442" s="1" t="s">
        <v>29</v>
      </c>
      <c r="M442" s="1" t="s">
        <v>53</v>
      </c>
      <c r="N442" s="1" t="s">
        <v>1701</v>
      </c>
      <c r="O442">
        <v>64.944000000000003</v>
      </c>
      <c r="P442">
        <v>3</v>
      </c>
      <c r="Q442">
        <v>6.4943999999999997</v>
      </c>
      <c r="R442" s="1" t="s">
        <v>4422</v>
      </c>
      <c r="S442">
        <v>2015</v>
      </c>
      <c r="T442" s="1" t="s">
        <v>45</v>
      </c>
    </row>
    <row r="443" spans="1:20" x14ac:dyDescent="0.25">
      <c r="A443" s="1" t="s">
        <v>1702</v>
      </c>
      <c r="B443" s="2">
        <v>41779</v>
      </c>
      <c r="C443" s="2">
        <v>41781</v>
      </c>
      <c r="D443" s="1" t="s">
        <v>21</v>
      </c>
      <c r="E443" s="1" t="s">
        <v>1703</v>
      </c>
      <c r="F443" s="1" t="s">
        <v>1704</v>
      </c>
      <c r="G443" s="1" t="s">
        <v>84</v>
      </c>
      <c r="H443" s="1" t="s">
        <v>732</v>
      </c>
      <c r="I443" s="1" t="s">
        <v>875</v>
      </c>
      <c r="J443" s="1" t="s">
        <v>63</v>
      </c>
      <c r="K443" s="1" t="s">
        <v>1112</v>
      </c>
      <c r="L443" s="1" t="s">
        <v>29</v>
      </c>
      <c r="M443" s="1" t="s">
        <v>53</v>
      </c>
      <c r="N443" s="1" t="s">
        <v>1113</v>
      </c>
      <c r="O443">
        <v>139.86000000000001</v>
      </c>
      <c r="P443">
        <v>7</v>
      </c>
      <c r="Q443">
        <v>60.139800000000001</v>
      </c>
      <c r="R443" s="1" t="s">
        <v>4423</v>
      </c>
      <c r="S443">
        <v>2014</v>
      </c>
      <c r="T443" s="1" t="s">
        <v>153</v>
      </c>
    </row>
    <row r="444" spans="1:20" x14ac:dyDescent="0.25">
      <c r="A444" s="1" t="s">
        <v>1705</v>
      </c>
      <c r="B444" s="2">
        <v>42369</v>
      </c>
      <c r="C444" s="2">
        <v>42374</v>
      </c>
      <c r="D444" s="1" t="s">
        <v>37</v>
      </c>
      <c r="E444" s="1" t="s">
        <v>1706</v>
      </c>
      <c r="F444" s="1" t="s">
        <v>1707</v>
      </c>
      <c r="G444" s="1" t="s">
        <v>24</v>
      </c>
      <c r="H444" s="1" t="s">
        <v>1708</v>
      </c>
      <c r="I444" s="1" t="s">
        <v>86</v>
      </c>
      <c r="J444" s="1" t="s">
        <v>87</v>
      </c>
      <c r="K444" s="1" t="s">
        <v>1709</v>
      </c>
      <c r="L444" s="1" t="s">
        <v>29</v>
      </c>
      <c r="M444" s="1" t="s">
        <v>53</v>
      </c>
      <c r="N444" s="1" t="s">
        <v>1710</v>
      </c>
      <c r="O444">
        <v>14.76</v>
      </c>
      <c r="P444">
        <v>5</v>
      </c>
      <c r="Q444">
        <v>-11.439</v>
      </c>
      <c r="R444" s="1" t="s">
        <v>4422</v>
      </c>
      <c r="S444">
        <v>2015</v>
      </c>
      <c r="T444" s="1" t="s">
        <v>90</v>
      </c>
    </row>
    <row r="445" spans="1:20" x14ac:dyDescent="0.25">
      <c r="A445" s="1" t="s">
        <v>1711</v>
      </c>
      <c r="B445" s="2">
        <v>41796</v>
      </c>
      <c r="C445" s="2">
        <v>41801</v>
      </c>
      <c r="D445" s="1" t="s">
        <v>37</v>
      </c>
      <c r="E445" s="1" t="s">
        <v>1712</v>
      </c>
      <c r="F445" s="1" t="s">
        <v>1713</v>
      </c>
      <c r="G445" s="1" t="s">
        <v>84</v>
      </c>
      <c r="H445" s="1" t="s">
        <v>721</v>
      </c>
      <c r="I445" s="1" t="s">
        <v>114</v>
      </c>
      <c r="J445" s="1" t="s">
        <v>63</v>
      </c>
      <c r="K445" s="1" t="s">
        <v>1714</v>
      </c>
      <c r="L445" s="1" t="s">
        <v>29</v>
      </c>
      <c r="M445" s="1" t="s">
        <v>43</v>
      </c>
      <c r="N445" s="1" t="s">
        <v>1715</v>
      </c>
      <c r="O445">
        <v>991.76400000000001</v>
      </c>
      <c r="P445">
        <v>3</v>
      </c>
      <c r="Q445">
        <v>-347.11739999999998</v>
      </c>
      <c r="R445" s="1" t="s">
        <v>4422</v>
      </c>
      <c r="S445">
        <v>2014</v>
      </c>
      <c r="T445" s="1" t="s">
        <v>55</v>
      </c>
    </row>
    <row r="446" spans="1:20" x14ac:dyDescent="0.25">
      <c r="A446" s="1" t="s">
        <v>1716</v>
      </c>
      <c r="B446" s="2">
        <v>42546</v>
      </c>
      <c r="C446" s="2">
        <v>42550</v>
      </c>
      <c r="D446" s="1" t="s">
        <v>37</v>
      </c>
      <c r="E446" s="1" t="s">
        <v>1717</v>
      </c>
      <c r="F446" s="1" t="s">
        <v>1718</v>
      </c>
      <c r="G446" s="1" t="s">
        <v>84</v>
      </c>
      <c r="H446" s="1" t="s">
        <v>1719</v>
      </c>
      <c r="I446" s="1" t="s">
        <v>62</v>
      </c>
      <c r="J446" s="1" t="s">
        <v>63</v>
      </c>
      <c r="K446" s="1" t="s">
        <v>321</v>
      </c>
      <c r="L446" s="1" t="s">
        <v>29</v>
      </c>
      <c r="M446" s="1" t="s">
        <v>34</v>
      </c>
      <c r="N446" s="1" t="s">
        <v>322</v>
      </c>
      <c r="O446">
        <v>422.05799999999999</v>
      </c>
      <c r="P446">
        <v>3</v>
      </c>
      <c r="Q446">
        <v>-18.088200000000001</v>
      </c>
      <c r="R446" s="1" t="s">
        <v>4424</v>
      </c>
      <c r="S446">
        <v>2016</v>
      </c>
      <c r="T446" s="1" t="s">
        <v>55</v>
      </c>
    </row>
    <row r="447" spans="1:20" x14ac:dyDescent="0.25">
      <c r="A447" s="1" t="s">
        <v>1720</v>
      </c>
      <c r="B447" s="2">
        <v>41985</v>
      </c>
      <c r="C447" s="2">
        <v>41990</v>
      </c>
      <c r="D447" s="1" t="s">
        <v>37</v>
      </c>
      <c r="E447" s="1" t="s">
        <v>1721</v>
      </c>
      <c r="F447" s="1" t="s">
        <v>1722</v>
      </c>
      <c r="G447" s="1" t="s">
        <v>24</v>
      </c>
      <c r="H447" s="1" t="s">
        <v>500</v>
      </c>
      <c r="I447" s="1" t="s">
        <v>50</v>
      </c>
      <c r="J447" s="1" t="s">
        <v>51</v>
      </c>
      <c r="K447" s="1" t="s">
        <v>981</v>
      </c>
      <c r="L447" s="1" t="s">
        <v>29</v>
      </c>
      <c r="M447" s="1" t="s">
        <v>53</v>
      </c>
      <c r="N447" s="1" t="s">
        <v>982</v>
      </c>
      <c r="O447">
        <v>43.31</v>
      </c>
      <c r="P447">
        <v>1</v>
      </c>
      <c r="Q447">
        <v>4.3310000000000004</v>
      </c>
      <c r="R447" s="1" t="s">
        <v>4422</v>
      </c>
      <c r="S447">
        <v>2014</v>
      </c>
      <c r="T447" s="1" t="s">
        <v>90</v>
      </c>
    </row>
    <row r="448" spans="1:20" x14ac:dyDescent="0.25">
      <c r="A448" s="1" t="s">
        <v>1723</v>
      </c>
      <c r="B448" s="2">
        <v>43058</v>
      </c>
      <c r="C448" s="2">
        <v>43065</v>
      </c>
      <c r="D448" s="1" t="s">
        <v>37</v>
      </c>
      <c r="E448" s="1" t="s">
        <v>1724</v>
      </c>
      <c r="F448" s="1" t="s">
        <v>1725</v>
      </c>
      <c r="G448" s="1" t="s">
        <v>24</v>
      </c>
      <c r="H448" s="1" t="s">
        <v>1726</v>
      </c>
      <c r="I448" s="1" t="s">
        <v>86</v>
      </c>
      <c r="J448" s="1" t="s">
        <v>87</v>
      </c>
      <c r="K448" s="1" t="s">
        <v>1155</v>
      </c>
      <c r="L448" s="1" t="s">
        <v>29</v>
      </c>
      <c r="M448" s="1" t="s">
        <v>34</v>
      </c>
      <c r="N448" s="1" t="s">
        <v>1156</v>
      </c>
      <c r="O448">
        <v>233.05799999999999</v>
      </c>
      <c r="P448">
        <v>3</v>
      </c>
      <c r="Q448">
        <v>-53.270400000000002</v>
      </c>
      <c r="R448" s="1" t="s">
        <v>4421</v>
      </c>
      <c r="S448">
        <v>2017</v>
      </c>
      <c r="T448" s="1" t="s">
        <v>32</v>
      </c>
    </row>
    <row r="449" spans="1:20" x14ac:dyDescent="0.25">
      <c r="A449" s="1" t="s">
        <v>1727</v>
      </c>
      <c r="B449" s="2">
        <v>42490</v>
      </c>
      <c r="C449" s="2">
        <v>42495</v>
      </c>
      <c r="D449" s="1" t="s">
        <v>37</v>
      </c>
      <c r="E449" s="1" t="s">
        <v>1728</v>
      </c>
      <c r="F449" s="1" t="s">
        <v>1729</v>
      </c>
      <c r="G449" s="1" t="s">
        <v>94</v>
      </c>
      <c r="H449" s="1" t="s">
        <v>1730</v>
      </c>
      <c r="I449" s="1" t="s">
        <v>86</v>
      </c>
      <c r="J449" s="1" t="s">
        <v>87</v>
      </c>
      <c r="K449" s="1" t="s">
        <v>1533</v>
      </c>
      <c r="L449" s="1" t="s">
        <v>29</v>
      </c>
      <c r="M449" s="1" t="s">
        <v>53</v>
      </c>
      <c r="N449" s="1" t="s">
        <v>1534</v>
      </c>
      <c r="O449">
        <v>22.608000000000001</v>
      </c>
      <c r="P449">
        <v>3</v>
      </c>
      <c r="Q449">
        <v>-10.1736</v>
      </c>
      <c r="R449" s="1" t="s">
        <v>4422</v>
      </c>
      <c r="S449">
        <v>2016</v>
      </c>
      <c r="T449" s="1" t="s">
        <v>107</v>
      </c>
    </row>
    <row r="450" spans="1:20" x14ac:dyDescent="0.25">
      <c r="A450" s="1" t="s">
        <v>1731</v>
      </c>
      <c r="B450" s="2">
        <v>42504</v>
      </c>
      <c r="C450" s="2">
        <v>42504</v>
      </c>
      <c r="D450" s="1" t="s">
        <v>417</v>
      </c>
      <c r="E450" s="1" t="s">
        <v>318</v>
      </c>
      <c r="F450" s="1" t="s">
        <v>319</v>
      </c>
      <c r="G450" s="1" t="s">
        <v>24</v>
      </c>
      <c r="H450" s="1" t="s">
        <v>1732</v>
      </c>
      <c r="I450" s="1" t="s">
        <v>223</v>
      </c>
      <c r="J450" s="1" t="s">
        <v>63</v>
      </c>
      <c r="K450" s="1" t="s">
        <v>1391</v>
      </c>
      <c r="L450" s="1" t="s">
        <v>29</v>
      </c>
      <c r="M450" s="1" t="s">
        <v>53</v>
      </c>
      <c r="N450" s="1" t="s">
        <v>1392</v>
      </c>
      <c r="O450">
        <v>79.384</v>
      </c>
      <c r="P450">
        <v>1</v>
      </c>
      <c r="Q450">
        <v>29.768999999999998</v>
      </c>
      <c r="R450" s="1" t="s">
        <v>4427</v>
      </c>
      <c r="S450">
        <v>2016</v>
      </c>
      <c r="T450" s="1" t="s">
        <v>153</v>
      </c>
    </row>
    <row r="451" spans="1:20" x14ac:dyDescent="0.25">
      <c r="A451" s="1" t="s">
        <v>1733</v>
      </c>
      <c r="B451" s="2">
        <v>42656</v>
      </c>
      <c r="C451" s="2">
        <v>42662</v>
      </c>
      <c r="D451" s="1" t="s">
        <v>37</v>
      </c>
      <c r="E451" s="1" t="s">
        <v>327</v>
      </c>
      <c r="F451" s="1" t="s">
        <v>328</v>
      </c>
      <c r="G451" s="1" t="s">
        <v>24</v>
      </c>
      <c r="H451" s="1" t="s">
        <v>1734</v>
      </c>
      <c r="I451" s="1" t="s">
        <v>86</v>
      </c>
      <c r="J451" s="1" t="s">
        <v>87</v>
      </c>
      <c r="K451" s="1" t="s">
        <v>716</v>
      </c>
      <c r="L451" s="1" t="s">
        <v>29</v>
      </c>
      <c r="M451" s="1" t="s">
        <v>53</v>
      </c>
      <c r="N451" s="1" t="s">
        <v>717</v>
      </c>
      <c r="O451">
        <v>139.91999999999999</v>
      </c>
      <c r="P451">
        <v>5</v>
      </c>
      <c r="Q451">
        <v>-150.41399999999999</v>
      </c>
      <c r="R451" s="1" t="s">
        <v>4426</v>
      </c>
      <c r="S451">
        <v>2016</v>
      </c>
      <c r="T451" s="1" t="s">
        <v>45</v>
      </c>
    </row>
    <row r="452" spans="1:20" x14ac:dyDescent="0.25">
      <c r="A452" s="1" t="s">
        <v>1735</v>
      </c>
      <c r="B452" s="2">
        <v>43058</v>
      </c>
      <c r="C452" s="2">
        <v>43064</v>
      </c>
      <c r="D452" s="1" t="s">
        <v>37</v>
      </c>
      <c r="E452" s="1" t="s">
        <v>1288</v>
      </c>
      <c r="F452" s="1" t="s">
        <v>1289</v>
      </c>
      <c r="G452" s="1" t="s">
        <v>84</v>
      </c>
      <c r="H452" s="1" t="s">
        <v>1736</v>
      </c>
      <c r="I452" s="1" t="s">
        <v>86</v>
      </c>
      <c r="J452" s="1" t="s">
        <v>87</v>
      </c>
      <c r="K452" s="1" t="s">
        <v>807</v>
      </c>
      <c r="L452" s="1" t="s">
        <v>29</v>
      </c>
      <c r="M452" s="1" t="s">
        <v>34</v>
      </c>
      <c r="N452" s="1" t="s">
        <v>808</v>
      </c>
      <c r="O452">
        <v>305.31200000000001</v>
      </c>
      <c r="P452">
        <v>2</v>
      </c>
      <c r="Q452">
        <v>-8.7232000000000003</v>
      </c>
      <c r="R452" s="1" t="s">
        <v>4426</v>
      </c>
      <c r="S452">
        <v>2017</v>
      </c>
      <c r="T452" s="1" t="s">
        <v>32</v>
      </c>
    </row>
    <row r="453" spans="1:20" x14ac:dyDescent="0.25">
      <c r="A453" s="1" t="s">
        <v>1737</v>
      </c>
      <c r="B453" s="2">
        <v>42497</v>
      </c>
      <c r="C453" s="2">
        <v>42501</v>
      </c>
      <c r="D453" s="1" t="s">
        <v>37</v>
      </c>
      <c r="E453" s="1" t="s">
        <v>1336</v>
      </c>
      <c r="F453" s="1" t="s">
        <v>1337</v>
      </c>
      <c r="G453" s="1" t="s">
        <v>24</v>
      </c>
      <c r="H453" s="1" t="s">
        <v>165</v>
      </c>
      <c r="I453" s="1" t="s">
        <v>114</v>
      </c>
      <c r="J453" s="1" t="s">
        <v>63</v>
      </c>
      <c r="K453" s="1" t="s">
        <v>1738</v>
      </c>
      <c r="L453" s="1" t="s">
        <v>29</v>
      </c>
      <c r="M453" s="1" t="s">
        <v>34</v>
      </c>
      <c r="N453" s="1" t="s">
        <v>1739</v>
      </c>
      <c r="O453">
        <v>442.76400000000001</v>
      </c>
      <c r="P453">
        <v>4</v>
      </c>
      <c r="Q453">
        <v>59.035200000000003</v>
      </c>
      <c r="R453" s="1" t="s">
        <v>4424</v>
      </c>
      <c r="S453">
        <v>2016</v>
      </c>
      <c r="T453" s="1" t="s">
        <v>153</v>
      </c>
    </row>
    <row r="454" spans="1:20" x14ac:dyDescent="0.25">
      <c r="A454" s="1" t="s">
        <v>1737</v>
      </c>
      <c r="B454" s="2">
        <v>42497</v>
      </c>
      <c r="C454" s="2">
        <v>42501</v>
      </c>
      <c r="D454" s="1" t="s">
        <v>37</v>
      </c>
      <c r="E454" s="1" t="s">
        <v>1336</v>
      </c>
      <c r="F454" s="1" t="s">
        <v>1337</v>
      </c>
      <c r="G454" s="1" t="s">
        <v>24</v>
      </c>
      <c r="H454" s="1" t="s">
        <v>165</v>
      </c>
      <c r="I454" s="1" t="s">
        <v>114</v>
      </c>
      <c r="J454" s="1" t="s">
        <v>63</v>
      </c>
      <c r="K454" s="1" t="s">
        <v>918</v>
      </c>
      <c r="L454" s="1" t="s">
        <v>29</v>
      </c>
      <c r="M454" s="1" t="s">
        <v>53</v>
      </c>
      <c r="N454" s="1" t="s">
        <v>308</v>
      </c>
      <c r="O454">
        <v>63.68</v>
      </c>
      <c r="P454">
        <v>8</v>
      </c>
      <c r="Q454">
        <v>28.019200000000001</v>
      </c>
      <c r="R454" s="1" t="s">
        <v>4424</v>
      </c>
      <c r="S454">
        <v>2016</v>
      </c>
      <c r="T454" s="1" t="s">
        <v>153</v>
      </c>
    </row>
    <row r="455" spans="1:20" x14ac:dyDescent="0.25">
      <c r="A455" s="1" t="s">
        <v>1740</v>
      </c>
      <c r="B455" s="2">
        <v>42957</v>
      </c>
      <c r="C455" s="2">
        <v>42962</v>
      </c>
      <c r="D455" s="1" t="s">
        <v>37</v>
      </c>
      <c r="E455" s="1" t="s">
        <v>1741</v>
      </c>
      <c r="F455" s="1" t="s">
        <v>1742</v>
      </c>
      <c r="G455" s="1" t="s">
        <v>24</v>
      </c>
      <c r="H455" s="1" t="s">
        <v>339</v>
      </c>
      <c r="I455" s="1" t="s">
        <v>104</v>
      </c>
      <c r="J455" s="1" t="s">
        <v>87</v>
      </c>
      <c r="K455" s="1" t="s">
        <v>136</v>
      </c>
      <c r="L455" s="1" t="s">
        <v>29</v>
      </c>
      <c r="M455" s="1" t="s">
        <v>53</v>
      </c>
      <c r="N455" s="1" t="s">
        <v>137</v>
      </c>
      <c r="O455">
        <v>121.3</v>
      </c>
      <c r="P455">
        <v>2</v>
      </c>
      <c r="Q455">
        <v>25.472999999999999</v>
      </c>
      <c r="R455" s="1" t="s">
        <v>4422</v>
      </c>
      <c r="S455">
        <v>2017</v>
      </c>
      <c r="T455" s="1" t="s">
        <v>245</v>
      </c>
    </row>
    <row r="456" spans="1:20" x14ac:dyDescent="0.25">
      <c r="A456" s="1" t="s">
        <v>1743</v>
      </c>
      <c r="B456" s="2">
        <v>41791</v>
      </c>
      <c r="C456" s="2">
        <v>41796</v>
      </c>
      <c r="D456" s="1" t="s">
        <v>37</v>
      </c>
      <c r="E456" s="1" t="s">
        <v>804</v>
      </c>
      <c r="F456" s="1" t="s">
        <v>805</v>
      </c>
      <c r="G456" s="1" t="s">
        <v>24</v>
      </c>
      <c r="H456" s="1" t="s">
        <v>1744</v>
      </c>
      <c r="I456" s="1" t="s">
        <v>1049</v>
      </c>
      <c r="J456" s="1" t="s">
        <v>27</v>
      </c>
      <c r="K456" s="1" t="s">
        <v>437</v>
      </c>
      <c r="L456" s="1" t="s">
        <v>29</v>
      </c>
      <c r="M456" s="1" t="s">
        <v>53</v>
      </c>
      <c r="N456" s="1" t="s">
        <v>438</v>
      </c>
      <c r="O456">
        <v>22.2</v>
      </c>
      <c r="P456">
        <v>6</v>
      </c>
      <c r="Q456">
        <v>9.1020000000000003</v>
      </c>
      <c r="R456" s="1" t="s">
        <v>4422</v>
      </c>
      <c r="S456">
        <v>2014</v>
      </c>
      <c r="T456" s="1" t="s">
        <v>55</v>
      </c>
    </row>
    <row r="457" spans="1:20" x14ac:dyDescent="0.25">
      <c r="A457" s="1" t="s">
        <v>1745</v>
      </c>
      <c r="B457" s="2">
        <v>42253</v>
      </c>
      <c r="C457" s="2">
        <v>42259</v>
      </c>
      <c r="D457" s="1" t="s">
        <v>37</v>
      </c>
      <c r="E457" s="1" t="s">
        <v>1257</v>
      </c>
      <c r="F457" s="1" t="s">
        <v>1258</v>
      </c>
      <c r="G457" s="1" t="s">
        <v>94</v>
      </c>
      <c r="H457" s="1" t="s">
        <v>183</v>
      </c>
      <c r="I457" s="1" t="s">
        <v>184</v>
      </c>
      <c r="J457" s="1" t="s">
        <v>51</v>
      </c>
      <c r="K457" s="1" t="s">
        <v>1746</v>
      </c>
      <c r="L457" s="1" t="s">
        <v>29</v>
      </c>
      <c r="M457" s="1" t="s">
        <v>53</v>
      </c>
      <c r="N457" s="1" t="s">
        <v>1747</v>
      </c>
      <c r="O457">
        <v>191.82</v>
      </c>
      <c r="P457">
        <v>3</v>
      </c>
      <c r="Q457">
        <v>74.809799999999996</v>
      </c>
      <c r="R457" s="1" t="s">
        <v>4426</v>
      </c>
      <c r="S457">
        <v>2015</v>
      </c>
      <c r="T457" s="1" t="s">
        <v>72</v>
      </c>
    </row>
    <row r="458" spans="1:20" x14ac:dyDescent="0.25">
      <c r="A458" s="1" t="s">
        <v>1748</v>
      </c>
      <c r="B458" s="2">
        <v>42184</v>
      </c>
      <c r="C458" s="2">
        <v>42190</v>
      </c>
      <c r="D458" s="1" t="s">
        <v>37</v>
      </c>
      <c r="E458" s="1" t="s">
        <v>189</v>
      </c>
      <c r="F458" s="1" t="s">
        <v>190</v>
      </c>
      <c r="G458" s="1" t="s">
        <v>24</v>
      </c>
      <c r="H458" s="1" t="s">
        <v>806</v>
      </c>
      <c r="I458" s="1" t="s">
        <v>62</v>
      </c>
      <c r="J458" s="1" t="s">
        <v>63</v>
      </c>
      <c r="K458" s="1" t="s">
        <v>1281</v>
      </c>
      <c r="L458" s="1" t="s">
        <v>29</v>
      </c>
      <c r="M458" s="1" t="s">
        <v>53</v>
      </c>
      <c r="N458" s="1" t="s">
        <v>1749</v>
      </c>
      <c r="O458">
        <v>20.103999999999999</v>
      </c>
      <c r="P458">
        <v>1</v>
      </c>
      <c r="Q458">
        <v>1.7591000000000001</v>
      </c>
      <c r="R458" s="1" t="s">
        <v>4426</v>
      </c>
      <c r="S458">
        <v>2015</v>
      </c>
      <c r="T458" s="1" t="s">
        <v>55</v>
      </c>
    </row>
    <row r="459" spans="1:20" x14ac:dyDescent="0.25">
      <c r="A459" s="1" t="s">
        <v>1750</v>
      </c>
      <c r="B459" s="2">
        <v>43060</v>
      </c>
      <c r="C459" s="2">
        <v>43064</v>
      </c>
      <c r="D459" s="1" t="s">
        <v>37</v>
      </c>
      <c r="E459" s="1" t="s">
        <v>1751</v>
      </c>
      <c r="F459" s="1" t="s">
        <v>1752</v>
      </c>
      <c r="G459" s="1" t="s">
        <v>24</v>
      </c>
      <c r="H459" s="1" t="s">
        <v>165</v>
      </c>
      <c r="I459" s="1" t="s">
        <v>114</v>
      </c>
      <c r="J459" s="1" t="s">
        <v>63</v>
      </c>
      <c r="K459" s="1" t="s">
        <v>1140</v>
      </c>
      <c r="L459" s="1" t="s">
        <v>29</v>
      </c>
      <c r="M459" s="1" t="s">
        <v>53</v>
      </c>
      <c r="N459" s="1" t="s">
        <v>1141</v>
      </c>
      <c r="O459">
        <v>27.42</v>
      </c>
      <c r="P459">
        <v>1</v>
      </c>
      <c r="Q459">
        <v>11.2422</v>
      </c>
      <c r="R459" s="1" t="s">
        <v>4424</v>
      </c>
      <c r="S459">
        <v>2017</v>
      </c>
      <c r="T459" s="1" t="s">
        <v>32</v>
      </c>
    </row>
    <row r="460" spans="1:20" x14ac:dyDescent="0.25">
      <c r="A460" s="1" t="s">
        <v>1753</v>
      </c>
      <c r="B460" s="2">
        <v>43009</v>
      </c>
      <c r="C460" s="2">
        <v>43010</v>
      </c>
      <c r="D460" s="1" t="s">
        <v>81</v>
      </c>
      <c r="E460" s="1" t="s">
        <v>1754</v>
      </c>
      <c r="F460" s="1" t="s">
        <v>1755</v>
      </c>
      <c r="G460" s="1" t="s">
        <v>24</v>
      </c>
      <c r="H460" s="1" t="s">
        <v>1482</v>
      </c>
      <c r="I460" s="1" t="s">
        <v>50</v>
      </c>
      <c r="J460" s="1" t="s">
        <v>51</v>
      </c>
      <c r="K460" s="1" t="s">
        <v>1756</v>
      </c>
      <c r="L460" s="1" t="s">
        <v>29</v>
      </c>
      <c r="M460" s="1" t="s">
        <v>34</v>
      </c>
      <c r="N460" s="1" t="s">
        <v>1757</v>
      </c>
      <c r="O460">
        <v>108.608</v>
      </c>
      <c r="P460">
        <v>4</v>
      </c>
      <c r="Q460">
        <v>9.5031999999999996</v>
      </c>
      <c r="R460" s="1" t="s">
        <v>4425</v>
      </c>
      <c r="S460">
        <v>2017</v>
      </c>
      <c r="T460" s="1" t="s">
        <v>45</v>
      </c>
    </row>
    <row r="461" spans="1:20" x14ac:dyDescent="0.25">
      <c r="A461" s="1" t="s">
        <v>1758</v>
      </c>
      <c r="B461" s="2">
        <v>42344</v>
      </c>
      <c r="C461" s="2">
        <v>42344</v>
      </c>
      <c r="D461" s="1" t="s">
        <v>417</v>
      </c>
      <c r="E461" s="1" t="s">
        <v>1759</v>
      </c>
      <c r="F461" s="1" t="s">
        <v>1760</v>
      </c>
      <c r="G461" s="1" t="s">
        <v>24</v>
      </c>
      <c r="H461" s="1" t="s">
        <v>1761</v>
      </c>
      <c r="I461" s="1" t="s">
        <v>223</v>
      </c>
      <c r="J461" s="1" t="s">
        <v>63</v>
      </c>
      <c r="K461" s="1" t="s">
        <v>287</v>
      </c>
      <c r="L461" s="1" t="s">
        <v>29</v>
      </c>
      <c r="M461" s="1" t="s">
        <v>34</v>
      </c>
      <c r="N461" s="1" t="s">
        <v>288</v>
      </c>
      <c r="O461">
        <v>70.686000000000007</v>
      </c>
      <c r="P461">
        <v>1</v>
      </c>
      <c r="Q461">
        <v>-24.235199999999999</v>
      </c>
      <c r="R461" s="1" t="s">
        <v>4427</v>
      </c>
      <c r="S461">
        <v>2015</v>
      </c>
      <c r="T461" s="1" t="s">
        <v>90</v>
      </c>
    </row>
    <row r="462" spans="1:20" x14ac:dyDescent="0.25">
      <c r="A462" s="1" t="s">
        <v>1762</v>
      </c>
      <c r="B462" s="2">
        <v>42448</v>
      </c>
      <c r="C462" s="2">
        <v>42450</v>
      </c>
      <c r="D462" s="1" t="s">
        <v>21</v>
      </c>
      <c r="E462" s="1" t="s">
        <v>1763</v>
      </c>
      <c r="F462" s="1" t="s">
        <v>1764</v>
      </c>
      <c r="G462" s="1" t="s">
        <v>24</v>
      </c>
      <c r="H462" s="1" t="s">
        <v>1765</v>
      </c>
      <c r="I462" s="1" t="s">
        <v>172</v>
      </c>
      <c r="J462" s="1" t="s">
        <v>51</v>
      </c>
      <c r="K462" s="1" t="s">
        <v>1766</v>
      </c>
      <c r="L462" s="1" t="s">
        <v>29</v>
      </c>
      <c r="M462" s="1" t="s">
        <v>30</v>
      </c>
      <c r="N462" s="1" t="s">
        <v>1767</v>
      </c>
      <c r="O462">
        <v>72.293999999999997</v>
      </c>
      <c r="P462">
        <v>1</v>
      </c>
      <c r="Q462">
        <v>-98.8018</v>
      </c>
      <c r="R462" s="1" t="s">
        <v>4423</v>
      </c>
      <c r="S462">
        <v>2016</v>
      </c>
      <c r="T462" s="1" t="s">
        <v>187</v>
      </c>
    </row>
    <row r="463" spans="1:20" x14ac:dyDescent="0.25">
      <c r="A463" s="1" t="s">
        <v>1768</v>
      </c>
      <c r="B463" s="2">
        <v>42644</v>
      </c>
      <c r="C463" s="2">
        <v>42648</v>
      </c>
      <c r="D463" s="1" t="s">
        <v>37</v>
      </c>
      <c r="E463" s="1" t="s">
        <v>1117</v>
      </c>
      <c r="F463" s="1" t="s">
        <v>1118</v>
      </c>
      <c r="G463" s="1" t="s">
        <v>24</v>
      </c>
      <c r="H463" s="1" t="s">
        <v>165</v>
      </c>
      <c r="I463" s="1" t="s">
        <v>114</v>
      </c>
      <c r="J463" s="1" t="s">
        <v>63</v>
      </c>
      <c r="K463" s="1" t="s">
        <v>1714</v>
      </c>
      <c r="L463" s="1" t="s">
        <v>29</v>
      </c>
      <c r="M463" s="1" t="s">
        <v>43</v>
      </c>
      <c r="N463" s="1" t="s">
        <v>1715</v>
      </c>
      <c r="O463">
        <v>330.58800000000002</v>
      </c>
      <c r="P463">
        <v>1</v>
      </c>
      <c r="Q463">
        <v>-115.7058</v>
      </c>
      <c r="R463" s="1" t="s">
        <v>4424</v>
      </c>
      <c r="S463">
        <v>2016</v>
      </c>
      <c r="T463" s="1" t="s">
        <v>45</v>
      </c>
    </row>
    <row r="464" spans="1:20" x14ac:dyDescent="0.25">
      <c r="A464" s="1" t="s">
        <v>1769</v>
      </c>
      <c r="B464" s="2">
        <v>42912</v>
      </c>
      <c r="C464" s="2">
        <v>42917</v>
      </c>
      <c r="D464" s="1" t="s">
        <v>37</v>
      </c>
      <c r="E464" s="1" t="s">
        <v>1770</v>
      </c>
      <c r="F464" s="1" t="s">
        <v>1771</v>
      </c>
      <c r="G464" s="1" t="s">
        <v>24</v>
      </c>
      <c r="H464" s="1" t="s">
        <v>1145</v>
      </c>
      <c r="I464" s="1" t="s">
        <v>104</v>
      </c>
      <c r="J464" s="1" t="s">
        <v>87</v>
      </c>
      <c r="K464" s="1" t="s">
        <v>1001</v>
      </c>
      <c r="L464" s="1" t="s">
        <v>29</v>
      </c>
      <c r="M464" s="1" t="s">
        <v>53</v>
      </c>
      <c r="N464" s="1" t="s">
        <v>1002</v>
      </c>
      <c r="O464">
        <v>526.45000000000005</v>
      </c>
      <c r="P464">
        <v>5</v>
      </c>
      <c r="Q464">
        <v>31.587</v>
      </c>
      <c r="R464" s="1" t="s">
        <v>4422</v>
      </c>
      <c r="S464">
        <v>2017</v>
      </c>
      <c r="T464" s="1" t="s">
        <v>55</v>
      </c>
    </row>
    <row r="465" spans="1:20" x14ac:dyDescent="0.25">
      <c r="A465" s="1" t="s">
        <v>1772</v>
      </c>
      <c r="B465" s="2">
        <v>42845</v>
      </c>
      <c r="C465" s="2">
        <v>42851</v>
      </c>
      <c r="D465" s="1" t="s">
        <v>37</v>
      </c>
      <c r="E465" s="1" t="s">
        <v>1773</v>
      </c>
      <c r="F465" s="1" t="s">
        <v>1774</v>
      </c>
      <c r="G465" s="1" t="s">
        <v>94</v>
      </c>
      <c r="H465" s="1" t="s">
        <v>125</v>
      </c>
      <c r="I465" s="1" t="s">
        <v>126</v>
      </c>
      <c r="J465" s="1" t="s">
        <v>87</v>
      </c>
      <c r="K465" s="1" t="s">
        <v>1775</v>
      </c>
      <c r="L465" s="1" t="s">
        <v>29</v>
      </c>
      <c r="M465" s="1" t="s">
        <v>53</v>
      </c>
      <c r="N465" s="1" t="s">
        <v>1776</v>
      </c>
      <c r="O465">
        <v>44.4</v>
      </c>
      <c r="P465">
        <v>2</v>
      </c>
      <c r="Q465">
        <v>-52.17</v>
      </c>
      <c r="R465" s="1" t="s">
        <v>4426</v>
      </c>
      <c r="S465">
        <v>2017</v>
      </c>
      <c r="T465" s="1" t="s">
        <v>107</v>
      </c>
    </row>
    <row r="466" spans="1:20" x14ac:dyDescent="0.25">
      <c r="A466" s="1" t="s">
        <v>1777</v>
      </c>
      <c r="B466" s="2">
        <v>42630</v>
      </c>
      <c r="C466" s="2">
        <v>42635</v>
      </c>
      <c r="D466" s="1" t="s">
        <v>37</v>
      </c>
      <c r="E466" s="1" t="s">
        <v>975</v>
      </c>
      <c r="F466" s="1" t="s">
        <v>976</v>
      </c>
      <c r="G466" s="1" t="s">
        <v>84</v>
      </c>
      <c r="H466" s="1" t="s">
        <v>1778</v>
      </c>
      <c r="I466" s="1" t="s">
        <v>1779</v>
      </c>
      <c r="J466" s="1" t="s">
        <v>63</v>
      </c>
      <c r="K466" s="1" t="s">
        <v>1076</v>
      </c>
      <c r="L466" s="1" t="s">
        <v>29</v>
      </c>
      <c r="M466" s="1" t="s">
        <v>53</v>
      </c>
      <c r="N466" s="1" t="s">
        <v>1077</v>
      </c>
      <c r="O466">
        <v>109.48</v>
      </c>
      <c r="P466">
        <v>2</v>
      </c>
      <c r="Q466">
        <v>33.938800000000001</v>
      </c>
      <c r="R466" s="1" t="s">
        <v>4422</v>
      </c>
      <c r="S466">
        <v>2016</v>
      </c>
      <c r="T466" s="1" t="s">
        <v>72</v>
      </c>
    </row>
    <row r="467" spans="1:20" x14ac:dyDescent="0.25">
      <c r="A467" s="1" t="s">
        <v>1780</v>
      </c>
      <c r="B467" s="2">
        <v>42902</v>
      </c>
      <c r="C467" s="2">
        <v>42905</v>
      </c>
      <c r="D467" s="1" t="s">
        <v>81</v>
      </c>
      <c r="E467" s="1" t="s">
        <v>1419</v>
      </c>
      <c r="F467" s="1" t="s">
        <v>1420</v>
      </c>
      <c r="G467" s="1" t="s">
        <v>24</v>
      </c>
      <c r="H467" s="1" t="s">
        <v>320</v>
      </c>
      <c r="I467" s="1" t="s">
        <v>50</v>
      </c>
      <c r="J467" s="1" t="s">
        <v>51</v>
      </c>
      <c r="K467" s="1" t="s">
        <v>470</v>
      </c>
      <c r="L467" s="1" t="s">
        <v>29</v>
      </c>
      <c r="M467" s="1" t="s">
        <v>34</v>
      </c>
      <c r="N467" s="1" t="s">
        <v>471</v>
      </c>
      <c r="O467">
        <v>1212.96</v>
      </c>
      <c r="P467">
        <v>7</v>
      </c>
      <c r="Q467">
        <v>90.971999999999994</v>
      </c>
      <c r="R467" s="1" t="s">
        <v>4420</v>
      </c>
      <c r="S467">
        <v>2017</v>
      </c>
      <c r="T467" s="1" t="s">
        <v>55</v>
      </c>
    </row>
    <row r="468" spans="1:20" x14ac:dyDescent="0.25">
      <c r="A468" s="1" t="s">
        <v>1781</v>
      </c>
      <c r="B468" s="2">
        <v>42772</v>
      </c>
      <c r="C468" s="2">
        <v>42775</v>
      </c>
      <c r="D468" s="1" t="s">
        <v>81</v>
      </c>
      <c r="E468" s="1" t="s">
        <v>1782</v>
      </c>
      <c r="F468" s="1" t="s">
        <v>1783</v>
      </c>
      <c r="G468" s="1" t="s">
        <v>24</v>
      </c>
      <c r="H468" s="1" t="s">
        <v>680</v>
      </c>
      <c r="I468" s="1" t="s">
        <v>707</v>
      </c>
      <c r="J468" s="1" t="s">
        <v>27</v>
      </c>
      <c r="K468" s="1" t="s">
        <v>701</v>
      </c>
      <c r="L468" s="1" t="s">
        <v>29</v>
      </c>
      <c r="M468" s="1" t="s">
        <v>30</v>
      </c>
      <c r="N468" s="1" t="s">
        <v>702</v>
      </c>
      <c r="O468">
        <v>359.97</v>
      </c>
      <c r="P468">
        <v>3</v>
      </c>
      <c r="Q468">
        <v>79.193399999999997</v>
      </c>
      <c r="R468" s="1" t="s">
        <v>4420</v>
      </c>
      <c r="S468">
        <v>2017</v>
      </c>
      <c r="T468" s="1" t="s">
        <v>289</v>
      </c>
    </row>
    <row r="469" spans="1:20" x14ac:dyDescent="0.25">
      <c r="A469" s="1" t="s">
        <v>1784</v>
      </c>
      <c r="B469" s="2">
        <v>42069</v>
      </c>
      <c r="C469" s="2">
        <v>42074</v>
      </c>
      <c r="D469" s="1" t="s">
        <v>37</v>
      </c>
      <c r="E469" s="1" t="s">
        <v>1785</v>
      </c>
      <c r="F469" s="1" t="s">
        <v>1786</v>
      </c>
      <c r="G469" s="1" t="s">
        <v>24</v>
      </c>
      <c r="H469" s="1" t="s">
        <v>320</v>
      </c>
      <c r="I469" s="1" t="s">
        <v>50</v>
      </c>
      <c r="J469" s="1" t="s">
        <v>51</v>
      </c>
      <c r="K469" s="1" t="s">
        <v>1787</v>
      </c>
      <c r="L469" s="1" t="s">
        <v>29</v>
      </c>
      <c r="M469" s="1" t="s">
        <v>53</v>
      </c>
      <c r="N469" s="1" t="s">
        <v>1788</v>
      </c>
      <c r="O469">
        <v>435.26</v>
      </c>
      <c r="P469">
        <v>7</v>
      </c>
      <c r="Q469">
        <v>95.757199999999997</v>
      </c>
      <c r="R469" s="1" t="s">
        <v>4422</v>
      </c>
      <c r="S469">
        <v>2015</v>
      </c>
      <c r="T469" s="1" t="s">
        <v>187</v>
      </c>
    </row>
    <row r="470" spans="1:20" x14ac:dyDescent="0.25">
      <c r="A470" s="1" t="s">
        <v>1789</v>
      </c>
      <c r="B470" s="2">
        <v>41915</v>
      </c>
      <c r="C470" s="2">
        <v>41920</v>
      </c>
      <c r="D470" s="1" t="s">
        <v>21</v>
      </c>
      <c r="E470" s="1" t="s">
        <v>423</v>
      </c>
      <c r="F470" s="1" t="s">
        <v>424</v>
      </c>
      <c r="G470" s="1" t="s">
        <v>84</v>
      </c>
      <c r="H470" s="1" t="s">
        <v>49</v>
      </c>
      <c r="I470" s="1" t="s">
        <v>50</v>
      </c>
      <c r="J470" s="1" t="s">
        <v>51</v>
      </c>
      <c r="K470" s="1" t="s">
        <v>1790</v>
      </c>
      <c r="L470" s="1" t="s">
        <v>29</v>
      </c>
      <c r="M470" s="1" t="s">
        <v>43</v>
      </c>
      <c r="N470" s="1" t="s">
        <v>1791</v>
      </c>
      <c r="O470">
        <v>143.43199999999999</v>
      </c>
      <c r="P470">
        <v>1</v>
      </c>
      <c r="Q470">
        <v>3.5857999999999999</v>
      </c>
      <c r="R470" s="1" t="s">
        <v>4422</v>
      </c>
      <c r="S470">
        <v>2014</v>
      </c>
      <c r="T470" s="1" t="s">
        <v>45</v>
      </c>
    </row>
    <row r="471" spans="1:20" x14ac:dyDescent="0.25">
      <c r="A471" s="1" t="s">
        <v>1789</v>
      </c>
      <c r="B471" s="2">
        <v>41915</v>
      </c>
      <c r="C471" s="2">
        <v>41920</v>
      </c>
      <c r="D471" s="1" t="s">
        <v>21</v>
      </c>
      <c r="E471" s="1" t="s">
        <v>423</v>
      </c>
      <c r="F471" s="1" t="s">
        <v>424</v>
      </c>
      <c r="G471" s="1" t="s">
        <v>84</v>
      </c>
      <c r="H471" s="1" t="s">
        <v>49</v>
      </c>
      <c r="I471" s="1" t="s">
        <v>50</v>
      </c>
      <c r="J471" s="1" t="s">
        <v>51</v>
      </c>
      <c r="K471" s="1" t="s">
        <v>64</v>
      </c>
      <c r="L471" s="1" t="s">
        <v>29</v>
      </c>
      <c r="M471" s="1" t="s">
        <v>34</v>
      </c>
      <c r="N471" s="1" t="s">
        <v>65</v>
      </c>
      <c r="O471">
        <v>122.352</v>
      </c>
      <c r="P471">
        <v>3</v>
      </c>
      <c r="Q471">
        <v>13.7646</v>
      </c>
      <c r="R471" s="1" t="s">
        <v>4422</v>
      </c>
      <c r="S471">
        <v>2014</v>
      </c>
      <c r="T471" s="1" t="s">
        <v>45</v>
      </c>
    </row>
    <row r="472" spans="1:20" x14ac:dyDescent="0.25">
      <c r="A472" s="1" t="s">
        <v>1792</v>
      </c>
      <c r="B472" s="2">
        <v>41817</v>
      </c>
      <c r="C472" s="2">
        <v>41821</v>
      </c>
      <c r="D472" s="1" t="s">
        <v>37</v>
      </c>
      <c r="E472" s="1" t="s">
        <v>1793</v>
      </c>
      <c r="F472" s="1" t="s">
        <v>1794</v>
      </c>
      <c r="G472" s="1" t="s">
        <v>24</v>
      </c>
      <c r="H472" s="1" t="s">
        <v>1795</v>
      </c>
      <c r="I472" s="1" t="s">
        <v>469</v>
      </c>
      <c r="J472" s="1" t="s">
        <v>27</v>
      </c>
      <c r="K472" s="1" t="s">
        <v>1250</v>
      </c>
      <c r="L472" s="1" t="s">
        <v>29</v>
      </c>
      <c r="M472" s="1" t="s">
        <v>43</v>
      </c>
      <c r="N472" s="1" t="s">
        <v>1054</v>
      </c>
      <c r="O472">
        <v>85.98</v>
      </c>
      <c r="P472">
        <v>1</v>
      </c>
      <c r="Q472">
        <v>22.354800000000001</v>
      </c>
      <c r="R472" s="1" t="s">
        <v>4424</v>
      </c>
      <c r="S472">
        <v>2014</v>
      </c>
      <c r="T472" s="1" t="s">
        <v>55</v>
      </c>
    </row>
    <row r="473" spans="1:20" x14ac:dyDescent="0.25">
      <c r="A473" s="1" t="s">
        <v>1796</v>
      </c>
      <c r="B473" s="2">
        <v>43038</v>
      </c>
      <c r="C473" s="2">
        <v>43041</v>
      </c>
      <c r="D473" s="1" t="s">
        <v>81</v>
      </c>
      <c r="E473" s="1" t="s">
        <v>1797</v>
      </c>
      <c r="F473" s="1" t="s">
        <v>1798</v>
      </c>
      <c r="G473" s="1" t="s">
        <v>24</v>
      </c>
      <c r="H473" s="1" t="s">
        <v>183</v>
      </c>
      <c r="I473" s="1" t="s">
        <v>184</v>
      </c>
      <c r="J473" s="1" t="s">
        <v>51</v>
      </c>
      <c r="K473" s="1" t="s">
        <v>1647</v>
      </c>
      <c r="L473" s="1" t="s">
        <v>29</v>
      </c>
      <c r="M473" s="1" t="s">
        <v>34</v>
      </c>
      <c r="N473" s="1" t="s">
        <v>1648</v>
      </c>
      <c r="O473">
        <v>97.567999999999998</v>
      </c>
      <c r="P473">
        <v>2</v>
      </c>
      <c r="Q473">
        <v>-6.0979999999999999</v>
      </c>
      <c r="R473" s="1" t="s">
        <v>4420</v>
      </c>
      <c r="S473">
        <v>2017</v>
      </c>
      <c r="T473" s="1" t="s">
        <v>45</v>
      </c>
    </row>
    <row r="474" spans="1:20" x14ac:dyDescent="0.25">
      <c r="A474" s="1" t="s">
        <v>1796</v>
      </c>
      <c r="B474" s="2">
        <v>43038</v>
      </c>
      <c r="C474" s="2">
        <v>43041</v>
      </c>
      <c r="D474" s="1" t="s">
        <v>81</v>
      </c>
      <c r="E474" s="1" t="s">
        <v>1797</v>
      </c>
      <c r="F474" s="1" t="s">
        <v>1798</v>
      </c>
      <c r="G474" s="1" t="s">
        <v>24</v>
      </c>
      <c r="H474" s="1" t="s">
        <v>183</v>
      </c>
      <c r="I474" s="1" t="s">
        <v>184</v>
      </c>
      <c r="J474" s="1" t="s">
        <v>51</v>
      </c>
      <c r="K474" s="1" t="s">
        <v>1270</v>
      </c>
      <c r="L474" s="1" t="s">
        <v>29</v>
      </c>
      <c r="M474" s="1" t="s">
        <v>34</v>
      </c>
      <c r="N474" s="1" t="s">
        <v>1271</v>
      </c>
      <c r="O474">
        <v>614.27200000000005</v>
      </c>
      <c r="P474">
        <v>8</v>
      </c>
      <c r="Q474">
        <v>-23.0352</v>
      </c>
      <c r="R474" s="1" t="s">
        <v>4420</v>
      </c>
      <c r="S474">
        <v>2017</v>
      </c>
      <c r="T474" s="1" t="s">
        <v>45</v>
      </c>
    </row>
    <row r="475" spans="1:20" x14ac:dyDescent="0.25">
      <c r="A475" s="1" t="s">
        <v>1796</v>
      </c>
      <c r="B475" s="2">
        <v>43038</v>
      </c>
      <c r="C475" s="2">
        <v>43041</v>
      </c>
      <c r="D475" s="1" t="s">
        <v>81</v>
      </c>
      <c r="E475" s="1" t="s">
        <v>1797</v>
      </c>
      <c r="F475" s="1" t="s">
        <v>1798</v>
      </c>
      <c r="G475" s="1" t="s">
        <v>24</v>
      </c>
      <c r="H475" s="1" t="s">
        <v>183</v>
      </c>
      <c r="I475" s="1" t="s">
        <v>184</v>
      </c>
      <c r="J475" s="1" t="s">
        <v>51</v>
      </c>
      <c r="K475" s="1" t="s">
        <v>1127</v>
      </c>
      <c r="L475" s="1" t="s">
        <v>29</v>
      </c>
      <c r="M475" s="1" t="s">
        <v>30</v>
      </c>
      <c r="N475" s="1" t="s">
        <v>1128</v>
      </c>
      <c r="O475">
        <v>199.98</v>
      </c>
      <c r="P475">
        <v>2</v>
      </c>
      <c r="Q475">
        <v>37.996200000000002</v>
      </c>
      <c r="R475" s="1" t="s">
        <v>4420</v>
      </c>
      <c r="S475">
        <v>2017</v>
      </c>
      <c r="T475" s="1" t="s">
        <v>45</v>
      </c>
    </row>
    <row r="476" spans="1:20" x14ac:dyDescent="0.25">
      <c r="A476" s="1" t="s">
        <v>1799</v>
      </c>
      <c r="B476" s="2">
        <v>42743</v>
      </c>
      <c r="C476" s="2">
        <v>42746</v>
      </c>
      <c r="D476" s="1" t="s">
        <v>81</v>
      </c>
      <c r="E476" s="1" t="s">
        <v>1800</v>
      </c>
      <c r="F476" s="1" t="s">
        <v>1801</v>
      </c>
      <c r="G476" s="1" t="s">
        <v>84</v>
      </c>
      <c r="H476" s="1" t="s">
        <v>183</v>
      </c>
      <c r="I476" s="1" t="s">
        <v>184</v>
      </c>
      <c r="J476" s="1" t="s">
        <v>51</v>
      </c>
      <c r="K476" s="1" t="s">
        <v>1802</v>
      </c>
      <c r="L476" s="1" t="s">
        <v>29</v>
      </c>
      <c r="M476" s="1" t="s">
        <v>43</v>
      </c>
      <c r="N476" s="1" t="s">
        <v>1803</v>
      </c>
      <c r="O476">
        <v>892.98</v>
      </c>
      <c r="P476">
        <v>2</v>
      </c>
      <c r="Q476">
        <v>80.368200000000002</v>
      </c>
      <c r="R476" s="1" t="s">
        <v>4420</v>
      </c>
      <c r="S476">
        <v>2017</v>
      </c>
      <c r="T476" s="1" t="s">
        <v>161</v>
      </c>
    </row>
    <row r="477" spans="1:20" x14ac:dyDescent="0.25">
      <c r="A477" s="1" t="s">
        <v>1804</v>
      </c>
      <c r="B477" s="2">
        <v>42114</v>
      </c>
      <c r="C477" s="2">
        <v>42119</v>
      </c>
      <c r="D477" s="1" t="s">
        <v>37</v>
      </c>
      <c r="E477" s="1" t="s">
        <v>1717</v>
      </c>
      <c r="F477" s="1" t="s">
        <v>1718</v>
      </c>
      <c r="G477" s="1" t="s">
        <v>84</v>
      </c>
      <c r="H477" s="1" t="s">
        <v>339</v>
      </c>
      <c r="I477" s="1" t="s">
        <v>658</v>
      </c>
      <c r="J477" s="1" t="s">
        <v>27</v>
      </c>
      <c r="K477" s="1" t="s">
        <v>1391</v>
      </c>
      <c r="L477" s="1" t="s">
        <v>29</v>
      </c>
      <c r="M477" s="1" t="s">
        <v>53</v>
      </c>
      <c r="N477" s="1" t="s">
        <v>1392</v>
      </c>
      <c r="O477">
        <v>595.38</v>
      </c>
      <c r="P477">
        <v>6</v>
      </c>
      <c r="Q477">
        <v>297.69</v>
      </c>
      <c r="R477" s="1" t="s">
        <v>4422</v>
      </c>
      <c r="S477">
        <v>2015</v>
      </c>
      <c r="T477" s="1" t="s">
        <v>107</v>
      </c>
    </row>
    <row r="478" spans="1:20" x14ac:dyDescent="0.25">
      <c r="A478" s="1" t="s">
        <v>1805</v>
      </c>
      <c r="B478" s="2">
        <v>43092</v>
      </c>
      <c r="C478" s="2">
        <v>43096</v>
      </c>
      <c r="D478" s="1" t="s">
        <v>37</v>
      </c>
      <c r="E478" s="1" t="s">
        <v>1450</v>
      </c>
      <c r="F478" s="1" t="s">
        <v>1451</v>
      </c>
      <c r="G478" s="1" t="s">
        <v>84</v>
      </c>
      <c r="H478" s="1" t="s">
        <v>1280</v>
      </c>
      <c r="I478" s="1" t="s">
        <v>421</v>
      </c>
      <c r="J478" s="1" t="s">
        <v>63</v>
      </c>
      <c r="K478" s="1" t="s">
        <v>136</v>
      </c>
      <c r="L478" s="1" t="s">
        <v>29</v>
      </c>
      <c r="M478" s="1" t="s">
        <v>53</v>
      </c>
      <c r="N478" s="1" t="s">
        <v>137</v>
      </c>
      <c r="O478">
        <v>181.95</v>
      </c>
      <c r="P478">
        <v>3</v>
      </c>
      <c r="Q478">
        <v>38.209499999999998</v>
      </c>
      <c r="R478" s="1" t="s">
        <v>4424</v>
      </c>
      <c r="S478">
        <v>2017</v>
      </c>
      <c r="T478" s="1" t="s">
        <v>90</v>
      </c>
    </row>
    <row r="479" spans="1:20" x14ac:dyDescent="0.25">
      <c r="A479" s="1" t="s">
        <v>1806</v>
      </c>
      <c r="B479" s="2">
        <v>42309</v>
      </c>
      <c r="C479" s="2">
        <v>42313</v>
      </c>
      <c r="D479" s="1" t="s">
        <v>37</v>
      </c>
      <c r="E479" s="1" t="s">
        <v>285</v>
      </c>
      <c r="F479" s="1" t="s">
        <v>286</v>
      </c>
      <c r="G479" s="1" t="s">
        <v>24</v>
      </c>
      <c r="H479" s="1" t="s">
        <v>165</v>
      </c>
      <c r="I479" s="1" t="s">
        <v>114</v>
      </c>
      <c r="J479" s="1" t="s">
        <v>63</v>
      </c>
      <c r="K479" s="1" t="s">
        <v>870</v>
      </c>
      <c r="L479" s="1" t="s">
        <v>29</v>
      </c>
      <c r="M479" s="1" t="s">
        <v>53</v>
      </c>
      <c r="N479" s="1" t="s">
        <v>871</v>
      </c>
      <c r="O479">
        <v>259.7</v>
      </c>
      <c r="P479">
        <v>5</v>
      </c>
      <c r="Q479">
        <v>106.477</v>
      </c>
      <c r="R479" s="1" t="s">
        <v>4424</v>
      </c>
      <c r="S479">
        <v>2015</v>
      </c>
      <c r="T479" s="1" t="s">
        <v>32</v>
      </c>
    </row>
    <row r="480" spans="1:20" x14ac:dyDescent="0.25">
      <c r="A480" s="1" t="s">
        <v>1807</v>
      </c>
      <c r="B480" s="2">
        <v>42995</v>
      </c>
      <c r="C480" s="2">
        <v>43000</v>
      </c>
      <c r="D480" s="1" t="s">
        <v>21</v>
      </c>
      <c r="E480" s="1" t="s">
        <v>650</v>
      </c>
      <c r="F480" s="1" t="s">
        <v>651</v>
      </c>
      <c r="G480" s="1" t="s">
        <v>94</v>
      </c>
      <c r="H480" s="1" t="s">
        <v>1808</v>
      </c>
      <c r="I480" s="1" t="s">
        <v>658</v>
      </c>
      <c r="J480" s="1" t="s">
        <v>27</v>
      </c>
      <c r="K480" s="1" t="s">
        <v>412</v>
      </c>
      <c r="L480" s="1" t="s">
        <v>29</v>
      </c>
      <c r="M480" s="1" t="s">
        <v>34</v>
      </c>
      <c r="N480" s="1" t="s">
        <v>413</v>
      </c>
      <c r="O480">
        <v>723.92</v>
      </c>
      <c r="P480">
        <v>4</v>
      </c>
      <c r="Q480">
        <v>188.2192</v>
      </c>
      <c r="R480" s="1" t="s">
        <v>4422</v>
      </c>
      <c r="S480">
        <v>2017</v>
      </c>
      <c r="T480" s="1" t="s">
        <v>72</v>
      </c>
    </row>
    <row r="481" spans="1:20" x14ac:dyDescent="0.25">
      <c r="A481" s="1" t="s">
        <v>1809</v>
      </c>
      <c r="B481" s="2">
        <v>42727</v>
      </c>
      <c r="C481" s="2">
        <v>42728</v>
      </c>
      <c r="D481" s="1" t="s">
        <v>81</v>
      </c>
      <c r="E481" s="1" t="s">
        <v>368</v>
      </c>
      <c r="F481" s="1" t="s">
        <v>369</v>
      </c>
      <c r="G481" s="1" t="s">
        <v>84</v>
      </c>
      <c r="H481" s="1" t="s">
        <v>125</v>
      </c>
      <c r="I481" s="1" t="s">
        <v>126</v>
      </c>
      <c r="J481" s="1" t="s">
        <v>87</v>
      </c>
      <c r="K481" s="1" t="s">
        <v>889</v>
      </c>
      <c r="L481" s="1" t="s">
        <v>29</v>
      </c>
      <c r="M481" s="1" t="s">
        <v>30</v>
      </c>
      <c r="N481" s="1" t="s">
        <v>890</v>
      </c>
      <c r="O481">
        <v>141.37200000000001</v>
      </c>
      <c r="P481">
        <v>2</v>
      </c>
      <c r="Q481">
        <v>-14.1372</v>
      </c>
      <c r="R481" s="1" t="s">
        <v>4425</v>
      </c>
      <c r="S481">
        <v>2016</v>
      </c>
      <c r="T481" s="1" t="s">
        <v>90</v>
      </c>
    </row>
    <row r="482" spans="1:20" x14ac:dyDescent="0.25">
      <c r="A482" s="1" t="s">
        <v>1810</v>
      </c>
      <c r="B482" s="2">
        <v>42897</v>
      </c>
      <c r="C482" s="2">
        <v>42898</v>
      </c>
      <c r="D482" s="1" t="s">
        <v>81</v>
      </c>
      <c r="E482" s="1" t="s">
        <v>1811</v>
      </c>
      <c r="F482" s="1" t="s">
        <v>1812</v>
      </c>
      <c r="G482" s="1" t="s">
        <v>94</v>
      </c>
      <c r="H482" s="1" t="s">
        <v>1370</v>
      </c>
      <c r="I482" s="1" t="s">
        <v>511</v>
      </c>
      <c r="J482" s="1" t="s">
        <v>51</v>
      </c>
      <c r="K482" s="1" t="s">
        <v>842</v>
      </c>
      <c r="L482" s="1" t="s">
        <v>29</v>
      </c>
      <c r="M482" s="1" t="s">
        <v>34</v>
      </c>
      <c r="N482" s="1" t="s">
        <v>843</v>
      </c>
      <c r="O482">
        <v>280.79199999999997</v>
      </c>
      <c r="P482">
        <v>1</v>
      </c>
      <c r="Q482">
        <v>35.098999999999997</v>
      </c>
      <c r="R482" s="1" t="s">
        <v>4425</v>
      </c>
      <c r="S482">
        <v>2017</v>
      </c>
      <c r="T482" s="1" t="s">
        <v>55</v>
      </c>
    </row>
    <row r="483" spans="1:20" x14ac:dyDescent="0.25">
      <c r="A483" s="1" t="s">
        <v>1813</v>
      </c>
      <c r="B483" s="2">
        <v>42936</v>
      </c>
      <c r="C483" s="2">
        <v>42941</v>
      </c>
      <c r="D483" s="1" t="s">
        <v>37</v>
      </c>
      <c r="E483" s="1" t="s">
        <v>1814</v>
      </c>
      <c r="F483" s="1" t="s">
        <v>1815</v>
      </c>
      <c r="G483" s="1" t="s">
        <v>84</v>
      </c>
      <c r="H483" s="1" t="s">
        <v>1816</v>
      </c>
      <c r="I483" s="1" t="s">
        <v>1817</v>
      </c>
      <c r="J483" s="1" t="s">
        <v>87</v>
      </c>
      <c r="K483" s="1" t="s">
        <v>1647</v>
      </c>
      <c r="L483" s="1" t="s">
        <v>29</v>
      </c>
      <c r="M483" s="1" t="s">
        <v>34</v>
      </c>
      <c r="N483" s="1" t="s">
        <v>1648</v>
      </c>
      <c r="O483">
        <v>182.94</v>
      </c>
      <c r="P483">
        <v>3</v>
      </c>
      <c r="Q483">
        <v>27.440999999999999</v>
      </c>
      <c r="R483" s="1" t="s">
        <v>4422</v>
      </c>
      <c r="S483">
        <v>2017</v>
      </c>
      <c r="T483" s="1" t="s">
        <v>66</v>
      </c>
    </row>
    <row r="484" spans="1:20" x14ac:dyDescent="0.25">
      <c r="A484" s="1" t="s">
        <v>1818</v>
      </c>
      <c r="B484" s="2">
        <v>42262</v>
      </c>
      <c r="C484" s="2">
        <v>42266</v>
      </c>
      <c r="D484" s="1" t="s">
        <v>21</v>
      </c>
      <c r="E484" s="1" t="s">
        <v>1819</v>
      </c>
      <c r="F484" s="1" t="s">
        <v>1820</v>
      </c>
      <c r="G484" s="1" t="s">
        <v>84</v>
      </c>
      <c r="H484" s="1" t="s">
        <v>165</v>
      </c>
      <c r="I484" s="1" t="s">
        <v>114</v>
      </c>
      <c r="J484" s="1" t="s">
        <v>63</v>
      </c>
      <c r="K484" s="1" t="s">
        <v>340</v>
      </c>
      <c r="L484" s="1" t="s">
        <v>29</v>
      </c>
      <c r="M484" s="1" t="s">
        <v>30</v>
      </c>
      <c r="N484" s="1" t="s">
        <v>341</v>
      </c>
      <c r="O484">
        <v>46.384</v>
      </c>
      <c r="P484">
        <v>1</v>
      </c>
      <c r="Q484">
        <v>1.1596</v>
      </c>
      <c r="R484" s="1" t="s">
        <v>4424</v>
      </c>
      <c r="S484">
        <v>2015</v>
      </c>
      <c r="T484" s="1" t="s">
        <v>72</v>
      </c>
    </row>
    <row r="485" spans="1:20" x14ac:dyDescent="0.25">
      <c r="A485" s="1" t="s">
        <v>1821</v>
      </c>
      <c r="B485" s="2">
        <v>42363</v>
      </c>
      <c r="C485" s="2">
        <v>42367</v>
      </c>
      <c r="D485" s="1" t="s">
        <v>37</v>
      </c>
      <c r="E485" s="1" t="s">
        <v>666</v>
      </c>
      <c r="F485" s="1" t="s">
        <v>667</v>
      </c>
      <c r="G485" s="1" t="s">
        <v>84</v>
      </c>
      <c r="H485" s="1" t="s">
        <v>61</v>
      </c>
      <c r="I485" s="1" t="s">
        <v>62</v>
      </c>
      <c r="J485" s="1" t="s">
        <v>63</v>
      </c>
      <c r="K485" s="1" t="s">
        <v>1822</v>
      </c>
      <c r="L485" s="1" t="s">
        <v>29</v>
      </c>
      <c r="M485" s="1" t="s">
        <v>53</v>
      </c>
      <c r="N485" s="1" t="s">
        <v>1823</v>
      </c>
      <c r="O485">
        <v>547.13599999999997</v>
      </c>
      <c r="P485">
        <v>4</v>
      </c>
      <c r="Q485">
        <v>-68.391999999999996</v>
      </c>
      <c r="R485" s="1" t="s">
        <v>4424</v>
      </c>
      <c r="S485">
        <v>2015</v>
      </c>
      <c r="T485" s="1" t="s">
        <v>90</v>
      </c>
    </row>
    <row r="486" spans="1:20" x14ac:dyDescent="0.25">
      <c r="A486" s="1" t="s">
        <v>1824</v>
      </c>
      <c r="B486" s="2">
        <v>42004</v>
      </c>
      <c r="C486" s="2">
        <v>42007</v>
      </c>
      <c r="D486" s="1" t="s">
        <v>81</v>
      </c>
      <c r="E486" s="1" t="s">
        <v>1243</v>
      </c>
      <c r="F486" s="1" t="s">
        <v>1244</v>
      </c>
      <c r="G486" s="1" t="s">
        <v>94</v>
      </c>
      <c r="H486" s="1" t="s">
        <v>229</v>
      </c>
      <c r="I486" s="1" t="s">
        <v>425</v>
      </c>
      <c r="J486" s="1" t="s">
        <v>63</v>
      </c>
      <c r="K486" s="1" t="s">
        <v>1825</v>
      </c>
      <c r="L486" s="1" t="s">
        <v>29</v>
      </c>
      <c r="M486" s="1" t="s">
        <v>53</v>
      </c>
      <c r="N486" s="1" t="s">
        <v>1826</v>
      </c>
      <c r="O486">
        <v>63.2</v>
      </c>
      <c r="P486">
        <v>5</v>
      </c>
      <c r="Q486">
        <v>23.384</v>
      </c>
      <c r="R486" s="1" t="s">
        <v>4420</v>
      </c>
      <c r="S486">
        <v>2014</v>
      </c>
      <c r="T486" s="1" t="s">
        <v>90</v>
      </c>
    </row>
    <row r="487" spans="1:20" x14ac:dyDescent="0.25">
      <c r="A487" s="1" t="s">
        <v>1827</v>
      </c>
      <c r="B487" s="2">
        <v>42442</v>
      </c>
      <c r="C487" s="2">
        <v>42447</v>
      </c>
      <c r="D487" s="1" t="s">
        <v>37</v>
      </c>
      <c r="E487" s="1" t="s">
        <v>804</v>
      </c>
      <c r="F487" s="1" t="s">
        <v>805</v>
      </c>
      <c r="G487" s="1" t="s">
        <v>24</v>
      </c>
      <c r="H487" s="1" t="s">
        <v>237</v>
      </c>
      <c r="I487" s="1" t="s">
        <v>86</v>
      </c>
      <c r="J487" s="1" t="s">
        <v>87</v>
      </c>
      <c r="K487" s="1" t="s">
        <v>1125</v>
      </c>
      <c r="L487" s="1" t="s">
        <v>29</v>
      </c>
      <c r="M487" s="1" t="s">
        <v>43</v>
      </c>
      <c r="N487" s="1" t="s">
        <v>1126</v>
      </c>
      <c r="O487">
        <v>557.58500000000004</v>
      </c>
      <c r="P487">
        <v>5</v>
      </c>
      <c r="Q487">
        <v>0</v>
      </c>
      <c r="R487" s="1" t="s">
        <v>4422</v>
      </c>
      <c r="S487">
        <v>2016</v>
      </c>
      <c r="T487" s="1" t="s">
        <v>187</v>
      </c>
    </row>
    <row r="488" spans="1:20" x14ac:dyDescent="0.25">
      <c r="A488" s="1" t="s">
        <v>1828</v>
      </c>
      <c r="B488" s="2">
        <v>42247</v>
      </c>
      <c r="C488" s="2">
        <v>42249</v>
      </c>
      <c r="D488" s="1" t="s">
        <v>81</v>
      </c>
      <c r="E488" s="1" t="s">
        <v>1829</v>
      </c>
      <c r="F488" s="1" t="s">
        <v>1830</v>
      </c>
      <c r="G488" s="1" t="s">
        <v>84</v>
      </c>
      <c r="H488" s="1" t="s">
        <v>320</v>
      </c>
      <c r="I488" s="1" t="s">
        <v>50</v>
      </c>
      <c r="J488" s="1" t="s">
        <v>51</v>
      </c>
      <c r="K488" s="1" t="s">
        <v>96</v>
      </c>
      <c r="L488" s="1" t="s">
        <v>29</v>
      </c>
      <c r="M488" s="1" t="s">
        <v>30</v>
      </c>
      <c r="N488" s="1" t="s">
        <v>97</v>
      </c>
      <c r="O488">
        <v>1552.8309999999999</v>
      </c>
      <c r="P488">
        <v>7</v>
      </c>
      <c r="Q488">
        <v>200.9546</v>
      </c>
      <c r="R488" s="1" t="s">
        <v>4423</v>
      </c>
      <c r="S488">
        <v>2015</v>
      </c>
      <c r="T488" s="1" t="s">
        <v>245</v>
      </c>
    </row>
    <row r="489" spans="1:20" x14ac:dyDescent="0.25">
      <c r="A489" s="1" t="s">
        <v>1831</v>
      </c>
      <c r="B489" s="2">
        <v>41715</v>
      </c>
      <c r="C489" s="2">
        <v>41719</v>
      </c>
      <c r="D489" s="1" t="s">
        <v>37</v>
      </c>
      <c r="E489" s="1" t="s">
        <v>1832</v>
      </c>
      <c r="F489" s="1" t="s">
        <v>1833</v>
      </c>
      <c r="G489" s="1" t="s">
        <v>84</v>
      </c>
      <c r="H489" s="1" t="s">
        <v>165</v>
      </c>
      <c r="I489" s="1" t="s">
        <v>114</v>
      </c>
      <c r="J489" s="1" t="s">
        <v>63</v>
      </c>
      <c r="K489" s="1" t="s">
        <v>298</v>
      </c>
      <c r="L489" s="1" t="s">
        <v>29</v>
      </c>
      <c r="M489" s="1" t="s">
        <v>43</v>
      </c>
      <c r="N489" s="1" t="s">
        <v>299</v>
      </c>
      <c r="O489">
        <v>1579.7460000000001</v>
      </c>
      <c r="P489">
        <v>7</v>
      </c>
      <c r="Q489">
        <v>-447.59469999999999</v>
      </c>
      <c r="R489" s="1" t="s">
        <v>4424</v>
      </c>
      <c r="S489">
        <v>2014</v>
      </c>
      <c r="T489" s="1" t="s">
        <v>187</v>
      </c>
    </row>
    <row r="490" spans="1:20" x14ac:dyDescent="0.25">
      <c r="A490" s="1" t="s">
        <v>1831</v>
      </c>
      <c r="B490" s="2">
        <v>41715</v>
      </c>
      <c r="C490" s="2">
        <v>41719</v>
      </c>
      <c r="D490" s="1" t="s">
        <v>37</v>
      </c>
      <c r="E490" s="1" t="s">
        <v>1832</v>
      </c>
      <c r="F490" s="1" t="s">
        <v>1833</v>
      </c>
      <c r="G490" s="1" t="s">
        <v>84</v>
      </c>
      <c r="H490" s="1" t="s">
        <v>165</v>
      </c>
      <c r="I490" s="1" t="s">
        <v>114</v>
      </c>
      <c r="J490" s="1" t="s">
        <v>63</v>
      </c>
      <c r="K490" s="1" t="s">
        <v>1802</v>
      </c>
      <c r="L490" s="1" t="s">
        <v>29</v>
      </c>
      <c r="M490" s="1" t="s">
        <v>43</v>
      </c>
      <c r="N490" s="1" t="s">
        <v>1803</v>
      </c>
      <c r="O490">
        <v>1071.576</v>
      </c>
      <c r="P490">
        <v>4</v>
      </c>
      <c r="Q490">
        <v>-553.64760000000001</v>
      </c>
      <c r="R490" s="1" t="s">
        <v>4424</v>
      </c>
      <c r="S490">
        <v>2014</v>
      </c>
      <c r="T490" s="1" t="s">
        <v>187</v>
      </c>
    </row>
    <row r="491" spans="1:20" x14ac:dyDescent="0.25">
      <c r="A491" s="1" t="s">
        <v>1831</v>
      </c>
      <c r="B491" s="2">
        <v>41715</v>
      </c>
      <c r="C491" s="2">
        <v>41719</v>
      </c>
      <c r="D491" s="1" t="s">
        <v>37</v>
      </c>
      <c r="E491" s="1" t="s">
        <v>1832</v>
      </c>
      <c r="F491" s="1" t="s">
        <v>1833</v>
      </c>
      <c r="G491" s="1" t="s">
        <v>84</v>
      </c>
      <c r="H491" s="1" t="s">
        <v>165</v>
      </c>
      <c r="I491" s="1" t="s">
        <v>114</v>
      </c>
      <c r="J491" s="1" t="s">
        <v>63</v>
      </c>
      <c r="K491" s="1" t="s">
        <v>1552</v>
      </c>
      <c r="L491" s="1" t="s">
        <v>29</v>
      </c>
      <c r="M491" s="1" t="s">
        <v>43</v>
      </c>
      <c r="N491" s="1" t="s">
        <v>1553</v>
      </c>
      <c r="O491">
        <v>613.90800000000002</v>
      </c>
      <c r="P491">
        <v>3</v>
      </c>
      <c r="Q491">
        <v>-122.7816</v>
      </c>
      <c r="R491" s="1" t="s">
        <v>4424</v>
      </c>
      <c r="S491">
        <v>2014</v>
      </c>
      <c r="T491" s="1" t="s">
        <v>187</v>
      </c>
    </row>
    <row r="492" spans="1:20" x14ac:dyDescent="0.25">
      <c r="A492" s="1" t="s">
        <v>1834</v>
      </c>
      <c r="B492" s="2">
        <v>42442</v>
      </c>
      <c r="C492" s="2">
        <v>42447</v>
      </c>
      <c r="D492" s="1" t="s">
        <v>37</v>
      </c>
      <c r="E492" s="1" t="s">
        <v>1835</v>
      </c>
      <c r="F492" s="1" t="s">
        <v>1836</v>
      </c>
      <c r="G492" s="1" t="s">
        <v>94</v>
      </c>
      <c r="H492" s="1" t="s">
        <v>706</v>
      </c>
      <c r="I492" s="1" t="s">
        <v>707</v>
      </c>
      <c r="J492" s="1" t="s">
        <v>27</v>
      </c>
      <c r="K492" s="1" t="s">
        <v>542</v>
      </c>
      <c r="L492" s="1" t="s">
        <v>29</v>
      </c>
      <c r="M492" s="1" t="s">
        <v>53</v>
      </c>
      <c r="N492" s="1" t="s">
        <v>543</v>
      </c>
      <c r="O492">
        <v>127.88</v>
      </c>
      <c r="P492">
        <v>2</v>
      </c>
      <c r="Q492">
        <v>40.921599999999998</v>
      </c>
      <c r="R492" s="1" t="s">
        <v>4422</v>
      </c>
      <c r="S492">
        <v>2016</v>
      </c>
      <c r="T492" s="1" t="s">
        <v>187</v>
      </c>
    </row>
    <row r="493" spans="1:20" x14ac:dyDescent="0.25">
      <c r="A493" s="1" t="s">
        <v>1837</v>
      </c>
      <c r="B493" s="2">
        <v>41967</v>
      </c>
      <c r="C493" s="2">
        <v>41969</v>
      </c>
      <c r="D493" s="1" t="s">
        <v>21</v>
      </c>
      <c r="E493" s="1" t="s">
        <v>1838</v>
      </c>
      <c r="F493" s="1" t="s">
        <v>1839</v>
      </c>
      <c r="G493" s="1" t="s">
        <v>24</v>
      </c>
      <c r="H493" s="1" t="s">
        <v>1840</v>
      </c>
      <c r="I493" s="1" t="s">
        <v>50</v>
      </c>
      <c r="J493" s="1" t="s">
        <v>51</v>
      </c>
      <c r="K493" s="1" t="s">
        <v>1841</v>
      </c>
      <c r="L493" s="1" t="s">
        <v>29</v>
      </c>
      <c r="M493" s="1" t="s">
        <v>34</v>
      </c>
      <c r="N493" s="1" t="s">
        <v>1842</v>
      </c>
      <c r="O493">
        <v>120.712</v>
      </c>
      <c r="P493">
        <v>1</v>
      </c>
      <c r="Q493">
        <v>-18.1068</v>
      </c>
      <c r="R493" s="1" t="s">
        <v>4423</v>
      </c>
      <c r="S493">
        <v>2014</v>
      </c>
      <c r="T493" s="1" t="s">
        <v>32</v>
      </c>
    </row>
    <row r="494" spans="1:20" x14ac:dyDescent="0.25">
      <c r="A494" s="1" t="s">
        <v>1843</v>
      </c>
      <c r="B494" s="2">
        <v>42636</v>
      </c>
      <c r="C494" s="2">
        <v>42640</v>
      </c>
      <c r="D494" s="1" t="s">
        <v>37</v>
      </c>
      <c r="E494" s="1" t="s">
        <v>343</v>
      </c>
      <c r="F494" s="1" t="s">
        <v>344</v>
      </c>
      <c r="G494" s="1" t="s">
        <v>84</v>
      </c>
      <c r="H494" s="1" t="s">
        <v>1571</v>
      </c>
      <c r="I494" s="1" t="s">
        <v>223</v>
      </c>
      <c r="J494" s="1" t="s">
        <v>63</v>
      </c>
      <c r="K494" s="1" t="s">
        <v>1844</v>
      </c>
      <c r="L494" s="1" t="s">
        <v>29</v>
      </c>
      <c r="M494" s="1" t="s">
        <v>53</v>
      </c>
      <c r="N494" s="1" t="s">
        <v>1845</v>
      </c>
      <c r="O494">
        <v>532.70399999999995</v>
      </c>
      <c r="P494">
        <v>6</v>
      </c>
      <c r="Q494">
        <v>-26.635200000000001</v>
      </c>
      <c r="R494" s="1" t="s">
        <v>4424</v>
      </c>
      <c r="S494">
        <v>2016</v>
      </c>
      <c r="T494" s="1" t="s">
        <v>72</v>
      </c>
    </row>
    <row r="495" spans="1:20" x14ac:dyDescent="0.25">
      <c r="A495" s="1" t="s">
        <v>1846</v>
      </c>
      <c r="B495" s="2">
        <v>42558</v>
      </c>
      <c r="C495" s="2">
        <v>42562</v>
      </c>
      <c r="D495" s="1" t="s">
        <v>21</v>
      </c>
      <c r="E495" s="1" t="s">
        <v>1847</v>
      </c>
      <c r="F495" s="1" t="s">
        <v>1848</v>
      </c>
      <c r="G495" s="1" t="s">
        <v>84</v>
      </c>
      <c r="H495" s="1" t="s">
        <v>171</v>
      </c>
      <c r="I495" s="1" t="s">
        <v>126</v>
      </c>
      <c r="J495" s="1" t="s">
        <v>87</v>
      </c>
      <c r="K495" s="1" t="s">
        <v>1533</v>
      </c>
      <c r="L495" s="1" t="s">
        <v>29</v>
      </c>
      <c r="M495" s="1" t="s">
        <v>53</v>
      </c>
      <c r="N495" s="1" t="s">
        <v>1534</v>
      </c>
      <c r="O495">
        <v>60.287999999999997</v>
      </c>
      <c r="P495">
        <v>8</v>
      </c>
      <c r="Q495">
        <v>-27.1296</v>
      </c>
      <c r="R495" s="1" t="s">
        <v>4424</v>
      </c>
      <c r="S495">
        <v>2016</v>
      </c>
      <c r="T495" s="1" t="s">
        <v>66</v>
      </c>
    </row>
    <row r="496" spans="1:20" x14ac:dyDescent="0.25">
      <c r="A496" s="1" t="s">
        <v>1846</v>
      </c>
      <c r="B496" s="2">
        <v>42558</v>
      </c>
      <c r="C496" s="2">
        <v>42562</v>
      </c>
      <c r="D496" s="1" t="s">
        <v>21</v>
      </c>
      <c r="E496" s="1" t="s">
        <v>1847</v>
      </c>
      <c r="F496" s="1" t="s">
        <v>1848</v>
      </c>
      <c r="G496" s="1" t="s">
        <v>84</v>
      </c>
      <c r="H496" s="1" t="s">
        <v>171</v>
      </c>
      <c r="I496" s="1" t="s">
        <v>126</v>
      </c>
      <c r="J496" s="1" t="s">
        <v>87</v>
      </c>
      <c r="K496" s="1" t="s">
        <v>412</v>
      </c>
      <c r="L496" s="1" t="s">
        <v>29</v>
      </c>
      <c r="M496" s="1" t="s">
        <v>34</v>
      </c>
      <c r="N496" s="1" t="s">
        <v>413</v>
      </c>
      <c r="O496">
        <v>253.37200000000001</v>
      </c>
      <c r="P496">
        <v>2</v>
      </c>
      <c r="Q496">
        <v>-14.478400000000001</v>
      </c>
      <c r="R496" s="1" t="s">
        <v>4424</v>
      </c>
      <c r="S496">
        <v>2016</v>
      </c>
      <c r="T496" s="1" t="s">
        <v>66</v>
      </c>
    </row>
    <row r="497" spans="1:20" x14ac:dyDescent="0.25">
      <c r="A497" s="1" t="s">
        <v>1849</v>
      </c>
      <c r="B497" s="2">
        <v>42496</v>
      </c>
      <c r="C497" s="2">
        <v>42500</v>
      </c>
      <c r="D497" s="1" t="s">
        <v>37</v>
      </c>
      <c r="E497" s="1" t="s">
        <v>1850</v>
      </c>
      <c r="F497" s="1" t="s">
        <v>1851</v>
      </c>
      <c r="G497" s="1" t="s">
        <v>94</v>
      </c>
      <c r="H497" s="1" t="s">
        <v>860</v>
      </c>
      <c r="I497" s="1" t="s">
        <v>223</v>
      </c>
      <c r="J497" s="1" t="s">
        <v>63</v>
      </c>
      <c r="K497" s="1" t="s">
        <v>78</v>
      </c>
      <c r="L497" s="1" t="s">
        <v>29</v>
      </c>
      <c r="M497" s="1" t="s">
        <v>53</v>
      </c>
      <c r="N497" s="1" t="s">
        <v>1852</v>
      </c>
      <c r="O497">
        <v>54.712000000000003</v>
      </c>
      <c r="P497">
        <v>7</v>
      </c>
      <c r="Q497">
        <v>11.626300000000001</v>
      </c>
      <c r="R497" s="1" t="s">
        <v>4424</v>
      </c>
      <c r="S497">
        <v>2016</v>
      </c>
      <c r="T497" s="1" t="s">
        <v>153</v>
      </c>
    </row>
    <row r="498" spans="1:20" x14ac:dyDescent="0.25">
      <c r="A498" s="1" t="s">
        <v>1853</v>
      </c>
      <c r="B498" s="2">
        <v>42344</v>
      </c>
      <c r="C498" s="2">
        <v>42348</v>
      </c>
      <c r="D498" s="1" t="s">
        <v>37</v>
      </c>
      <c r="E498" s="1" t="s">
        <v>1854</v>
      </c>
      <c r="F498" s="1" t="s">
        <v>1855</v>
      </c>
      <c r="G498" s="1" t="s">
        <v>24</v>
      </c>
      <c r="H498" s="1" t="s">
        <v>165</v>
      </c>
      <c r="I498" s="1" t="s">
        <v>114</v>
      </c>
      <c r="J498" s="1" t="s">
        <v>63</v>
      </c>
      <c r="K498" s="1" t="s">
        <v>1509</v>
      </c>
      <c r="L498" s="1" t="s">
        <v>29</v>
      </c>
      <c r="M498" s="1" t="s">
        <v>53</v>
      </c>
      <c r="N498" s="1" t="s">
        <v>1510</v>
      </c>
      <c r="O498">
        <v>113.92</v>
      </c>
      <c r="P498">
        <v>4</v>
      </c>
      <c r="Q498">
        <v>42.150399999999998</v>
      </c>
      <c r="R498" s="1" t="s">
        <v>4424</v>
      </c>
      <c r="S498">
        <v>2015</v>
      </c>
      <c r="T498" s="1" t="s">
        <v>90</v>
      </c>
    </row>
    <row r="499" spans="1:20" x14ac:dyDescent="0.25">
      <c r="A499" s="1" t="s">
        <v>1856</v>
      </c>
      <c r="B499" s="2">
        <v>42640</v>
      </c>
      <c r="C499" s="2">
        <v>42646</v>
      </c>
      <c r="D499" s="1" t="s">
        <v>37</v>
      </c>
      <c r="E499" s="1" t="s">
        <v>1857</v>
      </c>
      <c r="F499" s="1" t="s">
        <v>1858</v>
      </c>
      <c r="G499" s="1" t="s">
        <v>84</v>
      </c>
      <c r="H499" s="1" t="s">
        <v>1859</v>
      </c>
      <c r="I499" s="1" t="s">
        <v>86</v>
      </c>
      <c r="J499" s="1" t="s">
        <v>87</v>
      </c>
      <c r="K499" s="1" t="s">
        <v>1860</v>
      </c>
      <c r="L499" s="1" t="s">
        <v>29</v>
      </c>
      <c r="M499" s="1" t="s">
        <v>30</v>
      </c>
      <c r="N499" s="1" t="s">
        <v>1861</v>
      </c>
      <c r="O499">
        <v>956.66480000000001</v>
      </c>
      <c r="P499">
        <v>7</v>
      </c>
      <c r="Q499">
        <v>-225.0976</v>
      </c>
      <c r="R499" s="1" t="s">
        <v>4426</v>
      </c>
      <c r="S499">
        <v>2016</v>
      </c>
      <c r="T499" s="1" t="s">
        <v>72</v>
      </c>
    </row>
    <row r="500" spans="1:20" x14ac:dyDescent="0.25">
      <c r="A500" s="1" t="s">
        <v>1862</v>
      </c>
      <c r="B500" s="2">
        <v>42817</v>
      </c>
      <c r="C500" s="2">
        <v>42819</v>
      </c>
      <c r="D500" s="1" t="s">
        <v>81</v>
      </c>
      <c r="E500" s="1" t="s">
        <v>1863</v>
      </c>
      <c r="F500" s="1" t="s">
        <v>1864</v>
      </c>
      <c r="G500" s="1" t="s">
        <v>94</v>
      </c>
      <c r="H500" s="1" t="s">
        <v>320</v>
      </c>
      <c r="I500" s="1" t="s">
        <v>50</v>
      </c>
      <c r="J500" s="1" t="s">
        <v>51</v>
      </c>
      <c r="K500" s="1" t="s">
        <v>1412</v>
      </c>
      <c r="L500" s="1" t="s">
        <v>29</v>
      </c>
      <c r="M500" s="1" t="s">
        <v>53</v>
      </c>
      <c r="N500" s="1" t="s">
        <v>1413</v>
      </c>
      <c r="O500">
        <v>211.84</v>
      </c>
      <c r="P500">
        <v>8</v>
      </c>
      <c r="Q500">
        <v>76.2624</v>
      </c>
      <c r="R500" s="1" t="s">
        <v>4423</v>
      </c>
      <c r="S500">
        <v>2017</v>
      </c>
      <c r="T500" s="1" t="s">
        <v>187</v>
      </c>
    </row>
    <row r="501" spans="1:20" x14ac:dyDescent="0.25">
      <c r="A501" s="1" t="s">
        <v>1865</v>
      </c>
      <c r="B501" s="2">
        <v>41955</v>
      </c>
      <c r="C501" s="2">
        <v>41959</v>
      </c>
      <c r="D501" s="1" t="s">
        <v>37</v>
      </c>
      <c r="E501" s="1" t="s">
        <v>1866</v>
      </c>
      <c r="F501" s="1" t="s">
        <v>1867</v>
      </c>
      <c r="G501" s="1" t="s">
        <v>24</v>
      </c>
      <c r="H501" s="1" t="s">
        <v>49</v>
      </c>
      <c r="I501" s="1" t="s">
        <v>50</v>
      </c>
      <c r="J501" s="1" t="s">
        <v>51</v>
      </c>
      <c r="K501" s="1" t="s">
        <v>906</v>
      </c>
      <c r="L501" s="1" t="s">
        <v>29</v>
      </c>
      <c r="M501" s="1" t="s">
        <v>43</v>
      </c>
      <c r="N501" s="1" t="s">
        <v>907</v>
      </c>
      <c r="O501">
        <v>629.06399999999996</v>
      </c>
      <c r="P501">
        <v>3</v>
      </c>
      <c r="Q501">
        <v>31.453199999999999</v>
      </c>
      <c r="R501" s="1" t="s">
        <v>4424</v>
      </c>
      <c r="S501">
        <v>2014</v>
      </c>
      <c r="T501" s="1" t="s">
        <v>32</v>
      </c>
    </row>
    <row r="502" spans="1:20" x14ac:dyDescent="0.25">
      <c r="A502" s="1" t="s">
        <v>1868</v>
      </c>
      <c r="B502" s="2">
        <v>42733</v>
      </c>
      <c r="C502" s="2">
        <v>42737</v>
      </c>
      <c r="D502" s="1" t="s">
        <v>37</v>
      </c>
      <c r="E502" s="1" t="s">
        <v>489</v>
      </c>
      <c r="F502" s="1" t="s">
        <v>490</v>
      </c>
      <c r="G502" s="1" t="s">
        <v>24</v>
      </c>
      <c r="H502" s="1" t="s">
        <v>896</v>
      </c>
      <c r="I502" s="1" t="s">
        <v>230</v>
      </c>
      <c r="J502" s="1" t="s">
        <v>87</v>
      </c>
      <c r="K502" s="1" t="s">
        <v>1841</v>
      </c>
      <c r="L502" s="1" t="s">
        <v>29</v>
      </c>
      <c r="M502" s="1" t="s">
        <v>34</v>
      </c>
      <c r="N502" s="1" t="s">
        <v>1842</v>
      </c>
      <c r="O502">
        <v>754.45</v>
      </c>
      <c r="P502">
        <v>5</v>
      </c>
      <c r="Q502">
        <v>60.356000000000002</v>
      </c>
      <c r="R502" s="1" t="s">
        <v>4424</v>
      </c>
      <c r="S502">
        <v>2016</v>
      </c>
      <c r="T502" s="1" t="s">
        <v>90</v>
      </c>
    </row>
    <row r="503" spans="1:20" x14ac:dyDescent="0.25">
      <c r="A503" s="1" t="s">
        <v>1869</v>
      </c>
      <c r="B503" s="2">
        <v>42191</v>
      </c>
      <c r="C503" s="2">
        <v>42196</v>
      </c>
      <c r="D503" s="1" t="s">
        <v>37</v>
      </c>
      <c r="E503" s="1" t="s">
        <v>1231</v>
      </c>
      <c r="F503" s="1" t="s">
        <v>1232</v>
      </c>
      <c r="G503" s="1" t="s">
        <v>94</v>
      </c>
      <c r="H503" s="1" t="s">
        <v>1870</v>
      </c>
      <c r="I503" s="1" t="s">
        <v>425</v>
      </c>
      <c r="J503" s="1" t="s">
        <v>63</v>
      </c>
      <c r="K503" s="1" t="s">
        <v>520</v>
      </c>
      <c r="L503" s="1" t="s">
        <v>29</v>
      </c>
      <c r="M503" s="1" t="s">
        <v>30</v>
      </c>
      <c r="N503" s="1" t="s">
        <v>521</v>
      </c>
      <c r="O503">
        <v>301.95999999999998</v>
      </c>
      <c r="P503">
        <v>2</v>
      </c>
      <c r="Q503">
        <v>60.392000000000003</v>
      </c>
      <c r="R503" s="1" t="s">
        <v>4422</v>
      </c>
      <c r="S503">
        <v>2015</v>
      </c>
      <c r="T503" s="1" t="s">
        <v>66</v>
      </c>
    </row>
    <row r="504" spans="1:20" x14ac:dyDescent="0.25">
      <c r="A504" s="1" t="s">
        <v>1871</v>
      </c>
      <c r="B504" s="2">
        <v>43094</v>
      </c>
      <c r="C504" s="2">
        <v>43099</v>
      </c>
      <c r="D504" s="1" t="s">
        <v>37</v>
      </c>
      <c r="E504" s="1" t="s">
        <v>1872</v>
      </c>
      <c r="F504" s="1" t="s">
        <v>1873</v>
      </c>
      <c r="G504" s="1" t="s">
        <v>24</v>
      </c>
      <c r="H504" s="1" t="s">
        <v>1571</v>
      </c>
      <c r="I504" s="1" t="s">
        <v>223</v>
      </c>
      <c r="J504" s="1" t="s">
        <v>63</v>
      </c>
      <c r="K504" s="1" t="s">
        <v>1874</v>
      </c>
      <c r="L504" s="1" t="s">
        <v>29</v>
      </c>
      <c r="M504" s="1" t="s">
        <v>43</v>
      </c>
      <c r="N504" s="1" t="s">
        <v>1875</v>
      </c>
      <c r="O504">
        <v>273.06</v>
      </c>
      <c r="P504">
        <v>2</v>
      </c>
      <c r="Q504">
        <v>-104.673</v>
      </c>
      <c r="R504" s="1" t="s">
        <v>4422</v>
      </c>
      <c r="S504">
        <v>2017</v>
      </c>
      <c r="T504" s="1" t="s">
        <v>90</v>
      </c>
    </row>
    <row r="505" spans="1:20" x14ac:dyDescent="0.25">
      <c r="A505" s="1" t="s">
        <v>1876</v>
      </c>
      <c r="B505" s="2">
        <v>42532</v>
      </c>
      <c r="C505" s="2">
        <v>42538</v>
      </c>
      <c r="D505" s="1" t="s">
        <v>37</v>
      </c>
      <c r="E505" s="1" t="s">
        <v>1877</v>
      </c>
      <c r="F505" s="1" t="s">
        <v>1878</v>
      </c>
      <c r="G505" s="1" t="s">
        <v>84</v>
      </c>
      <c r="H505" s="1" t="s">
        <v>680</v>
      </c>
      <c r="I505" s="1" t="s">
        <v>86</v>
      </c>
      <c r="J505" s="1" t="s">
        <v>87</v>
      </c>
      <c r="K505" s="1" t="s">
        <v>1399</v>
      </c>
      <c r="L505" s="1" t="s">
        <v>29</v>
      </c>
      <c r="M505" s="1" t="s">
        <v>53</v>
      </c>
      <c r="N505" s="1" t="s">
        <v>1400</v>
      </c>
      <c r="O505">
        <v>12.544</v>
      </c>
      <c r="P505">
        <v>7</v>
      </c>
      <c r="Q505">
        <v>-9.0944000000000003</v>
      </c>
      <c r="R505" s="1" t="s">
        <v>4426</v>
      </c>
      <c r="S505">
        <v>2016</v>
      </c>
      <c r="T505" s="1" t="s">
        <v>55</v>
      </c>
    </row>
    <row r="506" spans="1:20" x14ac:dyDescent="0.25">
      <c r="A506" s="1" t="s">
        <v>1879</v>
      </c>
      <c r="B506" s="2">
        <v>43097</v>
      </c>
      <c r="C506" s="2">
        <v>43102</v>
      </c>
      <c r="D506" s="1" t="s">
        <v>37</v>
      </c>
      <c r="E506" s="1" t="s">
        <v>1857</v>
      </c>
      <c r="F506" s="1" t="s">
        <v>1858</v>
      </c>
      <c r="G506" s="1" t="s">
        <v>84</v>
      </c>
      <c r="H506" s="1" t="s">
        <v>183</v>
      </c>
      <c r="I506" s="1" t="s">
        <v>184</v>
      </c>
      <c r="J506" s="1" t="s">
        <v>51</v>
      </c>
      <c r="K506" s="1" t="s">
        <v>437</v>
      </c>
      <c r="L506" s="1" t="s">
        <v>29</v>
      </c>
      <c r="M506" s="1" t="s">
        <v>53</v>
      </c>
      <c r="N506" s="1" t="s">
        <v>438</v>
      </c>
      <c r="O506">
        <v>7.4</v>
      </c>
      <c r="P506">
        <v>2</v>
      </c>
      <c r="Q506">
        <v>3.0339999999999998</v>
      </c>
      <c r="R506" s="1" t="s">
        <v>4422</v>
      </c>
      <c r="S506">
        <v>2017</v>
      </c>
      <c r="T506" s="1" t="s">
        <v>90</v>
      </c>
    </row>
    <row r="507" spans="1:20" x14ac:dyDescent="0.25">
      <c r="A507" s="1" t="s">
        <v>1880</v>
      </c>
      <c r="B507" s="2">
        <v>41723</v>
      </c>
      <c r="C507" s="2">
        <v>41730</v>
      </c>
      <c r="D507" s="1" t="s">
        <v>37</v>
      </c>
      <c r="E507" s="1" t="s">
        <v>1881</v>
      </c>
      <c r="F507" s="1" t="s">
        <v>1882</v>
      </c>
      <c r="G507" s="1" t="s">
        <v>24</v>
      </c>
      <c r="H507" s="1" t="s">
        <v>165</v>
      </c>
      <c r="I507" s="1" t="s">
        <v>114</v>
      </c>
      <c r="J507" s="1" t="s">
        <v>63</v>
      </c>
      <c r="K507" s="1" t="s">
        <v>1883</v>
      </c>
      <c r="L507" s="1" t="s">
        <v>29</v>
      </c>
      <c r="M507" s="1" t="s">
        <v>34</v>
      </c>
      <c r="N507" s="1" t="s">
        <v>1884</v>
      </c>
      <c r="O507">
        <v>366.786</v>
      </c>
      <c r="P507">
        <v>7</v>
      </c>
      <c r="Q507">
        <v>65.206400000000002</v>
      </c>
      <c r="R507" s="1" t="s">
        <v>4421</v>
      </c>
      <c r="S507">
        <v>2014</v>
      </c>
      <c r="T507" s="1" t="s">
        <v>187</v>
      </c>
    </row>
    <row r="508" spans="1:20" x14ac:dyDescent="0.25">
      <c r="A508" s="1" t="s">
        <v>1885</v>
      </c>
      <c r="B508" s="2">
        <v>42919</v>
      </c>
      <c r="C508" s="2">
        <v>42926</v>
      </c>
      <c r="D508" s="1" t="s">
        <v>37</v>
      </c>
      <c r="E508" s="1" t="s">
        <v>1222</v>
      </c>
      <c r="F508" s="1" t="s">
        <v>1223</v>
      </c>
      <c r="G508" s="1" t="s">
        <v>24</v>
      </c>
      <c r="H508" s="1" t="s">
        <v>1886</v>
      </c>
      <c r="I508" s="1" t="s">
        <v>1887</v>
      </c>
      <c r="J508" s="1" t="s">
        <v>51</v>
      </c>
      <c r="K508" s="1" t="s">
        <v>136</v>
      </c>
      <c r="L508" s="1" t="s">
        <v>29</v>
      </c>
      <c r="M508" s="1" t="s">
        <v>53</v>
      </c>
      <c r="N508" s="1" t="s">
        <v>137</v>
      </c>
      <c r="O508">
        <v>545.85</v>
      </c>
      <c r="P508">
        <v>9</v>
      </c>
      <c r="Q508">
        <v>114.6285</v>
      </c>
      <c r="R508" s="1" t="s">
        <v>4421</v>
      </c>
      <c r="S508">
        <v>2017</v>
      </c>
      <c r="T508" s="1" t="s">
        <v>66</v>
      </c>
    </row>
    <row r="509" spans="1:20" x14ac:dyDescent="0.25">
      <c r="A509" s="1" t="s">
        <v>1888</v>
      </c>
      <c r="B509" s="2">
        <v>41961</v>
      </c>
      <c r="C509" s="2">
        <v>41963</v>
      </c>
      <c r="D509" s="1" t="s">
        <v>21</v>
      </c>
      <c r="E509" s="1" t="s">
        <v>1889</v>
      </c>
      <c r="F509" s="1" t="s">
        <v>1890</v>
      </c>
      <c r="G509" s="1" t="s">
        <v>24</v>
      </c>
      <c r="H509" s="1" t="s">
        <v>856</v>
      </c>
      <c r="I509" s="1" t="s">
        <v>172</v>
      </c>
      <c r="J509" s="1" t="s">
        <v>51</v>
      </c>
      <c r="K509" s="1" t="s">
        <v>1891</v>
      </c>
      <c r="L509" s="1" t="s">
        <v>29</v>
      </c>
      <c r="M509" s="1" t="s">
        <v>43</v>
      </c>
      <c r="N509" s="1" t="s">
        <v>1892</v>
      </c>
      <c r="O509">
        <v>145.97999999999999</v>
      </c>
      <c r="P509">
        <v>2</v>
      </c>
      <c r="Q509">
        <v>-99.266400000000004</v>
      </c>
      <c r="R509" s="1" t="s">
        <v>4423</v>
      </c>
      <c r="S509">
        <v>2014</v>
      </c>
      <c r="T509" s="1" t="s">
        <v>32</v>
      </c>
    </row>
    <row r="510" spans="1:20" x14ac:dyDescent="0.25">
      <c r="A510" s="1" t="s">
        <v>1893</v>
      </c>
      <c r="B510" s="2">
        <v>42933</v>
      </c>
      <c r="C510" s="2">
        <v>42938</v>
      </c>
      <c r="D510" s="1" t="s">
        <v>37</v>
      </c>
      <c r="E510" s="1" t="s">
        <v>1894</v>
      </c>
      <c r="F510" s="1" t="s">
        <v>1895</v>
      </c>
      <c r="G510" s="1" t="s">
        <v>24</v>
      </c>
      <c r="H510" s="1" t="s">
        <v>295</v>
      </c>
      <c r="I510" s="1" t="s">
        <v>41</v>
      </c>
      <c r="J510" s="1" t="s">
        <v>27</v>
      </c>
      <c r="K510" s="1" t="s">
        <v>793</v>
      </c>
      <c r="L510" s="1" t="s">
        <v>29</v>
      </c>
      <c r="M510" s="1" t="s">
        <v>53</v>
      </c>
      <c r="N510" s="1" t="s">
        <v>794</v>
      </c>
      <c r="O510">
        <v>7.9039999999999999</v>
      </c>
      <c r="P510">
        <v>2</v>
      </c>
      <c r="Q510">
        <v>2.1736</v>
      </c>
      <c r="R510" s="1" t="s">
        <v>4422</v>
      </c>
      <c r="S510">
        <v>2017</v>
      </c>
      <c r="T510" s="1" t="s">
        <v>66</v>
      </c>
    </row>
    <row r="511" spans="1:20" x14ac:dyDescent="0.25">
      <c r="A511" s="1" t="s">
        <v>1896</v>
      </c>
      <c r="B511" s="2">
        <v>42512</v>
      </c>
      <c r="C511" s="2">
        <v>42517</v>
      </c>
      <c r="D511" s="1" t="s">
        <v>37</v>
      </c>
      <c r="E511" s="1" t="s">
        <v>1724</v>
      </c>
      <c r="F511" s="1" t="s">
        <v>1725</v>
      </c>
      <c r="G511" s="1" t="s">
        <v>24</v>
      </c>
      <c r="H511" s="1" t="s">
        <v>1897</v>
      </c>
      <c r="I511" s="1" t="s">
        <v>354</v>
      </c>
      <c r="J511" s="1" t="s">
        <v>63</v>
      </c>
      <c r="K511" s="1" t="s">
        <v>282</v>
      </c>
      <c r="L511" s="1" t="s">
        <v>29</v>
      </c>
      <c r="M511" s="1" t="s">
        <v>43</v>
      </c>
      <c r="N511" s="1" t="s">
        <v>283</v>
      </c>
      <c r="O511">
        <v>174.286</v>
      </c>
      <c r="P511">
        <v>2</v>
      </c>
      <c r="Q511">
        <v>-19.918399999999998</v>
      </c>
      <c r="R511" s="1" t="s">
        <v>4422</v>
      </c>
      <c r="S511">
        <v>2016</v>
      </c>
      <c r="T511" s="1" t="s">
        <v>153</v>
      </c>
    </row>
    <row r="512" spans="1:20" x14ac:dyDescent="0.25">
      <c r="A512" s="1" t="s">
        <v>1898</v>
      </c>
      <c r="B512" s="2">
        <v>42674</v>
      </c>
      <c r="C512" s="2">
        <v>42680</v>
      </c>
      <c r="D512" s="1" t="s">
        <v>37</v>
      </c>
      <c r="E512" s="1" t="s">
        <v>590</v>
      </c>
      <c r="F512" s="1" t="s">
        <v>591</v>
      </c>
      <c r="G512" s="1" t="s">
        <v>24</v>
      </c>
      <c r="H512" s="1" t="s">
        <v>61</v>
      </c>
      <c r="I512" s="1" t="s">
        <v>62</v>
      </c>
      <c r="J512" s="1" t="s">
        <v>63</v>
      </c>
      <c r="K512" s="1" t="s">
        <v>1523</v>
      </c>
      <c r="L512" s="1" t="s">
        <v>29</v>
      </c>
      <c r="M512" s="1" t="s">
        <v>34</v>
      </c>
      <c r="N512" s="1" t="s">
        <v>1524</v>
      </c>
      <c r="O512">
        <v>492.83499999999998</v>
      </c>
      <c r="P512">
        <v>5</v>
      </c>
      <c r="Q512">
        <v>-14.081</v>
      </c>
      <c r="R512" s="1" t="s">
        <v>4426</v>
      </c>
      <c r="S512">
        <v>2016</v>
      </c>
      <c r="T512" s="1" t="s">
        <v>45</v>
      </c>
    </row>
    <row r="513" spans="1:20" x14ac:dyDescent="0.25">
      <c r="A513" s="1" t="s">
        <v>1899</v>
      </c>
      <c r="B513" s="2">
        <v>42391</v>
      </c>
      <c r="C513" s="2">
        <v>42397</v>
      </c>
      <c r="D513" s="1" t="s">
        <v>37</v>
      </c>
      <c r="E513" s="1" t="s">
        <v>1900</v>
      </c>
      <c r="F513" s="1" t="s">
        <v>1901</v>
      </c>
      <c r="G513" s="1" t="s">
        <v>24</v>
      </c>
      <c r="H513" s="1" t="s">
        <v>1902</v>
      </c>
      <c r="I513" s="1" t="s">
        <v>1027</v>
      </c>
      <c r="J513" s="1" t="s">
        <v>27</v>
      </c>
      <c r="K513" s="1" t="s">
        <v>1903</v>
      </c>
      <c r="L513" s="1" t="s">
        <v>29</v>
      </c>
      <c r="M513" s="1" t="s">
        <v>53</v>
      </c>
      <c r="N513" s="1" t="s">
        <v>1904</v>
      </c>
      <c r="O513">
        <v>14.272</v>
      </c>
      <c r="P513">
        <v>8</v>
      </c>
      <c r="Q513">
        <v>4.2816000000000001</v>
      </c>
      <c r="R513" s="1" t="s">
        <v>4426</v>
      </c>
      <c r="S513">
        <v>2016</v>
      </c>
      <c r="T513" s="1" t="s">
        <v>161</v>
      </c>
    </row>
    <row r="514" spans="1:20" x14ac:dyDescent="0.25">
      <c r="A514" s="1" t="s">
        <v>1899</v>
      </c>
      <c r="B514" s="2">
        <v>42391</v>
      </c>
      <c r="C514" s="2">
        <v>42397</v>
      </c>
      <c r="D514" s="1" t="s">
        <v>37</v>
      </c>
      <c r="E514" s="1" t="s">
        <v>1900</v>
      </c>
      <c r="F514" s="1" t="s">
        <v>1901</v>
      </c>
      <c r="G514" s="1" t="s">
        <v>24</v>
      </c>
      <c r="H514" s="1" t="s">
        <v>1902</v>
      </c>
      <c r="I514" s="1" t="s">
        <v>1027</v>
      </c>
      <c r="J514" s="1" t="s">
        <v>27</v>
      </c>
      <c r="K514" s="1" t="s">
        <v>1686</v>
      </c>
      <c r="L514" s="1" t="s">
        <v>29</v>
      </c>
      <c r="M514" s="1" t="s">
        <v>30</v>
      </c>
      <c r="N514" s="1" t="s">
        <v>1905</v>
      </c>
      <c r="O514">
        <v>451.13600000000002</v>
      </c>
      <c r="P514">
        <v>4</v>
      </c>
      <c r="Q514">
        <v>-67.670400000000001</v>
      </c>
      <c r="R514" s="1" t="s">
        <v>4426</v>
      </c>
      <c r="S514">
        <v>2016</v>
      </c>
      <c r="T514" s="1" t="s">
        <v>161</v>
      </c>
    </row>
    <row r="515" spans="1:20" x14ac:dyDescent="0.25">
      <c r="A515" s="1" t="s">
        <v>1906</v>
      </c>
      <c r="B515" s="2">
        <v>42677</v>
      </c>
      <c r="C515" s="2">
        <v>42680</v>
      </c>
      <c r="D515" s="1" t="s">
        <v>81</v>
      </c>
      <c r="E515" s="1" t="s">
        <v>1907</v>
      </c>
      <c r="F515" s="1" t="s">
        <v>1908</v>
      </c>
      <c r="G515" s="1" t="s">
        <v>24</v>
      </c>
      <c r="H515" s="1" t="s">
        <v>49</v>
      </c>
      <c r="I515" s="1" t="s">
        <v>50</v>
      </c>
      <c r="J515" s="1" t="s">
        <v>51</v>
      </c>
      <c r="K515" s="1" t="s">
        <v>1909</v>
      </c>
      <c r="L515" s="1" t="s">
        <v>29</v>
      </c>
      <c r="M515" s="1" t="s">
        <v>34</v>
      </c>
      <c r="N515" s="1" t="s">
        <v>1910</v>
      </c>
      <c r="O515">
        <v>217.584</v>
      </c>
      <c r="P515">
        <v>2</v>
      </c>
      <c r="Q515">
        <v>-29.9178</v>
      </c>
      <c r="R515" s="1" t="s">
        <v>4420</v>
      </c>
      <c r="S515">
        <v>2016</v>
      </c>
      <c r="T515" s="1" t="s">
        <v>32</v>
      </c>
    </row>
    <row r="516" spans="1:20" x14ac:dyDescent="0.25">
      <c r="A516" s="1" t="s">
        <v>1911</v>
      </c>
      <c r="B516" s="2">
        <v>42982</v>
      </c>
      <c r="C516" s="2">
        <v>42986</v>
      </c>
      <c r="D516" s="1" t="s">
        <v>21</v>
      </c>
      <c r="E516" s="1" t="s">
        <v>1912</v>
      </c>
      <c r="F516" s="1" t="s">
        <v>1913</v>
      </c>
      <c r="G516" s="1" t="s">
        <v>84</v>
      </c>
      <c r="H516" s="1" t="s">
        <v>49</v>
      </c>
      <c r="I516" s="1" t="s">
        <v>50</v>
      </c>
      <c r="J516" s="1" t="s">
        <v>51</v>
      </c>
      <c r="K516" s="1" t="s">
        <v>742</v>
      </c>
      <c r="L516" s="1" t="s">
        <v>29</v>
      </c>
      <c r="M516" s="1" t="s">
        <v>43</v>
      </c>
      <c r="N516" s="1" t="s">
        <v>743</v>
      </c>
      <c r="O516">
        <v>1322.3520000000001</v>
      </c>
      <c r="P516">
        <v>3</v>
      </c>
      <c r="Q516">
        <v>-99.176400000000001</v>
      </c>
      <c r="R516" s="1" t="s">
        <v>4424</v>
      </c>
      <c r="S516">
        <v>2017</v>
      </c>
      <c r="T516" s="1" t="s">
        <v>72</v>
      </c>
    </row>
    <row r="517" spans="1:20" x14ac:dyDescent="0.25">
      <c r="A517" s="1" t="s">
        <v>1914</v>
      </c>
      <c r="B517" s="2">
        <v>42975</v>
      </c>
      <c r="C517" s="2">
        <v>42981</v>
      </c>
      <c r="D517" s="1" t="s">
        <v>37</v>
      </c>
      <c r="E517" s="1" t="s">
        <v>1915</v>
      </c>
      <c r="F517" s="1" t="s">
        <v>1916</v>
      </c>
      <c r="G517" s="1" t="s">
        <v>94</v>
      </c>
      <c r="H517" s="1" t="s">
        <v>183</v>
      </c>
      <c r="I517" s="1" t="s">
        <v>184</v>
      </c>
      <c r="J517" s="1" t="s">
        <v>51</v>
      </c>
      <c r="K517" s="1" t="s">
        <v>432</v>
      </c>
      <c r="L517" s="1" t="s">
        <v>29</v>
      </c>
      <c r="M517" s="1" t="s">
        <v>43</v>
      </c>
      <c r="N517" s="1" t="s">
        <v>433</v>
      </c>
      <c r="O517">
        <v>1137.75</v>
      </c>
      <c r="P517">
        <v>5</v>
      </c>
      <c r="Q517">
        <v>250.30500000000001</v>
      </c>
      <c r="R517" s="1" t="s">
        <v>4426</v>
      </c>
      <c r="S517">
        <v>2017</v>
      </c>
      <c r="T517" s="1" t="s">
        <v>245</v>
      </c>
    </row>
    <row r="518" spans="1:20" x14ac:dyDescent="0.25">
      <c r="A518" s="1" t="s">
        <v>1917</v>
      </c>
      <c r="B518" s="2">
        <v>42623</v>
      </c>
      <c r="C518" s="2">
        <v>42627</v>
      </c>
      <c r="D518" s="1" t="s">
        <v>21</v>
      </c>
      <c r="E518" s="1" t="s">
        <v>1918</v>
      </c>
      <c r="F518" s="1" t="s">
        <v>1919</v>
      </c>
      <c r="G518" s="1" t="s">
        <v>24</v>
      </c>
      <c r="H518" s="1" t="s">
        <v>95</v>
      </c>
      <c r="I518" s="1" t="s">
        <v>86</v>
      </c>
      <c r="J518" s="1" t="s">
        <v>87</v>
      </c>
      <c r="K518" s="1" t="s">
        <v>1053</v>
      </c>
      <c r="L518" s="1" t="s">
        <v>29</v>
      </c>
      <c r="M518" s="1" t="s">
        <v>43</v>
      </c>
      <c r="N518" s="1" t="s">
        <v>1054</v>
      </c>
      <c r="O518">
        <v>300.93</v>
      </c>
      <c r="P518">
        <v>5</v>
      </c>
      <c r="Q518">
        <v>-34.392000000000003</v>
      </c>
      <c r="R518" s="1" t="s">
        <v>4424</v>
      </c>
      <c r="S518">
        <v>2016</v>
      </c>
      <c r="T518" s="1" t="s">
        <v>72</v>
      </c>
    </row>
    <row r="519" spans="1:20" x14ac:dyDescent="0.25">
      <c r="A519" s="1" t="s">
        <v>1920</v>
      </c>
      <c r="B519" s="2">
        <v>41806</v>
      </c>
      <c r="C519" s="2">
        <v>41812</v>
      </c>
      <c r="D519" s="1" t="s">
        <v>37</v>
      </c>
      <c r="E519" s="1" t="s">
        <v>1921</v>
      </c>
      <c r="F519" s="1" t="s">
        <v>1922</v>
      </c>
      <c r="G519" s="1" t="s">
        <v>24</v>
      </c>
      <c r="H519" s="1" t="s">
        <v>1923</v>
      </c>
      <c r="I519" s="1" t="s">
        <v>104</v>
      </c>
      <c r="J519" s="1" t="s">
        <v>87</v>
      </c>
      <c r="K519" s="1" t="s">
        <v>501</v>
      </c>
      <c r="L519" s="1" t="s">
        <v>29</v>
      </c>
      <c r="M519" s="1" t="s">
        <v>34</v>
      </c>
      <c r="N519" s="1" t="s">
        <v>502</v>
      </c>
      <c r="O519">
        <v>647.84</v>
      </c>
      <c r="P519">
        <v>8</v>
      </c>
      <c r="Q519">
        <v>32.392000000000003</v>
      </c>
      <c r="R519" s="1" t="s">
        <v>4426</v>
      </c>
      <c r="S519">
        <v>2014</v>
      </c>
      <c r="T519" s="1" t="s">
        <v>55</v>
      </c>
    </row>
    <row r="520" spans="1:20" x14ac:dyDescent="0.25">
      <c r="A520" s="1" t="s">
        <v>1924</v>
      </c>
      <c r="B520" s="2">
        <v>41845</v>
      </c>
      <c r="C520" s="2">
        <v>41847</v>
      </c>
      <c r="D520" s="1" t="s">
        <v>21</v>
      </c>
      <c r="E520" s="1" t="s">
        <v>303</v>
      </c>
      <c r="F520" s="1" t="s">
        <v>304</v>
      </c>
      <c r="G520" s="1" t="s">
        <v>24</v>
      </c>
      <c r="H520" s="1" t="s">
        <v>320</v>
      </c>
      <c r="I520" s="1" t="s">
        <v>50</v>
      </c>
      <c r="J520" s="1" t="s">
        <v>51</v>
      </c>
      <c r="K520" s="1" t="s">
        <v>307</v>
      </c>
      <c r="L520" s="1" t="s">
        <v>29</v>
      </c>
      <c r="M520" s="1" t="s">
        <v>53</v>
      </c>
      <c r="N520" s="1" t="s">
        <v>308</v>
      </c>
      <c r="O520">
        <v>77.92</v>
      </c>
      <c r="P520">
        <v>8</v>
      </c>
      <c r="Q520">
        <v>34.284799999999997</v>
      </c>
      <c r="R520" s="1" t="s">
        <v>4423</v>
      </c>
      <c r="S520">
        <v>2014</v>
      </c>
      <c r="T520" s="1" t="s">
        <v>66</v>
      </c>
    </row>
    <row r="521" spans="1:20" x14ac:dyDescent="0.25">
      <c r="A521" s="1" t="s">
        <v>1925</v>
      </c>
      <c r="B521" s="2">
        <v>42685</v>
      </c>
      <c r="C521" s="2">
        <v>42691</v>
      </c>
      <c r="D521" s="1" t="s">
        <v>37</v>
      </c>
      <c r="E521" s="1" t="s">
        <v>1926</v>
      </c>
      <c r="F521" s="1" t="s">
        <v>1927</v>
      </c>
      <c r="G521" s="1" t="s">
        <v>84</v>
      </c>
      <c r="H521" s="1" t="s">
        <v>125</v>
      </c>
      <c r="I521" s="1" t="s">
        <v>126</v>
      </c>
      <c r="J521" s="1" t="s">
        <v>87</v>
      </c>
      <c r="K521" s="1" t="s">
        <v>1093</v>
      </c>
      <c r="L521" s="1" t="s">
        <v>29</v>
      </c>
      <c r="M521" s="1" t="s">
        <v>34</v>
      </c>
      <c r="N521" s="1" t="s">
        <v>1094</v>
      </c>
      <c r="O521">
        <v>47.991999999999997</v>
      </c>
      <c r="P521">
        <v>2</v>
      </c>
      <c r="Q521">
        <v>-2.0568</v>
      </c>
      <c r="R521" s="1" t="s">
        <v>4426</v>
      </c>
      <c r="S521">
        <v>2016</v>
      </c>
      <c r="T521" s="1" t="s">
        <v>32</v>
      </c>
    </row>
    <row r="522" spans="1:20" x14ac:dyDescent="0.25">
      <c r="A522" s="1" t="s">
        <v>1928</v>
      </c>
      <c r="B522" s="2">
        <v>42857</v>
      </c>
      <c r="C522" s="2">
        <v>42862</v>
      </c>
      <c r="D522" s="1" t="s">
        <v>37</v>
      </c>
      <c r="E522" s="1" t="s">
        <v>1929</v>
      </c>
      <c r="F522" s="1" t="s">
        <v>1930</v>
      </c>
      <c r="G522" s="1" t="s">
        <v>84</v>
      </c>
      <c r="H522" s="1" t="s">
        <v>1931</v>
      </c>
      <c r="I522" s="1" t="s">
        <v>354</v>
      </c>
      <c r="J522" s="1" t="s">
        <v>63</v>
      </c>
      <c r="K522" s="1" t="s">
        <v>981</v>
      </c>
      <c r="L522" s="1" t="s">
        <v>29</v>
      </c>
      <c r="M522" s="1" t="s">
        <v>53</v>
      </c>
      <c r="N522" s="1" t="s">
        <v>982</v>
      </c>
      <c r="O522">
        <v>129.93</v>
      </c>
      <c r="P522">
        <v>3</v>
      </c>
      <c r="Q522">
        <v>12.993</v>
      </c>
      <c r="R522" s="1" t="s">
        <v>4422</v>
      </c>
      <c r="S522">
        <v>2017</v>
      </c>
      <c r="T522" s="1" t="s">
        <v>153</v>
      </c>
    </row>
    <row r="523" spans="1:20" x14ac:dyDescent="0.25">
      <c r="A523" s="1" t="s">
        <v>1932</v>
      </c>
      <c r="B523" s="2">
        <v>42031</v>
      </c>
      <c r="C523" s="2">
        <v>42033</v>
      </c>
      <c r="D523" s="1" t="s">
        <v>21</v>
      </c>
      <c r="E523" s="1" t="s">
        <v>730</v>
      </c>
      <c r="F523" s="1" t="s">
        <v>731</v>
      </c>
      <c r="G523" s="1" t="s">
        <v>24</v>
      </c>
      <c r="H523" s="1" t="s">
        <v>684</v>
      </c>
      <c r="I523" s="1" t="s">
        <v>223</v>
      </c>
      <c r="J523" s="1" t="s">
        <v>63</v>
      </c>
      <c r="K523" s="1" t="s">
        <v>134</v>
      </c>
      <c r="L523" s="1" t="s">
        <v>29</v>
      </c>
      <c r="M523" s="1" t="s">
        <v>34</v>
      </c>
      <c r="N523" s="1" t="s">
        <v>135</v>
      </c>
      <c r="O523">
        <v>181.98599999999999</v>
      </c>
      <c r="P523">
        <v>2</v>
      </c>
      <c r="Q523">
        <v>-54.595799999999997</v>
      </c>
      <c r="R523" s="1" t="s">
        <v>4423</v>
      </c>
      <c r="S523">
        <v>2015</v>
      </c>
      <c r="T523" s="1" t="s">
        <v>161</v>
      </c>
    </row>
    <row r="524" spans="1:20" x14ac:dyDescent="0.25">
      <c r="A524" s="1" t="s">
        <v>1933</v>
      </c>
      <c r="B524" s="2">
        <v>42201</v>
      </c>
      <c r="C524" s="2">
        <v>42201</v>
      </c>
      <c r="D524" s="1" t="s">
        <v>417</v>
      </c>
      <c r="E524" s="1" t="s">
        <v>1934</v>
      </c>
      <c r="F524" s="1" t="s">
        <v>1935</v>
      </c>
      <c r="G524" s="1" t="s">
        <v>84</v>
      </c>
      <c r="H524" s="1" t="s">
        <v>320</v>
      </c>
      <c r="I524" s="1" t="s">
        <v>50</v>
      </c>
      <c r="J524" s="1" t="s">
        <v>51</v>
      </c>
      <c r="K524" s="1" t="s">
        <v>397</v>
      </c>
      <c r="L524" s="1" t="s">
        <v>29</v>
      </c>
      <c r="M524" s="1" t="s">
        <v>34</v>
      </c>
      <c r="N524" s="1" t="s">
        <v>398</v>
      </c>
      <c r="O524">
        <v>1348.704</v>
      </c>
      <c r="P524">
        <v>6</v>
      </c>
      <c r="Q524">
        <v>-219.1644</v>
      </c>
      <c r="R524" s="1" t="s">
        <v>4427</v>
      </c>
      <c r="S524">
        <v>2015</v>
      </c>
      <c r="T524" s="1" t="s">
        <v>66</v>
      </c>
    </row>
    <row r="525" spans="1:20" x14ac:dyDescent="0.25">
      <c r="A525" s="1" t="s">
        <v>1933</v>
      </c>
      <c r="B525" s="2">
        <v>42201</v>
      </c>
      <c r="C525" s="2">
        <v>42201</v>
      </c>
      <c r="D525" s="1" t="s">
        <v>417</v>
      </c>
      <c r="E525" s="1" t="s">
        <v>1934</v>
      </c>
      <c r="F525" s="1" t="s">
        <v>1935</v>
      </c>
      <c r="G525" s="1" t="s">
        <v>84</v>
      </c>
      <c r="H525" s="1" t="s">
        <v>320</v>
      </c>
      <c r="I525" s="1" t="s">
        <v>50</v>
      </c>
      <c r="J525" s="1" t="s">
        <v>51</v>
      </c>
      <c r="K525" s="1" t="s">
        <v>373</v>
      </c>
      <c r="L525" s="1" t="s">
        <v>29</v>
      </c>
      <c r="M525" s="1" t="s">
        <v>34</v>
      </c>
      <c r="N525" s="1" t="s">
        <v>374</v>
      </c>
      <c r="O525">
        <v>700.15200000000004</v>
      </c>
      <c r="P525">
        <v>3</v>
      </c>
      <c r="Q525">
        <v>78.767099999999999</v>
      </c>
      <c r="R525" s="1" t="s">
        <v>4427</v>
      </c>
      <c r="S525">
        <v>2015</v>
      </c>
      <c r="T525" s="1" t="s">
        <v>66</v>
      </c>
    </row>
    <row r="526" spans="1:20" x14ac:dyDescent="0.25">
      <c r="A526" s="1" t="s">
        <v>1936</v>
      </c>
      <c r="B526" s="2">
        <v>42490</v>
      </c>
      <c r="C526" s="2">
        <v>42494</v>
      </c>
      <c r="D526" s="1" t="s">
        <v>37</v>
      </c>
      <c r="E526" s="1" t="s">
        <v>1937</v>
      </c>
      <c r="F526" s="1" t="s">
        <v>1938</v>
      </c>
      <c r="G526" s="1" t="s">
        <v>84</v>
      </c>
      <c r="H526" s="1" t="s">
        <v>1939</v>
      </c>
      <c r="I526" s="1" t="s">
        <v>511</v>
      </c>
      <c r="J526" s="1" t="s">
        <v>51</v>
      </c>
      <c r="K526" s="1" t="s">
        <v>688</v>
      </c>
      <c r="L526" s="1" t="s">
        <v>29</v>
      </c>
      <c r="M526" s="1" t="s">
        <v>53</v>
      </c>
      <c r="N526" s="1" t="s">
        <v>689</v>
      </c>
      <c r="O526">
        <v>111.88800000000001</v>
      </c>
      <c r="P526">
        <v>7</v>
      </c>
      <c r="Q526">
        <v>22.377600000000001</v>
      </c>
      <c r="R526" s="1" t="s">
        <v>4424</v>
      </c>
      <c r="S526">
        <v>2016</v>
      </c>
      <c r="T526" s="1" t="s">
        <v>107</v>
      </c>
    </row>
    <row r="527" spans="1:20" x14ac:dyDescent="0.25">
      <c r="A527" s="1" t="s">
        <v>1940</v>
      </c>
      <c r="B527" s="2">
        <v>42621</v>
      </c>
      <c r="C527" s="2">
        <v>42627</v>
      </c>
      <c r="D527" s="1" t="s">
        <v>37</v>
      </c>
      <c r="E527" s="1" t="s">
        <v>1941</v>
      </c>
      <c r="F527" s="1" t="s">
        <v>1942</v>
      </c>
      <c r="G527" s="1" t="s">
        <v>94</v>
      </c>
      <c r="H527" s="1" t="s">
        <v>1943</v>
      </c>
      <c r="I527" s="1" t="s">
        <v>425</v>
      </c>
      <c r="J527" s="1" t="s">
        <v>63</v>
      </c>
      <c r="K527" s="1" t="s">
        <v>1944</v>
      </c>
      <c r="L527" s="1" t="s">
        <v>29</v>
      </c>
      <c r="M527" s="1" t="s">
        <v>30</v>
      </c>
      <c r="N527" s="1" t="s">
        <v>1945</v>
      </c>
      <c r="O527">
        <v>173.94</v>
      </c>
      <c r="P527">
        <v>3</v>
      </c>
      <c r="Q527">
        <v>13.9152</v>
      </c>
      <c r="R527" s="1" t="s">
        <v>4426</v>
      </c>
      <c r="S527">
        <v>2016</v>
      </c>
      <c r="T527" s="1" t="s">
        <v>72</v>
      </c>
    </row>
    <row r="528" spans="1:20" x14ac:dyDescent="0.25">
      <c r="A528" s="1" t="s">
        <v>1946</v>
      </c>
      <c r="B528" s="2">
        <v>42841</v>
      </c>
      <c r="C528" s="2">
        <v>42845</v>
      </c>
      <c r="D528" s="1" t="s">
        <v>37</v>
      </c>
      <c r="E528" s="1" t="s">
        <v>130</v>
      </c>
      <c r="F528" s="1" t="s">
        <v>131</v>
      </c>
      <c r="G528" s="1" t="s">
        <v>24</v>
      </c>
      <c r="H528" s="1" t="s">
        <v>1482</v>
      </c>
      <c r="I528" s="1" t="s">
        <v>50</v>
      </c>
      <c r="J528" s="1" t="s">
        <v>51</v>
      </c>
      <c r="K528" s="1" t="s">
        <v>533</v>
      </c>
      <c r="L528" s="1" t="s">
        <v>29</v>
      </c>
      <c r="M528" s="1" t="s">
        <v>30</v>
      </c>
      <c r="N528" s="1" t="s">
        <v>534</v>
      </c>
      <c r="O528">
        <v>102.833</v>
      </c>
      <c r="P528">
        <v>1</v>
      </c>
      <c r="Q528">
        <v>-6.0490000000000004</v>
      </c>
      <c r="R528" s="1" t="s">
        <v>4424</v>
      </c>
      <c r="S528">
        <v>2017</v>
      </c>
      <c r="T528" s="1" t="s">
        <v>107</v>
      </c>
    </row>
    <row r="529" spans="1:20" x14ac:dyDescent="0.25">
      <c r="A529" s="1" t="s">
        <v>1947</v>
      </c>
      <c r="B529" s="2">
        <v>43058</v>
      </c>
      <c r="C529" s="2">
        <v>43062</v>
      </c>
      <c r="D529" s="1" t="s">
        <v>37</v>
      </c>
      <c r="E529" s="1" t="s">
        <v>1253</v>
      </c>
      <c r="F529" s="1" t="s">
        <v>1254</v>
      </c>
      <c r="G529" s="1" t="s">
        <v>24</v>
      </c>
      <c r="H529" s="1" t="s">
        <v>25</v>
      </c>
      <c r="I529" s="1" t="s">
        <v>26</v>
      </c>
      <c r="J529" s="1" t="s">
        <v>27</v>
      </c>
      <c r="K529" s="1" t="s">
        <v>1948</v>
      </c>
      <c r="L529" s="1" t="s">
        <v>29</v>
      </c>
      <c r="M529" s="1" t="s">
        <v>53</v>
      </c>
      <c r="N529" s="1" t="s">
        <v>1949</v>
      </c>
      <c r="O529">
        <v>821.88</v>
      </c>
      <c r="P529">
        <v>6</v>
      </c>
      <c r="Q529">
        <v>213.68879999999999</v>
      </c>
      <c r="R529" s="1" t="s">
        <v>4424</v>
      </c>
      <c r="S529">
        <v>2017</v>
      </c>
      <c r="T529" s="1" t="s">
        <v>32</v>
      </c>
    </row>
    <row r="530" spans="1:20" x14ac:dyDescent="0.25">
      <c r="A530" s="1" t="s">
        <v>1950</v>
      </c>
      <c r="B530" s="2">
        <v>42651</v>
      </c>
      <c r="C530" s="2">
        <v>42657</v>
      </c>
      <c r="D530" s="1" t="s">
        <v>37</v>
      </c>
      <c r="E530" s="1" t="s">
        <v>1951</v>
      </c>
      <c r="F530" s="1" t="s">
        <v>1952</v>
      </c>
      <c r="G530" s="1" t="s">
        <v>84</v>
      </c>
      <c r="H530" s="1" t="s">
        <v>95</v>
      </c>
      <c r="I530" s="1" t="s">
        <v>86</v>
      </c>
      <c r="J530" s="1" t="s">
        <v>87</v>
      </c>
      <c r="K530" s="1" t="s">
        <v>1953</v>
      </c>
      <c r="L530" s="1" t="s">
        <v>29</v>
      </c>
      <c r="M530" s="1" t="s">
        <v>53</v>
      </c>
      <c r="N530" s="1" t="s">
        <v>1954</v>
      </c>
      <c r="O530">
        <v>51.712000000000003</v>
      </c>
      <c r="P530">
        <v>8</v>
      </c>
      <c r="Q530">
        <v>-32.32</v>
      </c>
      <c r="R530" s="1" t="s">
        <v>4426</v>
      </c>
      <c r="S530">
        <v>2016</v>
      </c>
      <c r="T530" s="1" t="s">
        <v>45</v>
      </c>
    </row>
    <row r="531" spans="1:20" x14ac:dyDescent="0.25">
      <c r="A531" s="1" t="s">
        <v>1955</v>
      </c>
      <c r="B531" s="2">
        <v>42155</v>
      </c>
      <c r="C531" s="2">
        <v>42159</v>
      </c>
      <c r="D531" s="1" t="s">
        <v>37</v>
      </c>
      <c r="E531" s="1" t="s">
        <v>1956</v>
      </c>
      <c r="F531" s="1" t="s">
        <v>1957</v>
      </c>
      <c r="G531" s="1" t="s">
        <v>24</v>
      </c>
      <c r="H531" s="1" t="s">
        <v>70</v>
      </c>
      <c r="I531" s="1" t="s">
        <v>71</v>
      </c>
      <c r="J531" s="1" t="s">
        <v>51</v>
      </c>
      <c r="K531" s="1" t="s">
        <v>1958</v>
      </c>
      <c r="L531" s="1" t="s">
        <v>29</v>
      </c>
      <c r="M531" s="1" t="s">
        <v>30</v>
      </c>
      <c r="N531" s="1" t="s">
        <v>1959</v>
      </c>
      <c r="O531">
        <v>1406.86</v>
      </c>
      <c r="P531">
        <v>7</v>
      </c>
      <c r="Q531">
        <v>140.68600000000001</v>
      </c>
      <c r="R531" s="1" t="s">
        <v>4424</v>
      </c>
      <c r="S531">
        <v>2015</v>
      </c>
      <c r="T531" s="1" t="s">
        <v>153</v>
      </c>
    </row>
    <row r="532" spans="1:20" x14ac:dyDescent="0.25">
      <c r="A532" s="1" t="s">
        <v>1960</v>
      </c>
      <c r="B532" s="2">
        <v>43040</v>
      </c>
      <c r="C532" s="2">
        <v>43042</v>
      </c>
      <c r="D532" s="1" t="s">
        <v>21</v>
      </c>
      <c r="E532" s="1" t="s">
        <v>1961</v>
      </c>
      <c r="F532" s="1" t="s">
        <v>1962</v>
      </c>
      <c r="G532" s="1" t="s">
        <v>24</v>
      </c>
      <c r="H532" s="1" t="s">
        <v>1963</v>
      </c>
      <c r="I532" s="1" t="s">
        <v>184</v>
      </c>
      <c r="J532" s="1" t="s">
        <v>51</v>
      </c>
      <c r="K532" s="1" t="s">
        <v>1662</v>
      </c>
      <c r="L532" s="1" t="s">
        <v>29</v>
      </c>
      <c r="M532" s="1" t="s">
        <v>43</v>
      </c>
      <c r="N532" s="1" t="s">
        <v>1663</v>
      </c>
      <c r="O532">
        <v>2665.62</v>
      </c>
      <c r="P532">
        <v>9</v>
      </c>
      <c r="Q532">
        <v>239.9058</v>
      </c>
      <c r="R532" s="1" t="s">
        <v>4423</v>
      </c>
      <c r="S532">
        <v>2017</v>
      </c>
      <c r="T532" s="1" t="s">
        <v>32</v>
      </c>
    </row>
    <row r="533" spans="1:20" x14ac:dyDescent="0.25">
      <c r="A533" s="1" t="s">
        <v>1964</v>
      </c>
      <c r="B533" s="2">
        <v>42925</v>
      </c>
      <c r="C533" s="2">
        <v>42930</v>
      </c>
      <c r="D533" s="1" t="s">
        <v>37</v>
      </c>
      <c r="E533" s="1" t="s">
        <v>1965</v>
      </c>
      <c r="F533" s="1" t="s">
        <v>1966</v>
      </c>
      <c r="G533" s="1" t="s">
        <v>94</v>
      </c>
      <c r="H533" s="1" t="s">
        <v>1396</v>
      </c>
      <c r="I533" s="1" t="s">
        <v>104</v>
      </c>
      <c r="J533" s="1" t="s">
        <v>87</v>
      </c>
      <c r="K533" s="1" t="s">
        <v>1001</v>
      </c>
      <c r="L533" s="1" t="s">
        <v>29</v>
      </c>
      <c r="M533" s="1" t="s">
        <v>53</v>
      </c>
      <c r="N533" s="1" t="s">
        <v>1002</v>
      </c>
      <c r="O533">
        <v>526.45000000000005</v>
      </c>
      <c r="P533">
        <v>5</v>
      </c>
      <c r="Q533">
        <v>31.587</v>
      </c>
      <c r="R533" s="1" t="s">
        <v>4422</v>
      </c>
      <c r="S533">
        <v>2017</v>
      </c>
      <c r="T533" s="1" t="s">
        <v>66</v>
      </c>
    </row>
    <row r="534" spans="1:20" x14ac:dyDescent="0.25">
      <c r="A534" s="1" t="s">
        <v>1967</v>
      </c>
      <c r="B534" s="2">
        <v>41665</v>
      </c>
      <c r="C534" s="2">
        <v>41670</v>
      </c>
      <c r="D534" s="1" t="s">
        <v>37</v>
      </c>
      <c r="E534" s="1" t="s">
        <v>1248</v>
      </c>
      <c r="F534" s="1" t="s">
        <v>1249</v>
      </c>
      <c r="G534" s="1" t="s">
        <v>94</v>
      </c>
      <c r="H534" s="1" t="s">
        <v>1968</v>
      </c>
      <c r="I534" s="1" t="s">
        <v>707</v>
      </c>
      <c r="J534" s="1" t="s">
        <v>27</v>
      </c>
      <c r="K534" s="1" t="s">
        <v>1969</v>
      </c>
      <c r="L534" s="1" t="s">
        <v>29</v>
      </c>
      <c r="M534" s="1" t="s">
        <v>53</v>
      </c>
      <c r="N534" s="1" t="s">
        <v>1970</v>
      </c>
      <c r="O534">
        <v>62.82</v>
      </c>
      <c r="P534">
        <v>3</v>
      </c>
      <c r="Q534">
        <v>30.7818</v>
      </c>
      <c r="R534" s="1" t="s">
        <v>4422</v>
      </c>
      <c r="S534">
        <v>2014</v>
      </c>
      <c r="T534" s="1" t="s">
        <v>161</v>
      </c>
    </row>
    <row r="535" spans="1:20" x14ac:dyDescent="0.25">
      <c r="A535" s="1" t="s">
        <v>1967</v>
      </c>
      <c r="B535" s="2">
        <v>41665</v>
      </c>
      <c r="C535" s="2">
        <v>41670</v>
      </c>
      <c r="D535" s="1" t="s">
        <v>37</v>
      </c>
      <c r="E535" s="1" t="s">
        <v>1248</v>
      </c>
      <c r="F535" s="1" t="s">
        <v>1249</v>
      </c>
      <c r="G535" s="1" t="s">
        <v>94</v>
      </c>
      <c r="H535" s="1" t="s">
        <v>1968</v>
      </c>
      <c r="I535" s="1" t="s">
        <v>707</v>
      </c>
      <c r="J535" s="1" t="s">
        <v>27</v>
      </c>
      <c r="K535" s="1" t="s">
        <v>1971</v>
      </c>
      <c r="L535" s="1" t="s">
        <v>29</v>
      </c>
      <c r="M535" s="1" t="s">
        <v>53</v>
      </c>
      <c r="N535" s="1" t="s">
        <v>1972</v>
      </c>
      <c r="O535">
        <v>12.42</v>
      </c>
      <c r="P535">
        <v>3</v>
      </c>
      <c r="Q535">
        <v>4.4711999999999996</v>
      </c>
      <c r="R535" s="1" t="s">
        <v>4422</v>
      </c>
      <c r="S535">
        <v>2014</v>
      </c>
      <c r="T535" s="1" t="s">
        <v>161</v>
      </c>
    </row>
    <row r="536" spans="1:20" x14ac:dyDescent="0.25">
      <c r="A536" s="1" t="s">
        <v>1973</v>
      </c>
      <c r="B536" s="2">
        <v>42916</v>
      </c>
      <c r="C536" s="2">
        <v>42922</v>
      </c>
      <c r="D536" s="1" t="s">
        <v>37</v>
      </c>
      <c r="E536" s="1" t="s">
        <v>699</v>
      </c>
      <c r="F536" s="1" t="s">
        <v>700</v>
      </c>
      <c r="G536" s="1" t="s">
        <v>24</v>
      </c>
      <c r="H536" s="1" t="s">
        <v>165</v>
      </c>
      <c r="I536" s="1" t="s">
        <v>114</v>
      </c>
      <c r="J536" s="1" t="s">
        <v>63</v>
      </c>
      <c r="K536" s="1" t="s">
        <v>1974</v>
      </c>
      <c r="L536" s="1" t="s">
        <v>29</v>
      </c>
      <c r="M536" s="1" t="s">
        <v>53</v>
      </c>
      <c r="N536" s="1" t="s">
        <v>1975</v>
      </c>
      <c r="O536">
        <v>22.23</v>
      </c>
      <c r="P536">
        <v>1</v>
      </c>
      <c r="Q536">
        <v>9.7812000000000001</v>
      </c>
      <c r="R536" s="1" t="s">
        <v>4426</v>
      </c>
      <c r="S536">
        <v>2017</v>
      </c>
      <c r="T536" s="1" t="s">
        <v>55</v>
      </c>
    </row>
    <row r="537" spans="1:20" x14ac:dyDescent="0.25">
      <c r="A537" s="1" t="s">
        <v>1976</v>
      </c>
      <c r="B537" s="2">
        <v>42621</v>
      </c>
      <c r="C537" s="2">
        <v>42627</v>
      </c>
      <c r="D537" s="1" t="s">
        <v>37</v>
      </c>
      <c r="E537" s="1" t="s">
        <v>1977</v>
      </c>
      <c r="F537" s="1" t="s">
        <v>1978</v>
      </c>
      <c r="G537" s="1" t="s">
        <v>24</v>
      </c>
      <c r="H537" s="1" t="s">
        <v>1979</v>
      </c>
      <c r="I537" s="1" t="s">
        <v>126</v>
      </c>
      <c r="J537" s="1" t="s">
        <v>87</v>
      </c>
      <c r="K537" s="1" t="s">
        <v>1980</v>
      </c>
      <c r="L537" s="1" t="s">
        <v>29</v>
      </c>
      <c r="M537" s="1" t="s">
        <v>53</v>
      </c>
      <c r="N537" s="1" t="s">
        <v>1981</v>
      </c>
      <c r="O537">
        <v>14.135999999999999</v>
      </c>
      <c r="P537">
        <v>2</v>
      </c>
      <c r="Q537">
        <v>-7.7747999999999999</v>
      </c>
      <c r="R537" s="1" t="s">
        <v>4426</v>
      </c>
      <c r="S537">
        <v>2016</v>
      </c>
      <c r="T537" s="1" t="s">
        <v>72</v>
      </c>
    </row>
    <row r="538" spans="1:20" x14ac:dyDescent="0.25">
      <c r="A538" s="1" t="s">
        <v>1976</v>
      </c>
      <c r="B538" s="2">
        <v>42621</v>
      </c>
      <c r="C538" s="2">
        <v>42627</v>
      </c>
      <c r="D538" s="1" t="s">
        <v>37</v>
      </c>
      <c r="E538" s="1" t="s">
        <v>1977</v>
      </c>
      <c r="F538" s="1" t="s">
        <v>1978</v>
      </c>
      <c r="G538" s="1" t="s">
        <v>24</v>
      </c>
      <c r="H538" s="1" t="s">
        <v>1979</v>
      </c>
      <c r="I538" s="1" t="s">
        <v>126</v>
      </c>
      <c r="J538" s="1" t="s">
        <v>87</v>
      </c>
      <c r="K538" s="1" t="s">
        <v>1982</v>
      </c>
      <c r="L538" s="1" t="s">
        <v>29</v>
      </c>
      <c r="M538" s="1" t="s">
        <v>43</v>
      </c>
      <c r="N538" s="1" t="s">
        <v>1983</v>
      </c>
      <c r="O538">
        <v>601.47</v>
      </c>
      <c r="P538">
        <v>3</v>
      </c>
      <c r="Q538">
        <v>-300.73500000000001</v>
      </c>
      <c r="R538" s="1" t="s">
        <v>4426</v>
      </c>
      <c r="S538">
        <v>2016</v>
      </c>
      <c r="T538" s="1" t="s">
        <v>72</v>
      </c>
    </row>
    <row r="539" spans="1:20" x14ac:dyDescent="0.25">
      <c r="A539" s="1" t="s">
        <v>1984</v>
      </c>
      <c r="B539" s="2">
        <v>42525</v>
      </c>
      <c r="C539" s="2">
        <v>42525</v>
      </c>
      <c r="D539" s="1" t="s">
        <v>417</v>
      </c>
      <c r="E539" s="1" t="s">
        <v>1985</v>
      </c>
      <c r="F539" s="1" t="s">
        <v>1986</v>
      </c>
      <c r="G539" s="1" t="s">
        <v>24</v>
      </c>
      <c r="H539" s="1" t="s">
        <v>165</v>
      </c>
      <c r="I539" s="1" t="s">
        <v>114</v>
      </c>
      <c r="J539" s="1" t="s">
        <v>63</v>
      </c>
      <c r="K539" s="1" t="s">
        <v>1371</v>
      </c>
      <c r="L539" s="1" t="s">
        <v>29</v>
      </c>
      <c r="M539" s="1" t="s">
        <v>30</v>
      </c>
      <c r="N539" s="1" t="s">
        <v>1372</v>
      </c>
      <c r="O539">
        <v>136.78399999999999</v>
      </c>
      <c r="P539">
        <v>1</v>
      </c>
      <c r="Q539">
        <v>5.1294000000000004</v>
      </c>
      <c r="R539" s="1" t="s">
        <v>4427</v>
      </c>
      <c r="S539">
        <v>2016</v>
      </c>
      <c r="T539" s="1" t="s">
        <v>55</v>
      </c>
    </row>
    <row r="540" spans="1:20" x14ac:dyDescent="0.25">
      <c r="A540" s="1" t="s">
        <v>1984</v>
      </c>
      <c r="B540" s="2">
        <v>42525</v>
      </c>
      <c r="C540" s="2">
        <v>42525</v>
      </c>
      <c r="D540" s="1" t="s">
        <v>417</v>
      </c>
      <c r="E540" s="1" t="s">
        <v>1985</v>
      </c>
      <c r="F540" s="1" t="s">
        <v>1986</v>
      </c>
      <c r="G540" s="1" t="s">
        <v>24</v>
      </c>
      <c r="H540" s="1" t="s">
        <v>165</v>
      </c>
      <c r="I540" s="1" t="s">
        <v>114</v>
      </c>
      <c r="J540" s="1" t="s">
        <v>63</v>
      </c>
      <c r="K540" s="1" t="s">
        <v>861</v>
      </c>
      <c r="L540" s="1" t="s">
        <v>29</v>
      </c>
      <c r="M540" s="1" t="s">
        <v>53</v>
      </c>
      <c r="N540" s="1" t="s">
        <v>862</v>
      </c>
      <c r="O540">
        <v>61.12</v>
      </c>
      <c r="P540">
        <v>4</v>
      </c>
      <c r="Q540">
        <v>20.780799999999999</v>
      </c>
      <c r="R540" s="1" t="s">
        <v>4427</v>
      </c>
      <c r="S540">
        <v>2016</v>
      </c>
      <c r="T540" s="1" t="s">
        <v>55</v>
      </c>
    </row>
    <row r="541" spans="1:20" x14ac:dyDescent="0.25">
      <c r="A541" s="1" t="s">
        <v>1987</v>
      </c>
      <c r="B541" s="2">
        <v>41968</v>
      </c>
      <c r="C541" s="2">
        <v>41973</v>
      </c>
      <c r="D541" s="1" t="s">
        <v>37</v>
      </c>
      <c r="E541" s="1" t="s">
        <v>1988</v>
      </c>
      <c r="F541" s="1" t="s">
        <v>1989</v>
      </c>
      <c r="G541" s="1" t="s">
        <v>84</v>
      </c>
      <c r="H541" s="1" t="s">
        <v>680</v>
      </c>
      <c r="I541" s="1" t="s">
        <v>86</v>
      </c>
      <c r="J541" s="1" t="s">
        <v>87</v>
      </c>
      <c r="K541" s="1" t="s">
        <v>42</v>
      </c>
      <c r="L541" s="1" t="s">
        <v>29</v>
      </c>
      <c r="M541" s="1" t="s">
        <v>43</v>
      </c>
      <c r="N541" s="1" t="s">
        <v>44</v>
      </c>
      <c r="O541">
        <v>1218.7349999999999</v>
      </c>
      <c r="P541">
        <v>5</v>
      </c>
      <c r="Q541">
        <v>-121.87350000000001</v>
      </c>
      <c r="R541" s="1" t="s">
        <v>4422</v>
      </c>
      <c r="S541">
        <v>2014</v>
      </c>
      <c r="T541" s="1" t="s">
        <v>32</v>
      </c>
    </row>
    <row r="542" spans="1:20" x14ac:dyDescent="0.25">
      <c r="A542" s="1" t="s">
        <v>1987</v>
      </c>
      <c r="B542" s="2">
        <v>41968</v>
      </c>
      <c r="C542" s="2">
        <v>41973</v>
      </c>
      <c r="D542" s="1" t="s">
        <v>37</v>
      </c>
      <c r="E542" s="1" t="s">
        <v>1988</v>
      </c>
      <c r="F542" s="1" t="s">
        <v>1989</v>
      </c>
      <c r="G542" s="1" t="s">
        <v>84</v>
      </c>
      <c r="H542" s="1" t="s">
        <v>680</v>
      </c>
      <c r="I542" s="1" t="s">
        <v>86</v>
      </c>
      <c r="J542" s="1" t="s">
        <v>87</v>
      </c>
      <c r="K542" s="1" t="s">
        <v>652</v>
      </c>
      <c r="L542" s="1" t="s">
        <v>29</v>
      </c>
      <c r="M542" s="1" t="s">
        <v>53</v>
      </c>
      <c r="N542" s="1" t="s">
        <v>653</v>
      </c>
      <c r="O542">
        <v>6.0960000000000001</v>
      </c>
      <c r="P542">
        <v>3</v>
      </c>
      <c r="Q542">
        <v>-3.9624000000000001</v>
      </c>
      <c r="R542" s="1" t="s">
        <v>4422</v>
      </c>
      <c r="S542">
        <v>2014</v>
      </c>
      <c r="T542" s="1" t="s">
        <v>32</v>
      </c>
    </row>
    <row r="543" spans="1:20" x14ac:dyDescent="0.25">
      <c r="A543" s="1" t="s">
        <v>1990</v>
      </c>
      <c r="B543" s="2">
        <v>42488</v>
      </c>
      <c r="C543" s="2">
        <v>42495</v>
      </c>
      <c r="D543" s="1" t="s">
        <v>37</v>
      </c>
      <c r="E543" s="1" t="s">
        <v>1991</v>
      </c>
      <c r="F543" s="1" t="s">
        <v>1992</v>
      </c>
      <c r="G543" s="1" t="s">
        <v>84</v>
      </c>
      <c r="H543" s="1" t="s">
        <v>49</v>
      </c>
      <c r="I543" s="1" t="s">
        <v>50</v>
      </c>
      <c r="J543" s="1" t="s">
        <v>51</v>
      </c>
      <c r="K543" s="1" t="s">
        <v>994</v>
      </c>
      <c r="L543" s="1" t="s">
        <v>29</v>
      </c>
      <c r="M543" s="1" t="s">
        <v>34</v>
      </c>
      <c r="N543" s="1" t="s">
        <v>995</v>
      </c>
      <c r="O543">
        <v>41.567999999999998</v>
      </c>
      <c r="P543">
        <v>2</v>
      </c>
      <c r="Q543">
        <v>2.5979999999999999</v>
      </c>
      <c r="R543" s="1" t="s">
        <v>4421</v>
      </c>
      <c r="S543">
        <v>2016</v>
      </c>
      <c r="T543" s="1" t="s">
        <v>107</v>
      </c>
    </row>
    <row r="544" spans="1:20" x14ac:dyDescent="0.25">
      <c r="A544" s="1" t="s">
        <v>1993</v>
      </c>
      <c r="B544" s="2">
        <v>41755</v>
      </c>
      <c r="C544" s="2">
        <v>41762</v>
      </c>
      <c r="D544" s="1" t="s">
        <v>37</v>
      </c>
      <c r="E544" s="1" t="s">
        <v>1994</v>
      </c>
      <c r="F544" s="1" t="s">
        <v>1995</v>
      </c>
      <c r="G544" s="1" t="s">
        <v>84</v>
      </c>
      <c r="H544" s="1" t="s">
        <v>49</v>
      </c>
      <c r="I544" s="1" t="s">
        <v>50</v>
      </c>
      <c r="J544" s="1" t="s">
        <v>51</v>
      </c>
      <c r="K544" s="1" t="s">
        <v>457</v>
      </c>
      <c r="L544" s="1" t="s">
        <v>29</v>
      </c>
      <c r="M544" s="1" t="s">
        <v>34</v>
      </c>
      <c r="N544" s="1" t="s">
        <v>458</v>
      </c>
      <c r="O544">
        <v>230.28</v>
      </c>
      <c r="P544">
        <v>3</v>
      </c>
      <c r="Q544">
        <v>23.027999999999999</v>
      </c>
      <c r="R544" s="1" t="s">
        <v>4421</v>
      </c>
      <c r="S544">
        <v>2014</v>
      </c>
      <c r="T544" s="1" t="s">
        <v>107</v>
      </c>
    </row>
    <row r="545" spans="1:20" x14ac:dyDescent="0.25">
      <c r="A545" s="1" t="s">
        <v>1996</v>
      </c>
      <c r="B545" s="2">
        <v>42870</v>
      </c>
      <c r="C545" s="2">
        <v>42875</v>
      </c>
      <c r="D545" s="1" t="s">
        <v>37</v>
      </c>
      <c r="E545" s="1" t="s">
        <v>1997</v>
      </c>
      <c r="F545" s="1" t="s">
        <v>1998</v>
      </c>
      <c r="G545" s="1" t="s">
        <v>24</v>
      </c>
      <c r="H545" s="1" t="s">
        <v>183</v>
      </c>
      <c r="I545" s="1" t="s">
        <v>184</v>
      </c>
      <c r="J545" s="1" t="s">
        <v>51</v>
      </c>
      <c r="K545" s="1" t="s">
        <v>1112</v>
      </c>
      <c r="L545" s="1" t="s">
        <v>29</v>
      </c>
      <c r="M545" s="1" t="s">
        <v>53</v>
      </c>
      <c r="N545" s="1" t="s">
        <v>1113</v>
      </c>
      <c r="O545">
        <v>39.96</v>
      </c>
      <c r="P545">
        <v>2</v>
      </c>
      <c r="Q545">
        <v>17.1828</v>
      </c>
      <c r="R545" s="1" t="s">
        <v>4422</v>
      </c>
      <c r="S545">
        <v>2017</v>
      </c>
      <c r="T545" s="1" t="s">
        <v>153</v>
      </c>
    </row>
    <row r="546" spans="1:20" x14ac:dyDescent="0.25">
      <c r="A546" s="1" t="s">
        <v>1996</v>
      </c>
      <c r="B546" s="2">
        <v>42870</v>
      </c>
      <c r="C546" s="2">
        <v>42875</v>
      </c>
      <c r="D546" s="1" t="s">
        <v>37</v>
      </c>
      <c r="E546" s="1" t="s">
        <v>1997</v>
      </c>
      <c r="F546" s="1" t="s">
        <v>1998</v>
      </c>
      <c r="G546" s="1" t="s">
        <v>24</v>
      </c>
      <c r="H546" s="1" t="s">
        <v>183</v>
      </c>
      <c r="I546" s="1" t="s">
        <v>184</v>
      </c>
      <c r="J546" s="1" t="s">
        <v>51</v>
      </c>
      <c r="K546" s="1" t="s">
        <v>1999</v>
      </c>
      <c r="L546" s="1" t="s">
        <v>29</v>
      </c>
      <c r="M546" s="1" t="s">
        <v>34</v>
      </c>
      <c r="N546" s="1" t="s">
        <v>2000</v>
      </c>
      <c r="O546">
        <v>42.624000000000002</v>
      </c>
      <c r="P546">
        <v>2</v>
      </c>
      <c r="Q546">
        <v>4.2624000000000004</v>
      </c>
      <c r="R546" s="1" t="s">
        <v>4422</v>
      </c>
      <c r="S546">
        <v>2017</v>
      </c>
      <c r="T546" s="1" t="s">
        <v>153</v>
      </c>
    </row>
    <row r="547" spans="1:20" x14ac:dyDescent="0.25">
      <c r="A547" s="1" t="s">
        <v>1996</v>
      </c>
      <c r="B547" s="2">
        <v>42870</v>
      </c>
      <c r="C547" s="2">
        <v>42875</v>
      </c>
      <c r="D547" s="1" t="s">
        <v>37</v>
      </c>
      <c r="E547" s="1" t="s">
        <v>1997</v>
      </c>
      <c r="F547" s="1" t="s">
        <v>1998</v>
      </c>
      <c r="G547" s="1" t="s">
        <v>24</v>
      </c>
      <c r="H547" s="1" t="s">
        <v>183</v>
      </c>
      <c r="I547" s="1" t="s">
        <v>184</v>
      </c>
      <c r="J547" s="1" t="s">
        <v>51</v>
      </c>
      <c r="K547" s="1" t="s">
        <v>238</v>
      </c>
      <c r="L547" s="1" t="s">
        <v>29</v>
      </c>
      <c r="M547" s="1" t="s">
        <v>34</v>
      </c>
      <c r="N547" s="1" t="s">
        <v>239</v>
      </c>
      <c r="O547">
        <v>220.96</v>
      </c>
      <c r="P547">
        <v>1</v>
      </c>
      <c r="Q547">
        <v>24.858000000000001</v>
      </c>
      <c r="R547" s="1" t="s">
        <v>4422</v>
      </c>
      <c r="S547">
        <v>2017</v>
      </c>
      <c r="T547" s="1" t="s">
        <v>153</v>
      </c>
    </row>
    <row r="548" spans="1:20" x14ac:dyDescent="0.25">
      <c r="A548" s="1" t="s">
        <v>2001</v>
      </c>
      <c r="B548" s="2">
        <v>42190</v>
      </c>
      <c r="C548" s="2">
        <v>42195</v>
      </c>
      <c r="D548" s="1" t="s">
        <v>21</v>
      </c>
      <c r="E548" s="1" t="s">
        <v>1516</v>
      </c>
      <c r="F548" s="1" t="s">
        <v>1517</v>
      </c>
      <c r="G548" s="1" t="s">
        <v>84</v>
      </c>
      <c r="H548" s="1" t="s">
        <v>1902</v>
      </c>
      <c r="I548" s="1" t="s">
        <v>1027</v>
      </c>
      <c r="J548" s="1" t="s">
        <v>27</v>
      </c>
      <c r="K548" s="1" t="s">
        <v>2002</v>
      </c>
      <c r="L548" s="1" t="s">
        <v>29</v>
      </c>
      <c r="M548" s="1" t="s">
        <v>53</v>
      </c>
      <c r="N548" s="1" t="s">
        <v>2003</v>
      </c>
      <c r="O548">
        <v>4.9279999999999999</v>
      </c>
      <c r="P548">
        <v>2</v>
      </c>
      <c r="Q548">
        <v>0.73919999999999997</v>
      </c>
      <c r="R548" s="1" t="s">
        <v>4422</v>
      </c>
      <c r="S548">
        <v>2015</v>
      </c>
      <c r="T548" s="1" t="s">
        <v>66</v>
      </c>
    </row>
    <row r="549" spans="1:20" x14ac:dyDescent="0.25">
      <c r="A549" s="1" t="s">
        <v>2004</v>
      </c>
      <c r="B549" s="2">
        <v>42898</v>
      </c>
      <c r="C549" s="2">
        <v>42904</v>
      </c>
      <c r="D549" s="1" t="s">
        <v>37</v>
      </c>
      <c r="E549" s="1" t="s">
        <v>2005</v>
      </c>
      <c r="F549" s="1" t="s">
        <v>2006</v>
      </c>
      <c r="G549" s="1" t="s">
        <v>24</v>
      </c>
      <c r="H549" s="1" t="s">
        <v>165</v>
      </c>
      <c r="I549" s="1" t="s">
        <v>114</v>
      </c>
      <c r="J549" s="1" t="s">
        <v>63</v>
      </c>
      <c r="K549" s="1" t="s">
        <v>571</v>
      </c>
      <c r="L549" s="1" t="s">
        <v>29</v>
      </c>
      <c r="M549" s="1" t="s">
        <v>34</v>
      </c>
      <c r="N549" s="1" t="s">
        <v>572</v>
      </c>
      <c r="O549">
        <v>858.24</v>
      </c>
      <c r="P549">
        <v>4</v>
      </c>
      <c r="Q549">
        <v>143.04</v>
      </c>
      <c r="R549" s="1" t="s">
        <v>4426</v>
      </c>
      <c r="S549">
        <v>2017</v>
      </c>
      <c r="T549" s="1" t="s">
        <v>55</v>
      </c>
    </row>
    <row r="550" spans="1:20" x14ac:dyDescent="0.25">
      <c r="A550" s="1" t="s">
        <v>2007</v>
      </c>
      <c r="B550" s="2">
        <v>42477</v>
      </c>
      <c r="C550" s="2">
        <v>42481</v>
      </c>
      <c r="D550" s="1" t="s">
        <v>21</v>
      </c>
      <c r="E550" s="1" t="s">
        <v>1728</v>
      </c>
      <c r="F550" s="1" t="s">
        <v>1729</v>
      </c>
      <c r="G550" s="1" t="s">
        <v>94</v>
      </c>
      <c r="H550" s="1" t="s">
        <v>2008</v>
      </c>
      <c r="I550" s="1" t="s">
        <v>1027</v>
      </c>
      <c r="J550" s="1" t="s">
        <v>27</v>
      </c>
      <c r="K550" s="1" t="s">
        <v>491</v>
      </c>
      <c r="L550" s="1" t="s">
        <v>29</v>
      </c>
      <c r="M550" s="1" t="s">
        <v>53</v>
      </c>
      <c r="N550" s="1" t="s">
        <v>492</v>
      </c>
      <c r="O550">
        <v>18.623999999999999</v>
      </c>
      <c r="P550">
        <v>8</v>
      </c>
      <c r="Q550">
        <v>6.2855999999999996</v>
      </c>
      <c r="R550" s="1" t="s">
        <v>4424</v>
      </c>
      <c r="S550">
        <v>2016</v>
      </c>
      <c r="T550" s="1" t="s">
        <v>107</v>
      </c>
    </row>
    <row r="551" spans="1:20" x14ac:dyDescent="0.25">
      <c r="A551" s="1" t="s">
        <v>2009</v>
      </c>
      <c r="B551" s="2">
        <v>41889</v>
      </c>
      <c r="C551" s="2">
        <v>41894</v>
      </c>
      <c r="D551" s="1" t="s">
        <v>21</v>
      </c>
      <c r="E551" s="1" t="s">
        <v>2010</v>
      </c>
      <c r="F551" s="1" t="s">
        <v>2011</v>
      </c>
      <c r="G551" s="1" t="s">
        <v>24</v>
      </c>
      <c r="H551" s="1" t="s">
        <v>2012</v>
      </c>
      <c r="I551" s="1" t="s">
        <v>1513</v>
      </c>
      <c r="J551" s="1" t="s">
        <v>87</v>
      </c>
      <c r="K551" s="1" t="s">
        <v>1302</v>
      </c>
      <c r="L551" s="1" t="s">
        <v>29</v>
      </c>
      <c r="M551" s="1" t="s">
        <v>53</v>
      </c>
      <c r="N551" s="1" t="s">
        <v>2013</v>
      </c>
      <c r="O551">
        <v>57.69</v>
      </c>
      <c r="P551">
        <v>3</v>
      </c>
      <c r="Q551">
        <v>23.652899999999999</v>
      </c>
      <c r="R551" s="1" t="s">
        <v>4422</v>
      </c>
      <c r="S551">
        <v>2014</v>
      </c>
      <c r="T551" s="1" t="s">
        <v>72</v>
      </c>
    </row>
    <row r="552" spans="1:20" x14ac:dyDescent="0.25">
      <c r="A552" s="1" t="s">
        <v>2009</v>
      </c>
      <c r="B552" s="2">
        <v>41889</v>
      </c>
      <c r="C552" s="2">
        <v>41894</v>
      </c>
      <c r="D552" s="1" t="s">
        <v>21</v>
      </c>
      <c r="E552" s="1" t="s">
        <v>2010</v>
      </c>
      <c r="F552" s="1" t="s">
        <v>2011</v>
      </c>
      <c r="G552" s="1" t="s">
        <v>24</v>
      </c>
      <c r="H552" s="1" t="s">
        <v>2012</v>
      </c>
      <c r="I552" s="1" t="s">
        <v>1513</v>
      </c>
      <c r="J552" s="1" t="s">
        <v>87</v>
      </c>
      <c r="K552" s="1" t="s">
        <v>1948</v>
      </c>
      <c r="L552" s="1" t="s">
        <v>29</v>
      </c>
      <c r="M552" s="1" t="s">
        <v>53</v>
      </c>
      <c r="N552" s="1" t="s">
        <v>1949</v>
      </c>
      <c r="O552">
        <v>821.88</v>
      </c>
      <c r="P552">
        <v>6</v>
      </c>
      <c r="Q552">
        <v>213.68879999999999</v>
      </c>
      <c r="R552" s="1" t="s">
        <v>4422</v>
      </c>
      <c r="S552">
        <v>2014</v>
      </c>
      <c r="T552" s="1" t="s">
        <v>72</v>
      </c>
    </row>
    <row r="553" spans="1:20" x14ac:dyDescent="0.25">
      <c r="A553" s="1" t="s">
        <v>2014</v>
      </c>
      <c r="B553" s="2">
        <v>42639</v>
      </c>
      <c r="C553" s="2">
        <v>42644</v>
      </c>
      <c r="D553" s="1" t="s">
        <v>37</v>
      </c>
      <c r="E553" s="1" t="s">
        <v>2015</v>
      </c>
      <c r="F553" s="1" t="s">
        <v>2016</v>
      </c>
      <c r="G553" s="1" t="s">
        <v>84</v>
      </c>
      <c r="H553" s="1" t="s">
        <v>2017</v>
      </c>
      <c r="I553" s="1" t="s">
        <v>50</v>
      </c>
      <c r="J553" s="1" t="s">
        <v>51</v>
      </c>
      <c r="K553" s="1" t="s">
        <v>1127</v>
      </c>
      <c r="L553" s="1" t="s">
        <v>29</v>
      </c>
      <c r="M553" s="1" t="s">
        <v>30</v>
      </c>
      <c r="N553" s="1" t="s">
        <v>1128</v>
      </c>
      <c r="O553">
        <v>424.95749999999998</v>
      </c>
      <c r="P553">
        <v>5</v>
      </c>
      <c r="Q553">
        <v>19.998000000000001</v>
      </c>
      <c r="R553" s="1" t="s">
        <v>4422</v>
      </c>
      <c r="S553">
        <v>2016</v>
      </c>
      <c r="T553" s="1" t="s">
        <v>72</v>
      </c>
    </row>
    <row r="554" spans="1:20" x14ac:dyDescent="0.25">
      <c r="A554" s="1" t="s">
        <v>2018</v>
      </c>
      <c r="B554" s="2">
        <v>42995</v>
      </c>
      <c r="C554" s="2">
        <v>42999</v>
      </c>
      <c r="D554" s="1" t="s">
        <v>21</v>
      </c>
      <c r="E554" s="1" t="s">
        <v>363</v>
      </c>
      <c r="F554" s="1" t="s">
        <v>364</v>
      </c>
      <c r="G554" s="1" t="s">
        <v>84</v>
      </c>
      <c r="H554" s="1" t="s">
        <v>1224</v>
      </c>
      <c r="I554" s="1" t="s">
        <v>71</v>
      </c>
      <c r="J554" s="1" t="s">
        <v>51</v>
      </c>
      <c r="K554" s="1" t="s">
        <v>2019</v>
      </c>
      <c r="L554" s="1" t="s">
        <v>29</v>
      </c>
      <c r="M554" s="1" t="s">
        <v>30</v>
      </c>
      <c r="N554" s="1" t="s">
        <v>2020</v>
      </c>
      <c r="O554">
        <v>1292.94</v>
      </c>
      <c r="P554">
        <v>3</v>
      </c>
      <c r="Q554">
        <v>77.576400000000007</v>
      </c>
      <c r="R554" s="1" t="s">
        <v>4424</v>
      </c>
      <c r="S554">
        <v>2017</v>
      </c>
      <c r="T554" s="1" t="s">
        <v>72</v>
      </c>
    </row>
    <row r="555" spans="1:20" x14ac:dyDescent="0.25">
      <c r="A555" s="1" t="s">
        <v>2021</v>
      </c>
      <c r="B555" s="2">
        <v>42362</v>
      </c>
      <c r="C555" s="2">
        <v>42366</v>
      </c>
      <c r="D555" s="1" t="s">
        <v>37</v>
      </c>
      <c r="E555" s="1" t="s">
        <v>2022</v>
      </c>
      <c r="F555" s="1" t="s">
        <v>2023</v>
      </c>
      <c r="G555" s="1" t="s">
        <v>84</v>
      </c>
      <c r="H555" s="1" t="s">
        <v>2024</v>
      </c>
      <c r="I555" s="1" t="s">
        <v>511</v>
      </c>
      <c r="J555" s="1" t="s">
        <v>51</v>
      </c>
      <c r="K555" s="1" t="s">
        <v>238</v>
      </c>
      <c r="L555" s="1" t="s">
        <v>29</v>
      </c>
      <c r="M555" s="1" t="s">
        <v>34</v>
      </c>
      <c r="N555" s="1" t="s">
        <v>239</v>
      </c>
      <c r="O555">
        <v>883.84</v>
      </c>
      <c r="P555">
        <v>4</v>
      </c>
      <c r="Q555">
        <v>99.432000000000002</v>
      </c>
      <c r="R555" s="1" t="s">
        <v>4424</v>
      </c>
      <c r="S555">
        <v>2015</v>
      </c>
      <c r="T555" s="1" t="s">
        <v>90</v>
      </c>
    </row>
    <row r="556" spans="1:20" x14ac:dyDescent="0.25">
      <c r="A556" s="1" t="s">
        <v>2025</v>
      </c>
      <c r="B556" s="2">
        <v>42491</v>
      </c>
      <c r="C556" s="2">
        <v>42494</v>
      </c>
      <c r="D556" s="1" t="s">
        <v>81</v>
      </c>
      <c r="E556" s="1" t="s">
        <v>2026</v>
      </c>
      <c r="F556" s="1" t="s">
        <v>2027</v>
      </c>
      <c r="G556" s="1" t="s">
        <v>24</v>
      </c>
      <c r="H556" s="1" t="s">
        <v>132</v>
      </c>
      <c r="I556" s="1" t="s">
        <v>133</v>
      </c>
      <c r="J556" s="1" t="s">
        <v>27</v>
      </c>
      <c r="K556" s="1" t="s">
        <v>204</v>
      </c>
      <c r="L556" s="1" t="s">
        <v>29</v>
      </c>
      <c r="M556" s="1" t="s">
        <v>43</v>
      </c>
      <c r="N556" s="1" t="s">
        <v>205</v>
      </c>
      <c r="O556">
        <v>370.62</v>
      </c>
      <c r="P556">
        <v>3</v>
      </c>
      <c r="Q556">
        <v>-142.071</v>
      </c>
      <c r="R556" s="1" t="s">
        <v>4420</v>
      </c>
      <c r="S556">
        <v>2016</v>
      </c>
      <c r="T556" s="1" t="s">
        <v>153</v>
      </c>
    </row>
    <row r="557" spans="1:20" x14ac:dyDescent="0.25">
      <c r="A557" s="1" t="s">
        <v>2028</v>
      </c>
      <c r="B557" s="2">
        <v>42241</v>
      </c>
      <c r="C557" s="2">
        <v>42246</v>
      </c>
      <c r="D557" s="1" t="s">
        <v>37</v>
      </c>
      <c r="E557" s="1" t="s">
        <v>2029</v>
      </c>
      <c r="F557" s="1" t="s">
        <v>2030</v>
      </c>
      <c r="G557" s="1" t="s">
        <v>94</v>
      </c>
      <c r="H557" s="1" t="s">
        <v>49</v>
      </c>
      <c r="I557" s="1" t="s">
        <v>50</v>
      </c>
      <c r="J557" s="1" t="s">
        <v>51</v>
      </c>
      <c r="K557" s="1" t="s">
        <v>64</v>
      </c>
      <c r="L557" s="1" t="s">
        <v>29</v>
      </c>
      <c r="M557" s="1" t="s">
        <v>34</v>
      </c>
      <c r="N557" s="1" t="s">
        <v>65</v>
      </c>
      <c r="O557">
        <v>40.783999999999999</v>
      </c>
      <c r="P557">
        <v>1</v>
      </c>
      <c r="Q557">
        <v>4.5881999999999996</v>
      </c>
      <c r="R557" s="1" t="s">
        <v>4422</v>
      </c>
      <c r="S557">
        <v>2015</v>
      </c>
      <c r="T557" s="1" t="s">
        <v>245</v>
      </c>
    </row>
    <row r="558" spans="1:20" x14ac:dyDescent="0.25">
      <c r="A558" s="1" t="s">
        <v>2031</v>
      </c>
      <c r="B558" s="2">
        <v>41891</v>
      </c>
      <c r="C558" s="2">
        <v>41894</v>
      </c>
      <c r="D558" s="1" t="s">
        <v>21</v>
      </c>
      <c r="E558" s="1" t="s">
        <v>2032</v>
      </c>
      <c r="F558" s="1" t="s">
        <v>2033</v>
      </c>
      <c r="G558" s="1" t="s">
        <v>84</v>
      </c>
      <c r="H558" s="1" t="s">
        <v>2034</v>
      </c>
      <c r="I558" s="1" t="s">
        <v>425</v>
      </c>
      <c r="J558" s="1" t="s">
        <v>63</v>
      </c>
      <c r="K558" s="1" t="s">
        <v>2035</v>
      </c>
      <c r="L558" s="1" t="s">
        <v>29</v>
      </c>
      <c r="M558" s="1" t="s">
        <v>34</v>
      </c>
      <c r="N558" s="1" t="s">
        <v>2036</v>
      </c>
      <c r="O558">
        <v>785.88</v>
      </c>
      <c r="P558">
        <v>6</v>
      </c>
      <c r="Q558">
        <v>212.1876</v>
      </c>
      <c r="R558" s="1" t="s">
        <v>4420</v>
      </c>
      <c r="S558">
        <v>2014</v>
      </c>
      <c r="T558" s="1" t="s">
        <v>72</v>
      </c>
    </row>
    <row r="559" spans="1:20" x14ac:dyDescent="0.25">
      <c r="A559" s="1" t="s">
        <v>2037</v>
      </c>
      <c r="B559" s="2">
        <v>42391</v>
      </c>
      <c r="C559" s="2">
        <v>42397</v>
      </c>
      <c r="D559" s="1" t="s">
        <v>37</v>
      </c>
      <c r="E559" s="1" t="s">
        <v>778</v>
      </c>
      <c r="F559" s="1" t="s">
        <v>779</v>
      </c>
      <c r="G559" s="1" t="s">
        <v>84</v>
      </c>
      <c r="H559" s="1" t="s">
        <v>183</v>
      </c>
      <c r="I559" s="1" t="s">
        <v>184</v>
      </c>
      <c r="J559" s="1" t="s">
        <v>51</v>
      </c>
      <c r="K559" s="1" t="s">
        <v>621</v>
      </c>
      <c r="L559" s="1" t="s">
        <v>29</v>
      </c>
      <c r="M559" s="1" t="s">
        <v>53</v>
      </c>
      <c r="N559" s="1" t="s">
        <v>622</v>
      </c>
      <c r="O559">
        <v>109.9</v>
      </c>
      <c r="P559">
        <v>5</v>
      </c>
      <c r="Q559">
        <v>37.366</v>
      </c>
      <c r="R559" s="1" t="s">
        <v>4426</v>
      </c>
      <c r="S559">
        <v>2016</v>
      </c>
      <c r="T559" s="1" t="s">
        <v>161</v>
      </c>
    </row>
    <row r="560" spans="1:20" x14ac:dyDescent="0.25">
      <c r="A560" s="1" t="s">
        <v>2038</v>
      </c>
      <c r="B560" s="2">
        <v>41927</v>
      </c>
      <c r="C560" s="2">
        <v>41932</v>
      </c>
      <c r="D560" s="1" t="s">
        <v>37</v>
      </c>
      <c r="E560" s="1" t="s">
        <v>2039</v>
      </c>
      <c r="F560" s="1" t="s">
        <v>2040</v>
      </c>
      <c r="G560" s="1" t="s">
        <v>24</v>
      </c>
      <c r="H560" s="1" t="s">
        <v>2041</v>
      </c>
      <c r="I560" s="1" t="s">
        <v>41</v>
      </c>
      <c r="J560" s="1" t="s">
        <v>27</v>
      </c>
      <c r="K560" s="1" t="s">
        <v>1302</v>
      </c>
      <c r="L560" s="1" t="s">
        <v>29</v>
      </c>
      <c r="M560" s="1" t="s">
        <v>53</v>
      </c>
      <c r="N560" s="1" t="s">
        <v>2013</v>
      </c>
      <c r="O560">
        <v>15.384</v>
      </c>
      <c r="P560">
        <v>1</v>
      </c>
      <c r="Q560">
        <v>4.0382999999999996</v>
      </c>
      <c r="R560" s="1" t="s">
        <v>4422</v>
      </c>
      <c r="S560">
        <v>2014</v>
      </c>
      <c r="T560" s="1" t="s">
        <v>45</v>
      </c>
    </row>
    <row r="561" spans="1:20" x14ac:dyDescent="0.25">
      <c r="A561" s="1" t="s">
        <v>2042</v>
      </c>
      <c r="B561" s="2">
        <v>41716</v>
      </c>
      <c r="C561" s="2">
        <v>41721</v>
      </c>
      <c r="D561" s="1" t="s">
        <v>37</v>
      </c>
      <c r="E561" s="1" t="s">
        <v>1965</v>
      </c>
      <c r="F561" s="1" t="s">
        <v>1966</v>
      </c>
      <c r="G561" s="1" t="s">
        <v>94</v>
      </c>
      <c r="H561" s="1" t="s">
        <v>597</v>
      </c>
      <c r="I561" s="1" t="s">
        <v>41</v>
      </c>
      <c r="J561" s="1" t="s">
        <v>27</v>
      </c>
      <c r="K561" s="1" t="s">
        <v>1302</v>
      </c>
      <c r="L561" s="1" t="s">
        <v>29</v>
      </c>
      <c r="M561" s="1" t="s">
        <v>53</v>
      </c>
      <c r="N561" s="1" t="s">
        <v>2013</v>
      </c>
      <c r="O561">
        <v>30.768000000000001</v>
      </c>
      <c r="P561">
        <v>2</v>
      </c>
      <c r="Q561">
        <v>8.0765999999999991</v>
      </c>
      <c r="R561" s="1" t="s">
        <v>4422</v>
      </c>
      <c r="S561">
        <v>2014</v>
      </c>
      <c r="T561" s="1" t="s">
        <v>187</v>
      </c>
    </row>
    <row r="562" spans="1:20" x14ac:dyDescent="0.25">
      <c r="A562" s="1" t="s">
        <v>2042</v>
      </c>
      <c r="B562" s="2">
        <v>41716</v>
      </c>
      <c r="C562" s="2">
        <v>41721</v>
      </c>
      <c r="D562" s="1" t="s">
        <v>37</v>
      </c>
      <c r="E562" s="1" t="s">
        <v>1965</v>
      </c>
      <c r="F562" s="1" t="s">
        <v>1966</v>
      </c>
      <c r="G562" s="1" t="s">
        <v>94</v>
      </c>
      <c r="H562" s="1" t="s">
        <v>597</v>
      </c>
      <c r="I562" s="1" t="s">
        <v>41</v>
      </c>
      <c r="J562" s="1" t="s">
        <v>27</v>
      </c>
      <c r="K562" s="1" t="s">
        <v>1528</v>
      </c>
      <c r="L562" s="1" t="s">
        <v>29</v>
      </c>
      <c r="M562" s="1" t="s">
        <v>53</v>
      </c>
      <c r="N562" s="1" t="s">
        <v>1529</v>
      </c>
      <c r="O562">
        <v>122.352</v>
      </c>
      <c r="P562">
        <v>3</v>
      </c>
      <c r="Q562">
        <v>15.294</v>
      </c>
      <c r="R562" s="1" t="s">
        <v>4422</v>
      </c>
      <c r="S562">
        <v>2014</v>
      </c>
      <c r="T562" s="1" t="s">
        <v>187</v>
      </c>
    </row>
    <row r="563" spans="1:20" x14ac:dyDescent="0.25">
      <c r="A563" s="1" t="s">
        <v>2043</v>
      </c>
      <c r="B563" s="2">
        <v>42034</v>
      </c>
      <c r="C563" s="2">
        <v>42041</v>
      </c>
      <c r="D563" s="1" t="s">
        <v>37</v>
      </c>
      <c r="E563" s="1" t="s">
        <v>2044</v>
      </c>
      <c r="F563" s="1" t="s">
        <v>2045</v>
      </c>
      <c r="G563" s="1" t="s">
        <v>24</v>
      </c>
      <c r="H563" s="1" t="s">
        <v>49</v>
      </c>
      <c r="I563" s="1" t="s">
        <v>50</v>
      </c>
      <c r="J563" s="1" t="s">
        <v>51</v>
      </c>
      <c r="K563" s="1" t="s">
        <v>2046</v>
      </c>
      <c r="L563" s="1" t="s">
        <v>29</v>
      </c>
      <c r="M563" s="1" t="s">
        <v>53</v>
      </c>
      <c r="N563" s="1" t="s">
        <v>2047</v>
      </c>
      <c r="O563">
        <v>227.36</v>
      </c>
      <c r="P563">
        <v>7</v>
      </c>
      <c r="Q563">
        <v>81.849599999999995</v>
      </c>
      <c r="R563" s="1" t="s">
        <v>4421</v>
      </c>
      <c r="S563">
        <v>2015</v>
      </c>
      <c r="T563" s="1" t="s">
        <v>161</v>
      </c>
    </row>
    <row r="564" spans="1:20" x14ac:dyDescent="0.25">
      <c r="A564" s="1" t="s">
        <v>2048</v>
      </c>
      <c r="B564" s="2">
        <v>43017</v>
      </c>
      <c r="C564" s="2">
        <v>43019</v>
      </c>
      <c r="D564" s="1" t="s">
        <v>81</v>
      </c>
      <c r="E564" s="1" t="s">
        <v>2049</v>
      </c>
      <c r="F564" s="1" t="s">
        <v>2050</v>
      </c>
      <c r="G564" s="1" t="s">
        <v>84</v>
      </c>
      <c r="H564" s="1" t="s">
        <v>2051</v>
      </c>
      <c r="I564" s="1" t="s">
        <v>223</v>
      </c>
      <c r="J564" s="1" t="s">
        <v>63</v>
      </c>
      <c r="K564" s="1" t="s">
        <v>767</v>
      </c>
      <c r="L564" s="1" t="s">
        <v>29</v>
      </c>
      <c r="M564" s="1" t="s">
        <v>53</v>
      </c>
      <c r="N564" s="1" t="s">
        <v>768</v>
      </c>
      <c r="O564">
        <v>45.887999999999998</v>
      </c>
      <c r="P564">
        <v>4</v>
      </c>
      <c r="Q564">
        <v>9.1776</v>
      </c>
      <c r="R564" s="1" t="s">
        <v>4423</v>
      </c>
      <c r="S564">
        <v>2017</v>
      </c>
      <c r="T564" s="1" t="s">
        <v>45</v>
      </c>
    </row>
    <row r="565" spans="1:20" x14ac:dyDescent="0.25">
      <c r="A565" s="1" t="s">
        <v>2052</v>
      </c>
      <c r="B565" s="2">
        <v>41979</v>
      </c>
      <c r="C565" s="2">
        <v>41981</v>
      </c>
      <c r="D565" s="1" t="s">
        <v>21</v>
      </c>
      <c r="E565" s="1" t="s">
        <v>1565</v>
      </c>
      <c r="F565" s="1" t="s">
        <v>1566</v>
      </c>
      <c r="G565" s="1" t="s">
        <v>24</v>
      </c>
      <c r="H565" s="1" t="s">
        <v>95</v>
      </c>
      <c r="I565" s="1" t="s">
        <v>86</v>
      </c>
      <c r="J565" s="1" t="s">
        <v>87</v>
      </c>
      <c r="K565" s="1" t="s">
        <v>688</v>
      </c>
      <c r="L565" s="1" t="s">
        <v>29</v>
      </c>
      <c r="M565" s="1" t="s">
        <v>53</v>
      </c>
      <c r="N565" s="1" t="s">
        <v>689</v>
      </c>
      <c r="O565">
        <v>23.975999999999999</v>
      </c>
      <c r="P565">
        <v>3</v>
      </c>
      <c r="Q565">
        <v>-14.3856</v>
      </c>
      <c r="R565" s="1" t="s">
        <v>4423</v>
      </c>
      <c r="S565">
        <v>2014</v>
      </c>
      <c r="T565" s="1" t="s">
        <v>90</v>
      </c>
    </row>
    <row r="566" spans="1:20" x14ac:dyDescent="0.25">
      <c r="A566" s="1" t="s">
        <v>2053</v>
      </c>
      <c r="B566" s="2">
        <v>43046</v>
      </c>
      <c r="C566" s="2">
        <v>43052</v>
      </c>
      <c r="D566" s="1" t="s">
        <v>37</v>
      </c>
      <c r="E566" s="1" t="s">
        <v>2054</v>
      </c>
      <c r="F566" s="1" t="s">
        <v>2055</v>
      </c>
      <c r="G566" s="1" t="s">
        <v>24</v>
      </c>
      <c r="H566" s="1" t="s">
        <v>61</v>
      </c>
      <c r="I566" s="1" t="s">
        <v>62</v>
      </c>
      <c r="J566" s="1" t="s">
        <v>63</v>
      </c>
      <c r="K566" s="1" t="s">
        <v>1891</v>
      </c>
      <c r="L566" s="1" t="s">
        <v>29</v>
      </c>
      <c r="M566" s="1" t="s">
        <v>43</v>
      </c>
      <c r="N566" s="1" t="s">
        <v>1892</v>
      </c>
      <c r="O566">
        <v>350.35199999999998</v>
      </c>
      <c r="P566">
        <v>4</v>
      </c>
      <c r="Q566">
        <v>-140.14080000000001</v>
      </c>
      <c r="R566" s="1" t="s">
        <v>4426</v>
      </c>
      <c r="S566">
        <v>2017</v>
      </c>
      <c r="T566" s="1" t="s">
        <v>32</v>
      </c>
    </row>
    <row r="567" spans="1:20" x14ac:dyDescent="0.25">
      <c r="A567" s="1" t="s">
        <v>2056</v>
      </c>
      <c r="B567" s="2">
        <v>42779</v>
      </c>
      <c r="C567" s="2">
        <v>42785</v>
      </c>
      <c r="D567" s="1" t="s">
        <v>37</v>
      </c>
      <c r="E567" s="1" t="s">
        <v>2057</v>
      </c>
      <c r="F567" s="1" t="s">
        <v>2058</v>
      </c>
      <c r="G567" s="1" t="s">
        <v>24</v>
      </c>
      <c r="H567" s="1" t="s">
        <v>183</v>
      </c>
      <c r="I567" s="1" t="s">
        <v>184</v>
      </c>
      <c r="J567" s="1" t="s">
        <v>51</v>
      </c>
      <c r="K567" s="1" t="s">
        <v>300</v>
      </c>
      <c r="L567" s="1" t="s">
        <v>29</v>
      </c>
      <c r="M567" s="1" t="s">
        <v>53</v>
      </c>
      <c r="N567" s="1" t="s">
        <v>301</v>
      </c>
      <c r="O567">
        <v>107.53</v>
      </c>
      <c r="P567">
        <v>1</v>
      </c>
      <c r="Q567">
        <v>21.506</v>
      </c>
      <c r="R567" s="1" t="s">
        <v>4426</v>
      </c>
      <c r="S567">
        <v>2017</v>
      </c>
      <c r="T567" s="1" t="s">
        <v>289</v>
      </c>
    </row>
    <row r="568" spans="1:20" x14ac:dyDescent="0.25">
      <c r="A568" s="1" t="s">
        <v>2059</v>
      </c>
      <c r="B568" s="2">
        <v>42321</v>
      </c>
      <c r="C568" s="2">
        <v>42327</v>
      </c>
      <c r="D568" s="1" t="s">
        <v>37</v>
      </c>
      <c r="E568" s="1" t="s">
        <v>303</v>
      </c>
      <c r="F568" s="1" t="s">
        <v>304</v>
      </c>
      <c r="G568" s="1" t="s">
        <v>24</v>
      </c>
      <c r="H568" s="1" t="s">
        <v>222</v>
      </c>
      <c r="I568" s="1" t="s">
        <v>192</v>
      </c>
      <c r="J568" s="1" t="s">
        <v>63</v>
      </c>
      <c r="K568" s="1" t="s">
        <v>1127</v>
      </c>
      <c r="L568" s="1" t="s">
        <v>29</v>
      </c>
      <c r="M568" s="1" t="s">
        <v>30</v>
      </c>
      <c r="N568" s="1" t="s">
        <v>1128</v>
      </c>
      <c r="O568">
        <v>299.97000000000003</v>
      </c>
      <c r="P568">
        <v>3</v>
      </c>
      <c r="Q568">
        <v>56.994300000000003</v>
      </c>
      <c r="R568" s="1" t="s">
        <v>4426</v>
      </c>
      <c r="S568">
        <v>2015</v>
      </c>
      <c r="T568" s="1" t="s">
        <v>32</v>
      </c>
    </row>
    <row r="569" spans="1:20" x14ac:dyDescent="0.25">
      <c r="A569" s="1" t="s">
        <v>2060</v>
      </c>
      <c r="B569" s="2">
        <v>41947</v>
      </c>
      <c r="C569" s="2">
        <v>41951</v>
      </c>
      <c r="D569" s="1" t="s">
        <v>37</v>
      </c>
      <c r="E569" s="1" t="s">
        <v>2061</v>
      </c>
      <c r="F569" s="1" t="s">
        <v>2062</v>
      </c>
      <c r="G569" s="1" t="s">
        <v>24</v>
      </c>
      <c r="H569" s="1" t="s">
        <v>630</v>
      </c>
      <c r="I569" s="1" t="s">
        <v>50</v>
      </c>
      <c r="J569" s="1" t="s">
        <v>51</v>
      </c>
      <c r="K569" s="1" t="s">
        <v>1980</v>
      </c>
      <c r="L569" s="1" t="s">
        <v>29</v>
      </c>
      <c r="M569" s="1" t="s">
        <v>53</v>
      </c>
      <c r="N569" s="1" t="s">
        <v>1981</v>
      </c>
      <c r="O569">
        <v>35.340000000000003</v>
      </c>
      <c r="P569">
        <v>2</v>
      </c>
      <c r="Q569">
        <v>13.4292</v>
      </c>
      <c r="R569" s="1" t="s">
        <v>4424</v>
      </c>
      <c r="S569">
        <v>2014</v>
      </c>
      <c r="T569" s="1" t="s">
        <v>32</v>
      </c>
    </row>
    <row r="570" spans="1:20" x14ac:dyDescent="0.25">
      <c r="A570" s="1" t="s">
        <v>2063</v>
      </c>
      <c r="B570" s="2">
        <v>42175</v>
      </c>
      <c r="C570" s="2">
        <v>42180</v>
      </c>
      <c r="D570" s="1" t="s">
        <v>21</v>
      </c>
      <c r="E570" s="1" t="s">
        <v>2064</v>
      </c>
      <c r="F570" s="1" t="s">
        <v>2065</v>
      </c>
      <c r="G570" s="1" t="s">
        <v>84</v>
      </c>
      <c r="H570" s="1" t="s">
        <v>320</v>
      </c>
      <c r="I570" s="1" t="s">
        <v>50</v>
      </c>
      <c r="J570" s="1" t="s">
        <v>51</v>
      </c>
      <c r="K570" s="1" t="s">
        <v>736</v>
      </c>
      <c r="L570" s="1" t="s">
        <v>29</v>
      </c>
      <c r="M570" s="1" t="s">
        <v>53</v>
      </c>
      <c r="N570" s="1" t="s">
        <v>737</v>
      </c>
      <c r="O570">
        <v>257.64</v>
      </c>
      <c r="P570">
        <v>6</v>
      </c>
      <c r="Q570">
        <v>100.4796</v>
      </c>
      <c r="R570" s="1" t="s">
        <v>4422</v>
      </c>
      <c r="S570">
        <v>2015</v>
      </c>
      <c r="T570" s="1" t="s">
        <v>55</v>
      </c>
    </row>
    <row r="571" spans="1:20" x14ac:dyDescent="0.25">
      <c r="A571" s="1" t="s">
        <v>2066</v>
      </c>
      <c r="B571" s="2">
        <v>41771</v>
      </c>
      <c r="C571" s="2">
        <v>41776</v>
      </c>
      <c r="D571" s="1" t="s">
        <v>37</v>
      </c>
      <c r="E571" s="1" t="s">
        <v>1918</v>
      </c>
      <c r="F571" s="1" t="s">
        <v>1919</v>
      </c>
      <c r="G571" s="1" t="s">
        <v>24</v>
      </c>
      <c r="H571" s="1" t="s">
        <v>229</v>
      </c>
      <c r="I571" s="1" t="s">
        <v>425</v>
      </c>
      <c r="J571" s="1" t="s">
        <v>63</v>
      </c>
      <c r="K571" s="1" t="s">
        <v>753</v>
      </c>
      <c r="L571" s="1" t="s">
        <v>29</v>
      </c>
      <c r="M571" s="1" t="s">
        <v>43</v>
      </c>
      <c r="N571" s="1" t="s">
        <v>754</v>
      </c>
      <c r="O571">
        <v>700.05600000000004</v>
      </c>
      <c r="P571">
        <v>3</v>
      </c>
      <c r="Q571">
        <v>-130.0104</v>
      </c>
      <c r="R571" s="1" t="s">
        <v>4422</v>
      </c>
      <c r="S571">
        <v>2014</v>
      </c>
      <c r="T571" s="1" t="s">
        <v>153</v>
      </c>
    </row>
    <row r="572" spans="1:20" x14ac:dyDescent="0.25">
      <c r="A572" s="1" t="s">
        <v>2067</v>
      </c>
      <c r="B572" s="2">
        <v>41798</v>
      </c>
      <c r="C572" s="2">
        <v>41804</v>
      </c>
      <c r="D572" s="1" t="s">
        <v>37</v>
      </c>
      <c r="E572" s="1" t="s">
        <v>619</v>
      </c>
      <c r="F572" s="1" t="s">
        <v>620</v>
      </c>
      <c r="G572" s="1" t="s">
        <v>24</v>
      </c>
      <c r="H572" s="1" t="s">
        <v>183</v>
      </c>
      <c r="I572" s="1" t="s">
        <v>184</v>
      </c>
      <c r="J572" s="1" t="s">
        <v>51</v>
      </c>
      <c r="K572" s="1" t="s">
        <v>2068</v>
      </c>
      <c r="L572" s="1" t="s">
        <v>29</v>
      </c>
      <c r="M572" s="1" t="s">
        <v>34</v>
      </c>
      <c r="N572" s="1" t="s">
        <v>2069</v>
      </c>
      <c r="O572">
        <v>585.55200000000002</v>
      </c>
      <c r="P572">
        <v>3</v>
      </c>
      <c r="Q572">
        <v>73.194000000000003</v>
      </c>
      <c r="R572" s="1" t="s">
        <v>4426</v>
      </c>
      <c r="S572">
        <v>2014</v>
      </c>
      <c r="T572" s="1" t="s">
        <v>55</v>
      </c>
    </row>
    <row r="573" spans="1:20" x14ac:dyDescent="0.25">
      <c r="A573" s="1" t="s">
        <v>2070</v>
      </c>
      <c r="B573" s="2">
        <v>41785</v>
      </c>
      <c r="C573" s="2">
        <v>41789</v>
      </c>
      <c r="D573" s="1" t="s">
        <v>37</v>
      </c>
      <c r="E573" s="1" t="s">
        <v>2026</v>
      </c>
      <c r="F573" s="1" t="s">
        <v>2027</v>
      </c>
      <c r="G573" s="1" t="s">
        <v>24</v>
      </c>
      <c r="H573" s="1" t="s">
        <v>49</v>
      </c>
      <c r="I573" s="1" t="s">
        <v>50</v>
      </c>
      <c r="J573" s="1" t="s">
        <v>51</v>
      </c>
      <c r="K573" s="1" t="s">
        <v>1523</v>
      </c>
      <c r="L573" s="1" t="s">
        <v>29</v>
      </c>
      <c r="M573" s="1" t="s">
        <v>34</v>
      </c>
      <c r="N573" s="1" t="s">
        <v>1524</v>
      </c>
      <c r="O573">
        <v>225.29599999999999</v>
      </c>
      <c r="P573">
        <v>2</v>
      </c>
      <c r="Q573">
        <v>22.529599999999999</v>
      </c>
      <c r="R573" s="1" t="s">
        <v>4424</v>
      </c>
      <c r="S573">
        <v>2014</v>
      </c>
      <c r="T573" s="1" t="s">
        <v>153</v>
      </c>
    </row>
    <row r="574" spans="1:20" x14ac:dyDescent="0.25">
      <c r="A574" s="1" t="s">
        <v>2071</v>
      </c>
      <c r="B574" s="2">
        <v>42440</v>
      </c>
      <c r="C574" s="2">
        <v>42444</v>
      </c>
      <c r="D574" s="1" t="s">
        <v>37</v>
      </c>
      <c r="E574" s="1" t="s">
        <v>2072</v>
      </c>
      <c r="F574" s="1" t="s">
        <v>2073</v>
      </c>
      <c r="G574" s="1" t="s">
        <v>94</v>
      </c>
      <c r="H574" s="1" t="s">
        <v>339</v>
      </c>
      <c r="I574" s="1" t="s">
        <v>658</v>
      </c>
      <c r="J574" s="1" t="s">
        <v>27</v>
      </c>
      <c r="K574" s="1" t="s">
        <v>1302</v>
      </c>
      <c r="L574" s="1" t="s">
        <v>29</v>
      </c>
      <c r="M574" s="1" t="s">
        <v>53</v>
      </c>
      <c r="N574" s="1" t="s">
        <v>2013</v>
      </c>
      <c r="O574">
        <v>76.92</v>
      </c>
      <c r="P574">
        <v>4</v>
      </c>
      <c r="Q574">
        <v>31.537199999999999</v>
      </c>
      <c r="R574" s="1" t="s">
        <v>4424</v>
      </c>
      <c r="S574">
        <v>2016</v>
      </c>
      <c r="T574" s="1" t="s">
        <v>187</v>
      </c>
    </row>
    <row r="575" spans="1:20" x14ac:dyDescent="0.25">
      <c r="A575" s="1" t="s">
        <v>2074</v>
      </c>
      <c r="B575" s="2">
        <v>43079</v>
      </c>
      <c r="C575" s="2">
        <v>43081</v>
      </c>
      <c r="D575" s="1" t="s">
        <v>81</v>
      </c>
      <c r="E575" s="1" t="s">
        <v>1493</v>
      </c>
      <c r="F575" s="1" t="s">
        <v>1494</v>
      </c>
      <c r="G575" s="1" t="s">
        <v>24</v>
      </c>
      <c r="H575" s="1" t="s">
        <v>40</v>
      </c>
      <c r="I575" s="1" t="s">
        <v>41</v>
      </c>
      <c r="J575" s="1" t="s">
        <v>27</v>
      </c>
      <c r="K575" s="1" t="s">
        <v>918</v>
      </c>
      <c r="L575" s="1" t="s">
        <v>29</v>
      </c>
      <c r="M575" s="1" t="s">
        <v>53</v>
      </c>
      <c r="N575" s="1" t="s">
        <v>308</v>
      </c>
      <c r="O575">
        <v>19.103999999999999</v>
      </c>
      <c r="P575">
        <v>3</v>
      </c>
      <c r="Q575">
        <v>5.7312000000000003</v>
      </c>
      <c r="R575" s="1" t="s">
        <v>4423</v>
      </c>
      <c r="S575">
        <v>2017</v>
      </c>
      <c r="T575" s="1" t="s">
        <v>90</v>
      </c>
    </row>
    <row r="576" spans="1:20" x14ac:dyDescent="0.25">
      <c r="A576" s="1" t="s">
        <v>2075</v>
      </c>
      <c r="B576" s="2">
        <v>42202</v>
      </c>
      <c r="C576" s="2">
        <v>42204</v>
      </c>
      <c r="D576" s="1" t="s">
        <v>21</v>
      </c>
      <c r="E576" s="1" t="s">
        <v>1322</v>
      </c>
      <c r="F576" s="1" t="s">
        <v>1323</v>
      </c>
      <c r="G576" s="1" t="s">
        <v>24</v>
      </c>
      <c r="H576" s="1" t="s">
        <v>2076</v>
      </c>
      <c r="I576" s="1" t="s">
        <v>50</v>
      </c>
      <c r="J576" s="1" t="s">
        <v>51</v>
      </c>
      <c r="K576" s="1" t="s">
        <v>1467</v>
      </c>
      <c r="L576" s="1" t="s">
        <v>29</v>
      </c>
      <c r="M576" s="1" t="s">
        <v>30</v>
      </c>
      <c r="N576" s="1" t="s">
        <v>1468</v>
      </c>
      <c r="O576">
        <v>195.46600000000001</v>
      </c>
      <c r="P576">
        <v>2</v>
      </c>
      <c r="Q576">
        <v>-13.797599999999999</v>
      </c>
      <c r="R576" s="1" t="s">
        <v>4423</v>
      </c>
      <c r="S576">
        <v>2015</v>
      </c>
      <c r="T576" s="1" t="s">
        <v>66</v>
      </c>
    </row>
    <row r="577" spans="1:20" x14ac:dyDescent="0.25">
      <c r="A577" s="1" t="s">
        <v>2077</v>
      </c>
      <c r="B577" s="2">
        <v>42855</v>
      </c>
      <c r="C577" s="2">
        <v>42860</v>
      </c>
      <c r="D577" s="1" t="s">
        <v>37</v>
      </c>
      <c r="E577" s="1" t="s">
        <v>2078</v>
      </c>
      <c r="F577" s="1" t="s">
        <v>2079</v>
      </c>
      <c r="G577" s="1" t="s">
        <v>84</v>
      </c>
      <c r="H577" s="1" t="s">
        <v>2080</v>
      </c>
      <c r="I577" s="1" t="s">
        <v>41</v>
      </c>
      <c r="J577" s="1" t="s">
        <v>27</v>
      </c>
      <c r="K577" s="1" t="s">
        <v>437</v>
      </c>
      <c r="L577" s="1" t="s">
        <v>29</v>
      </c>
      <c r="M577" s="1" t="s">
        <v>53</v>
      </c>
      <c r="N577" s="1" t="s">
        <v>438</v>
      </c>
      <c r="O577">
        <v>23.68</v>
      </c>
      <c r="P577">
        <v>8</v>
      </c>
      <c r="Q577">
        <v>6.2160000000000002</v>
      </c>
      <c r="R577" s="1" t="s">
        <v>4422</v>
      </c>
      <c r="S577">
        <v>2017</v>
      </c>
      <c r="T577" s="1" t="s">
        <v>107</v>
      </c>
    </row>
    <row r="578" spans="1:20" x14ac:dyDescent="0.25">
      <c r="A578" s="1" t="s">
        <v>2081</v>
      </c>
      <c r="B578" s="2">
        <v>42268</v>
      </c>
      <c r="C578" s="2">
        <v>42270</v>
      </c>
      <c r="D578" s="1" t="s">
        <v>81</v>
      </c>
      <c r="E578" s="1" t="s">
        <v>2082</v>
      </c>
      <c r="F578" s="1" t="s">
        <v>2083</v>
      </c>
      <c r="G578" s="1" t="s">
        <v>94</v>
      </c>
      <c r="H578" s="1" t="s">
        <v>49</v>
      </c>
      <c r="I578" s="1" t="s">
        <v>50</v>
      </c>
      <c r="J578" s="1" t="s">
        <v>51</v>
      </c>
      <c r="K578" s="1" t="s">
        <v>616</v>
      </c>
      <c r="L578" s="1" t="s">
        <v>29</v>
      </c>
      <c r="M578" s="1" t="s">
        <v>34</v>
      </c>
      <c r="N578" s="1" t="s">
        <v>617</v>
      </c>
      <c r="O578">
        <v>601.53599999999994</v>
      </c>
      <c r="P578">
        <v>4</v>
      </c>
      <c r="Q578">
        <v>0</v>
      </c>
      <c r="R578" s="1" t="s">
        <v>4423</v>
      </c>
      <c r="S578">
        <v>2015</v>
      </c>
      <c r="T578" s="1" t="s">
        <v>72</v>
      </c>
    </row>
    <row r="579" spans="1:20" x14ac:dyDescent="0.25">
      <c r="A579" s="1" t="s">
        <v>2084</v>
      </c>
      <c r="B579" s="2">
        <v>41975</v>
      </c>
      <c r="C579" s="2">
        <v>41979</v>
      </c>
      <c r="D579" s="1" t="s">
        <v>37</v>
      </c>
      <c r="E579" s="1" t="s">
        <v>2085</v>
      </c>
      <c r="F579" s="1" t="s">
        <v>2086</v>
      </c>
      <c r="G579" s="1" t="s">
        <v>84</v>
      </c>
      <c r="H579" s="1" t="s">
        <v>2087</v>
      </c>
      <c r="I579" s="1" t="s">
        <v>86</v>
      </c>
      <c r="J579" s="1" t="s">
        <v>87</v>
      </c>
      <c r="K579" s="1" t="s">
        <v>381</v>
      </c>
      <c r="L579" s="1" t="s">
        <v>29</v>
      </c>
      <c r="M579" s="1" t="s">
        <v>53</v>
      </c>
      <c r="N579" s="1" t="s">
        <v>382</v>
      </c>
      <c r="O579">
        <v>58.36</v>
      </c>
      <c r="P579">
        <v>5</v>
      </c>
      <c r="Q579">
        <v>-24.803000000000001</v>
      </c>
      <c r="R579" s="1" t="s">
        <v>4424</v>
      </c>
      <c r="S579">
        <v>2014</v>
      </c>
      <c r="T579" s="1" t="s">
        <v>90</v>
      </c>
    </row>
    <row r="580" spans="1:20" x14ac:dyDescent="0.25">
      <c r="A580" s="1" t="s">
        <v>2084</v>
      </c>
      <c r="B580" s="2">
        <v>41975</v>
      </c>
      <c r="C580" s="2">
        <v>41979</v>
      </c>
      <c r="D580" s="1" t="s">
        <v>37</v>
      </c>
      <c r="E580" s="1" t="s">
        <v>2085</v>
      </c>
      <c r="F580" s="1" t="s">
        <v>2086</v>
      </c>
      <c r="G580" s="1" t="s">
        <v>84</v>
      </c>
      <c r="H580" s="1" t="s">
        <v>2087</v>
      </c>
      <c r="I580" s="1" t="s">
        <v>86</v>
      </c>
      <c r="J580" s="1" t="s">
        <v>87</v>
      </c>
      <c r="K580" s="1" t="s">
        <v>688</v>
      </c>
      <c r="L580" s="1" t="s">
        <v>29</v>
      </c>
      <c r="M580" s="1" t="s">
        <v>53</v>
      </c>
      <c r="N580" s="1" t="s">
        <v>689</v>
      </c>
      <c r="O580">
        <v>39.96</v>
      </c>
      <c r="P580">
        <v>5</v>
      </c>
      <c r="Q580">
        <v>-23.975999999999999</v>
      </c>
      <c r="R580" s="1" t="s">
        <v>4424</v>
      </c>
      <c r="S580">
        <v>2014</v>
      </c>
      <c r="T580" s="1" t="s">
        <v>90</v>
      </c>
    </row>
    <row r="581" spans="1:20" x14ac:dyDescent="0.25">
      <c r="A581" s="1" t="s">
        <v>2088</v>
      </c>
      <c r="B581" s="2">
        <v>41741</v>
      </c>
      <c r="C581" s="2">
        <v>41746</v>
      </c>
      <c r="D581" s="1" t="s">
        <v>37</v>
      </c>
      <c r="E581" s="1" t="s">
        <v>2089</v>
      </c>
      <c r="F581" s="1" t="s">
        <v>2090</v>
      </c>
      <c r="G581" s="1" t="s">
        <v>84</v>
      </c>
      <c r="H581" s="1" t="s">
        <v>2091</v>
      </c>
      <c r="I581" s="1" t="s">
        <v>50</v>
      </c>
      <c r="J581" s="1" t="s">
        <v>51</v>
      </c>
      <c r="K581" s="1" t="s">
        <v>533</v>
      </c>
      <c r="L581" s="1" t="s">
        <v>29</v>
      </c>
      <c r="M581" s="1" t="s">
        <v>30</v>
      </c>
      <c r="N581" s="1" t="s">
        <v>534</v>
      </c>
      <c r="O581">
        <v>308.49900000000002</v>
      </c>
      <c r="P581">
        <v>3</v>
      </c>
      <c r="Q581">
        <v>-18.146999999999998</v>
      </c>
      <c r="R581" s="1" t="s">
        <v>4422</v>
      </c>
      <c r="S581">
        <v>2014</v>
      </c>
      <c r="T581" s="1" t="s">
        <v>107</v>
      </c>
    </row>
    <row r="582" spans="1:20" x14ac:dyDescent="0.25">
      <c r="A582" s="1" t="s">
        <v>2092</v>
      </c>
      <c r="B582" s="2">
        <v>43042</v>
      </c>
      <c r="C582" s="2">
        <v>43047</v>
      </c>
      <c r="D582" s="1" t="s">
        <v>37</v>
      </c>
      <c r="E582" s="1" t="s">
        <v>2093</v>
      </c>
      <c r="F582" s="1" t="s">
        <v>2094</v>
      </c>
      <c r="G582" s="1" t="s">
        <v>24</v>
      </c>
      <c r="H582" s="1" t="s">
        <v>2095</v>
      </c>
      <c r="I582" s="1" t="s">
        <v>1887</v>
      </c>
      <c r="J582" s="1" t="s">
        <v>51</v>
      </c>
      <c r="K582" s="1" t="s">
        <v>166</v>
      </c>
      <c r="L582" s="1" t="s">
        <v>29</v>
      </c>
      <c r="M582" s="1" t="s">
        <v>53</v>
      </c>
      <c r="N582" s="1" t="s">
        <v>167</v>
      </c>
      <c r="O582">
        <v>41.37</v>
      </c>
      <c r="P582">
        <v>3</v>
      </c>
      <c r="Q582">
        <v>17.375399999999999</v>
      </c>
      <c r="R582" s="1" t="s">
        <v>4422</v>
      </c>
      <c r="S582">
        <v>2017</v>
      </c>
      <c r="T582" s="1" t="s">
        <v>32</v>
      </c>
    </row>
    <row r="583" spans="1:20" x14ac:dyDescent="0.25">
      <c r="A583" s="1" t="s">
        <v>2096</v>
      </c>
      <c r="B583" s="2">
        <v>42254</v>
      </c>
      <c r="C583" s="2">
        <v>42258</v>
      </c>
      <c r="D583" s="1" t="s">
        <v>37</v>
      </c>
      <c r="E583" s="1" t="s">
        <v>2044</v>
      </c>
      <c r="F583" s="1" t="s">
        <v>2045</v>
      </c>
      <c r="G583" s="1" t="s">
        <v>24</v>
      </c>
      <c r="H583" s="1" t="s">
        <v>1365</v>
      </c>
      <c r="I583" s="1" t="s">
        <v>86</v>
      </c>
      <c r="J583" s="1" t="s">
        <v>87</v>
      </c>
      <c r="K583" s="1" t="s">
        <v>1756</v>
      </c>
      <c r="L583" s="1" t="s">
        <v>29</v>
      </c>
      <c r="M583" s="1" t="s">
        <v>34</v>
      </c>
      <c r="N583" s="1" t="s">
        <v>1757</v>
      </c>
      <c r="O583">
        <v>47.515999999999998</v>
      </c>
      <c r="P583">
        <v>2</v>
      </c>
      <c r="Q583">
        <v>-2.0364</v>
      </c>
      <c r="R583" s="1" t="s">
        <v>4424</v>
      </c>
      <c r="S583">
        <v>2015</v>
      </c>
      <c r="T583" s="1" t="s">
        <v>72</v>
      </c>
    </row>
    <row r="584" spans="1:20" x14ac:dyDescent="0.25">
      <c r="A584" s="1" t="s">
        <v>2097</v>
      </c>
      <c r="B584" s="2">
        <v>42210</v>
      </c>
      <c r="C584" s="2">
        <v>42212</v>
      </c>
      <c r="D584" s="1" t="s">
        <v>21</v>
      </c>
      <c r="E584" s="1" t="s">
        <v>2098</v>
      </c>
      <c r="F584" s="1" t="s">
        <v>2099</v>
      </c>
      <c r="G584" s="1" t="s">
        <v>24</v>
      </c>
      <c r="H584" s="1" t="s">
        <v>183</v>
      </c>
      <c r="I584" s="1" t="s">
        <v>184</v>
      </c>
      <c r="J584" s="1" t="s">
        <v>51</v>
      </c>
      <c r="K584" s="1" t="s">
        <v>1686</v>
      </c>
      <c r="L584" s="1" t="s">
        <v>29</v>
      </c>
      <c r="M584" s="1" t="s">
        <v>30</v>
      </c>
      <c r="N584" s="1" t="s">
        <v>1905</v>
      </c>
      <c r="O584">
        <v>704.9</v>
      </c>
      <c r="P584">
        <v>5</v>
      </c>
      <c r="Q584">
        <v>56.392000000000003</v>
      </c>
      <c r="R584" s="1" t="s">
        <v>4423</v>
      </c>
      <c r="S584">
        <v>2015</v>
      </c>
      <c r="T584" s="1" t="s">
        <v>66</v>
      </c>
    </row>
    <row r="585" spans="1:20" x14ac:dyDescent="0.25">
      <c r="A585" s="1" t="s">
        <v>2097</v>
      </c>
      <c r="B585" s="2">
        <v>42210</v>
      </c>
      <c r="C585" s="2">
        <v>42212</v>
      </c>
      <c r="D585" s="1" t="s">
        <v>21</v>
      </c>
      <c r="E585" s="1" t="s">
        <v>2098</v>
      </c>
      <c r="F585" s="1" t="s">
        <v>2099</v>
      </c>
      <c r="G585" s="1" t="s">
        <v>24</v>
      </c>
      <c r="H585" s="1" t="s">
        <v>183</v>
      </c>
      <c r="I585" s="1" t="s">
        <v>184</v>
      </c>
      <c r="J585" s="1" t="s">
        <v>51</v>
      </c>
      <c r="K585" s="1" t="s">
        <v>1477</v>
      </c>
      <c r="L585" s="1" t="s">
        <v>29</v>
      </c>
      <c r="M585" s="1" t="s">
        <v>34</v>
      </c>
      <c r="N585" s="1" t="s">
        <v>1478</v>
      </c>
      <c r="O585">
        <v>561.56799999999998</v>
      </c>
      <c r="P585">
        <v>2</v>
      </c>
      <c r="Q585">
        <v>28.078399999999998</v>
      </c>
      <c r="R585" s="1" t="s">
        <v>4423</v>
      </c>
      <c r="S585">
        <v>2015</v>
      </c>
      <c r="T585" s="1" t="s">
        <v>66</v>
      </c>
    </row>
    <row r="586" spans="1:20" x14ac:dyDescent="0.25">
      <c r="A586" s="1" t="s">
        <v>2100</v>
      </c>
      <c r="B586" s="2">
        <v>42324</v>
      </c>
      <c r="C586" s="2">
        <v>42326</v>
      </c>
      <c r="D586" s="1" t="s">
        <v>21</v>
      </c>
      <c r="E586" s="1" t="s">
        <v>1342</v>
      </c>
      <c r="F586" s="1" t="s">
        <v>1343</v>
      </c>
      <c r="G586" s="1" t="s">
        <v>94</v>
      </c>
      <c r="H586" s="1" t="s">
        <v>896</v>
      </c>
      <c r="I586" s="1" t="s">
        <v>230</v>
      </c>
      <c r="J586" s="1" t="s">
        <v>87</v>
      </c>
      <c r="K586" s="1" t="s">
        <v>2101</v>
      </c>
      <c r="L586" s="1" t="s">
        <v>29</v>
      </c>
      <c r="M586" s="1" t="s">
        <v>53</v>
      </c>
      <c r="N586" s="1" t="s">
        <v>2102</v>
      </c>
      <c r="O586">
        <v>185.58</v>
      </c>
      <c r="P586">
        <v>6</v>
      </c>
      <c r="Q586">
        <v>76.087800000000001</v>
      </c>
      <c r="R586" s="1" t="s">
        <v>4423</v>
      </c>
      <c r="S586">
        <v>2015</v>
      </c>
      <c r="T586" s="1" t="s">
        <v>32</v>
      </c>
    </row>
    <row r="587" spans="1:20" x14ac:dyDescent="0.25">
      <c r="A587" s="1" t="s">
        <v>2100</v>
      </c>
      <c r="B587" s="2">
        <v>42324</v>
      </c>
      <c r="C587" s="2">
        <v>42326</v>
      </c>
      <c r="D587" s="1" t="s">
        <v>21</v>
      </c>
      <c r="E587" s="1" t="s">
        <v>1342</v>
      </c>
      <c r="F587" s="1" t="s">
        <v>1343</v>
      </c>
      <c r="G587" s="1" t="s">
        <v>94</v>
      </c>
      <c r="H587" s="1" t="s">
        <v>896</v>
      </c>
      <c r="I587" s="1" t="s">
        <v>230</v>
      </c>
      <c r="J587" s="1" t="s">
        <v>87</v>
      </c>
      <c r="K587" s="1" t="s">
        <v>898</v>
      </c>
      <c r="L587" s="1" t="s">
        <v>29</v>
      </c>
      <c r="M587" s="1" t="s">
        <v>43</v>
      </c>
      <c r="N587" s="1" t="s">
        <v>899</v>
      </c>
      <c r="O587">
        <v>214.11</v>
      </c>
      <c r="P587">
        <v>3</v>
      </c>
      <c r="Q587">
        <v>36.398699999999998</v>
      </c>
      <c r="R587" s="1" t="s">
        <v>4423</v>
      </c>
      <c r="S587">
        <v>2015</v>
      </c>
      <c r="T587" s="1" t="s">
        <v>32</v>
      </c>
    </row>
    <row r="588" spans="1:20" x14ac:dyDescent="0.25">
      <c r="A588" s="1" t="s">
        <v>2100</v>
      </c>
      <c r="B588" s="2">
        <v>42324</v>
      </c>
      <c r="C588" s="2">
        <v>42326</v>
      </c>
      <c r="D588" s="1" t="s">
        <v>21</v>
      </c>
      <c r="E588" s="1" t="s">
        <v>1342</v>
      </c>
      <c r="F588" s="1" t="s">
        <v>1343</v>
      </c>
      <c r="G588" s="1" t="s">
        <v>94</v>
      </c>
      <c r="H588" s="1" t="s">
        <v>896</v>
      </c>
      <c r="I588" s="1" t="s">
        <v>230</v>
      </c>
      <c r="J588" s="1" t="s">
        <v>87</v>
      </c>
      <c r="K588" s="1" t="s">
        <v>690</v>
      </c>
      <c r="L588" s="1" t="s">
        <v>29</v>
      </c>
      <c r="M588" s="1" t="s">
        <v>43</v>
      </c>
      <c r="N588" s="1" t="s">
        <v>691</v>
      </c>
      <c r="O588">
        <v>653.54999999999995</v>
      </c>
      <c r="P588">
        <v>3</v>
      </c>
      <c r="Q588">
        <v>111.1035</v>
      </c>
      <c r="R588" s="1" t="s">
        <v>4423</v>
      </c>
      <c r="S588">
        <v>2015</v>
      </c>
      <c r="T588" s="1" t="s">
        <v>32</v>
      </c>
    </row>
    <row r="589" spans="1:20" x14ac:dyDescent="0.25">
      <c r="A589" s="1" t="s">
        <v>2103</v>
      </c>
      <c r="B589" s="2">
        <v>42248</v>
      </c>
      <c r="C589" s="2">
        <v>42255</v>
      </c>
      <c r="D589" s="1" t="s">
        <v>37</v>
      </c>
      <c r="E589" s="1" t="s">
        <v>2104</v>
      </c>
      <c r="F589" s="1" t="s">
        <v>2105</v>
      </c>
      <c r="G589" s="1" t="s">
        <v>94</v>
      </c>
      <c r="H589" s="1" t="s">
        <v>229</v>
      </c>
      <c r="I589" s="1" t="s">
        <v>425</v>
      </c>
      <c r="J589" s="1" t="s">
        <v>63</v>
      </c>
      <c r="K589" s="1" t="s">
        <v>243</v>
      </c>
      <c r="L589" s="1" t="s">
        <v>29</v>
      </c>
      <c r="M589" s="1" t="s">
        <v>34</v>
      </c>
      <c r="N589" s="1" t="s">
        <v>244</v>
      </c>
      <c r="O589">
        <v>60.74</v>
      </c>
      <c r="P589">
        <v>1</v>
      </c>
      <c r="Q589">
        <v>15.185</v>
      </c>
      <c r="R589" s="1" t="s">
        <v>4421</v>
      </c>
      <c r="S589">
        <v>2015</v>
      </c>
      <c r="T589" s="1" t="s">
        <v>72</v>
      </c>
    </row>
    <row r="590" spans="1:20" x14ac:dyDescent="0.25">
      <c r="A590" s="1" t="s">
        <v>2103</v>
      </c>
      <c r="B590" s="2">
        <v>42248</v>
      </c>
      <c r="C590" s="2">
        <v>42255</v>
      </c>
      <c r="D590" s="1" t="s">
        <v>37</v>
      </c>
      <c r="E590" s="1" t="s">
        <v>2104</v>
      </c>
      <c r="F590" s="1" t="s">
        <v>2105</v>
      </c>
      <c r="G590" s="1" t="s">
        <v>94</v>
      </c>
      <c r="H590" s="1" t="s">
        <v>229</v>
      </c>
      <c r="I590" s="1" t="s">
        <v>425</v>
      </c>
      <c r="J590" s="1" t="s">
        <v>63</v>
      </c>
      <c r="K590" s="1" t="s">
        <v>1787</v>
      </c>
      <c r="L590" s="1" t="s">
        <v>29</v>
      </c>
      <c r="M590" s="1" t="s">
        <v>53</v>
      </c>
      <c r="N590" s="1" t="s">
        <v>1788</v>
      </c>
      <c r="O590">
        <v>124.36</v>
      </c>
      <c r="P590">
        <v>2</v>
      </c>
      <c r="Q590">
        <v>27.359200000000001</v>
      </c>
      <c r="R590" s="1" t="s">
        <v>4421</v>
      </c>
      <c r="S590">
        <v>2015</v>
      </c>
      <c r="T590" s="1" t="s">
        <v>72</v>
      </c>
    </row>
    <row r="591" spans="1:20" x14ac:dyDescent="0.25">
      <c r="A591" s="1" t="s">
        <v>2106</v>
      </c>
      <c r="B591" s="2">
        <v>42495</v>
      </c>
      <c r="C591" s="2">
        <v>42498</v>
      </c>
      <c r="D591" s="1" t="s">
        <v>81</v>
      </c>
      <c r="E591" s="1" t="s">
        <v>2107</v>
      </c>
      <c r="F591" s="1" t="s">
        <v>2108</v>
      </c>
      <c r="G591" s="1" t="s">
        <v>24</v>
      </c>
      <c r="H591" s="1" t="s">
        <v>1042</v>
      </c>
      <c r="I591" s="1" t="s">
        <v>50</v>
      </c>
      <c r="J591" s="1" t="s">
        <v>51</v>
      </c>
      <c r="K591" s="1" t="s">
        <v>282</v>
      </c>
      <c r="L591" s="1" t="s">
        <v>29</v>
      </c>
      <c r="M591" s="1" t="s">
        <v>43</v>
      </c>
      <c r="N591" s="1" t="s">
        <v>283</v>
      </c>
      <c r="O591">
        <v>298.77600000000001</v>
      </c>
      <c r="P591">
        <v>3</v>
      </c>
      <c r="Q591">
        <v>7.4694000000000003</v>
      </c>
      <c r="R591" s="1" t="s">
        <v>4420</v>
      </c>
      <c r="S591">
        <v>2016</v>
      </c>
      <c r="T591" s="1" t="s">
        <v>153</v>
      </c>
    </row>
    <row r="592" spans="1:20" x14ac:dyDescent="0.25">
      <c r="A592" s="1" t="s">
        <v>2109</v>
      </c>
      <c r="B592" s="2">
        <v>41907</v>
      </c>
      <c r="C592" s="2">
        <v>41912</v>
      </c>
      <c r="D592" s="1" t="s">
        <v>37</v>
      </c>
      <c r="E592" s="1" t="s">
        <v>531</v>
      </c>
      <c r="F592" s="1" t="s">
        <v>532</v>
      </c>
      <c r="G592" s="1" t="s">
        <v>94</v>
      </c>
      <c r="H592" s="1" t="s">
        <v>95</v>
      </c>
      <c r="I592" s="1" t="s">
        <v>86</v>
      </c>
      <c r="J592" s="1" t="s">
        <v>87</v>
      </c>
      <c r="K592" s="1" t="s">
        <v>727</v>
      </c>
      <c r="L592" s="1" t="s">
        <v>29</v>
      </c>
      <c r="M592" s="1" t="s">
        <v>30</v>
      </c>
      <c r="N592" s="1" t="s">
        <v>728</v>
      </c>
      <c r="O592">
        <v>300.53280000000001</v>
      </c>
      <c r="P592">
        <v>2</v>
      </c>
      <c r="Q592">
        <v>-97.231200000000001</v>
      </c>
      <c r="R592" s="1" t="s">
        <v>4422</v>
      </c>
      <c r="S592">
        <v>2014</v>
      </c>
      <c r="T592" s="1" t="s">
        <v>72</v>
      </c>
    </row>
    <row r="593" spans="1:20" x14ac:dyDescent="0.25">
      <c r="A593" s="1" t="s">
        <v>2110</v>
      </c>
      <c r="B593" s="2">
        <v>41712</v>
      </c>
      <c r="C593" s="2">
        <v>41717</v>
      </c>
      <c r="D593" s="1" t="s">
        <v>37</v>
      </c>
      <c r="E593" s="1" t="s">
        <v>739</v>
      </c>
      <c r="F593" s="1" t="s">
        <v>740</v>
      </c>
      <c r="G593" s="1" t="s">
        <v>94</v>
      </c>
      <c r="H593" s="1" t="s">
        <v>2111</v>
      </c>
      <c r="I593" s="1" t="s">
        <v>707</v>
      </c>
      <c r="J593" s="1" t="s">
        <v>27</v>
      </c>
      <c r="K593" s="1" t="s">
        <v>566</v>
      </c>
      <c r="L593" s="1" t="s">
        <v>29</v>
      </c>
      <c r="M593" s="1" t="s">
        <v>34</v>
      </c>
      <c r="N593" s="1" t="s">
        <v>567</v>
      </c>
      <c r="O593">
        <v>1139.92</v>
      </c>
      <c r="P593">
        <v>4</v>
      </c>
      <c r="Q593">
        <v>284.98</v>
      </c>
      <c r="R593" s="1" t="s">
        <v>4422</v>
      </c>
      <c r="S593">
        <v>2014</v>
      </c>
      <c r="T593" s="1" t="s">
        <v>187</v>
      </c>
    </row>
    <row r="594" spans="1:20" x14ac:dyDescent="0.25">
      <c r="A594" s="1" t="s">
        <v>2112</v>
      </c>
      <c r="B594" s="2">
        <v>42731</v>
      </c>
      <c r="C594" s="2">
        <v>42735</v>
      </c>
      <c r="D594" s="1" t="s">
        <v>37</v>
      </c>
      <c r="E594" s="1" t="s">
        <v>1150</v>
      </c>
      <c r="F594" s="1" t="s">
        <v>1151</v>
      </c>
      <c r="G594" s="1" t="s">
        <v>84</v>
      </c>
      <c r="H594" s="1" t="s">
        <v>2113</v>
      </c>
      <c r="I594" s="1" t="s">
        <v>126</v>
      </c>
      <c r="J594" s="1" t="s">
        <v>87</v>
      </c>
      <c r="K594" s="1" t="s">
        <v>647</v>
      </c>
      <c r="L594" s="1" t="s">
        <v>29</v>
      </c>
      <c r="M594" s="1" t="s">
        <v>34</v>
      </c>
      <c r="N594" s="1" t="s">
        <v>648</v>
      </c>
      <c r="O594">
        <v>845.48800000000006</v>
      </c>
      <c r="P594">
        <v>8</v>
      </c>
      <c r="Q594">
        <v>-12.0784</v>
      </c>
      <c r="R594" s="1" t="s">
        <v>4424</v>
      </c>
      <c r="S594">
        <v>2016</v>
      </c>
      <c r="T594" s="1" t="s">
        <v>90</v>
      </c>
    </row>
    <row r="595" spans="1:20" x14ac:dyDescent="0.25">
      <c r="A595" s="1" t="s">
        <v>2114</v>
      </c>
      <c r="B595" s="2">
        <v>42833</v>
      </c>
      <c r="C595" s="2">
        <v>42840</v>
      </c>
      <c r="D595" s="1" t="s">
        <v>37</v>
      </c>
      <c r="E595" s="1" t="s">
        <v>2115</v>
      </c>
      <c r="F595" s="1" t="s">
        <v>2116</v>
      </c>
      <c r="G595" s="1" t="s">
        <v>84</v>
      </c>
      <c r="H595" s="1" t="s">
        <v>1808</v>
      </c>
      <c r="I595" s="1" t="s">
        <v>658</v>
      </c>
      <c r="J595" s="1" t="s">
        <v>27</v>
      </c>
      <c r="K595" s="1" t="s">
        <v>2117</v>
      </c>
      <c r="L595" s="1" t="s">
        <v>29</v>
      </c>
      <c r="M595" s="1" t="s">
        <v>53</v>
      </c>
      <c r="N595" s="1" t="s">
        <v>2118</v>
      </c>
      <c r="O595">
        <v>56.28</v>
      </c>
      <c r="P595">
        <v>6</v>
      </c>
      <c r="Q595">
        <v>15.7584</v>
      </c>
      <c r="R595" s="1" t="s">
        <v>4421</v>
      </c>
      <c r="S595">
        <v>2017</v>
      </c>
      <c r="T595" s="1" t="s">
        <v>107</v>
      </c>
    </row>
    <row r="596" spans="1:20" x14ac:dyDescent="0.25">
      <c r="A596" s="1" t="s">
        <v>2119</v>
      </c>
      <c r="B596" s="2">
        <v>42448</v>
      </c>
      <c r="C596" s="2">
        <v>42450</v>
      </c>
      <c r="D596" s="1" t="s">
        <v>21</v>
      </c>
      <c r="E596" s="1" t="s">
        <v>1872</v>
      </c>
      <c r="F596" s="1" t="s">
        <v>1873</v>
      </c>
      <c r="G596" s="1" t="s">
        <v>24</v>
      </c>
      <c r="H596" s="1" t="s">
        <v>752</v>
      </c>
      <c r="I596" s="1" t="s">
        <v>114</v>
      </c>
      <c r="J596" s="1" t="s">
        <v>63</v>
      </c>
      <c r="K596" s="1" t="s">
        <v>2120</v>
      </c>
      <c r="L596" s="1" t="s">
        <v>29</v>
      </c>
      <c r="M596" s="1" t="s">
        <v>53</v>
      </c>
      <c r="N596" s="1" t="s">
        <v>2121</v>
      </c>
      <c r="O596">
        <v>14.98</v>
      </c>
      <c r="P596">
        <v>1</v>
      </c>
      <c r="Q596">
        <v>6.8907999999999996</v>
      </c>
      <c r="R596" s="1" t="s">
        <v>4423</v>
      </c>
      <c r="S596">
        <v>2016</v>
      </c>
      <c r="T596" s="1" t="s">
        <v>187</v>
      </c>
    </row>
    <row r="597" spans="1:20" x14ac:dyDescent="0.25">
      <c r="A597" s="1" t="s">
        <v>2119</v>
      </c>
      <c r="B597" s="2">
        <v>42448</v>
      </c>
      <c r="C597" s="2">
        <v>42450</v>
      </c>
      <c r="D597" s="1" t="s">
        <v>21</v>
      </c>
      <c r="E597" s="1" t="s">
        <v>1872</v>
      </c>
      <c r="F597" s="1" t="s">
        <v>1873</v>
      </c>
      <c r="G597" s="1" t="s">
        <v>24</v>
      </c>
      <c r="H597" s="1" t="s">
        <v>752</v>
      </c>
      <c r="I597" s="1" t="s">
        <v>114</v>
      </c>
      <c r="J597" s="1" t="s">
        <v>63</v>
      </c>
      <c r="K597" s="1" t="s">
        <v>652</v>
      </c>
      <c r="L597" s="1" t="s">
        <v>29</v>
      </c>
      <c r="M597" s="1" t="s">
        <v>53</v>
      </c>
      <c r="N597" s="1" t="s">
        <v>653</v>
      </c>
      <c r="O597">
        <v>20.32</v>
      </c>
      <c r="P597">
        <v>4</v>
      </c>
      <c r="Q597">
        <v>6.9088000000000003</v>
      </c>
      <c r="R597" s="1" t="s">
        <v>4423</v>
      </c>
      <c r="S597">
        <v>2016</v>
      </c>
      <c r="T597" s="1" t="s">
        <v>187</v>
      </c>
    </row>
    <row r="598" spans="1:20" x14ac:dyDescent="0.25">
      <c r="A598" s="1" t="s">
        <v>2122</v>
      </c>
      <c r="B598" s="2">
        <v>42608</v>
      </c>
      <c r="C598" s="2">
        <v>42611</v>
      </c>
      <c r="D598" s="1" t="s">
        <v>81</v>
      </c>
      <c r="E598" s="1" t="s">
        <v>389</v>
      </c>
      <c r="F598" s="1" t="s">
        <v>390</v>
      </c>
      <c r="G598" s="1" t="s">
        <v>84</v>
      </c>
      <c r="H598" s="1" t="s">
        <v>630</v>
      </c>
      <c r="I598" s="1" t="s">
        <v>50</v>
      </c>
      <c r="J598" s="1" t="s">
        <v>51</v>
      </c>
      <c r="K598" s="1" t="s">
        <v>550</v>
      </c>
      <c r="L598" s="1" t="s">
        <v>29</v>
      </c>
      <c r="M598" s="1" t="s">
        <v>34</v>
      </c>
      <c r="N598" s="1" t="s">
        <v>551</v>
      </c>
      <c r="O598">
        <v>1603.136</v>
      </c>
      <c r="P598">
        <v>4</v>
      </c>
      <c r="Q598">
        <v>100.196</v>
      </c>
      <c r="R598" s="1" t="s">
        <v>4420</v>
      </c>
      <c r="S598">
        <v>2016</v>
      </c>
      <c r="T598" s="1" t="s">
        <v>245</v>
      </c>
    </row>
    <row r="599" spans="1:20" x14ac:dyDescent="0.25">
      <c r="A599" s="1" t="s">
        <v>2123</v>
      </c>
      <c r="B599" s="2">
        <v>42597</v>
      </c>
      <c r="C599" s="2">
        <v>42599</v>
      </c>
      <c r="D599" s="1" t="s">
        <v>21</v>
      </c>
      <c r="E599" s="1" t="s">
        <v>2124</v>
      </c>
      <c r="F599" s="1" t="s">
        <v>2125</v>
      </c>
      <c r="G599" s="1" t="s">
        <v>24</v>
      </c>
      <c r="H599" s="1" t="s">
        <v>1902</v>
      </c>
      <c r="I599" s="1" t="s">
        <v>1027</v>
      </c>
      <c r="J599" s="1" t="s">
        <v>27</v>
      </c>
      <c r="K599" s="1" t="s">
        <v>1523</v>
      </c>
      <c r="L599" s="1" t="s">
        <v>29</v>
      </c>
      <c r="M599" s="1" t="s">
        <v>34</v>
      </c>
      <c r="N599" s="1" t="s">
        <v>1524</v>
      </c>
      <c r="O599">
        <v>225.29599999999999</v>
      </c>
      <c r="P599">
        <v>2</v>
      </c>
      <c r="Q599">
        <v>22.529599999999999</v>
      </c>
      <c r="R599" s="1" t="s">
        <v>4423</v>
      </c>
      <c r="S599">
        <v>2016</v>
      </c>
      <c r="T599" s="1" t="s">
        <v>245</v>
      </c>
    </row>
    <row r="600" spans="1:20" x14ac:dyDescent="0.25">
      <c r="A600" s="1" t="s">
        <v>2126</v>
      </c>
      <c r="B600" s="2">
        <v>42874</v>
      </c>
      <c r="C600" s="2">
        <v>42878</v>
      </c>
      <c r="D600" s="1" t="s">
        <v>37</v>
      </c>
      <c r="E600" s="1" t="s">
        <v>2127</v>
      </c>
      <c r="F600" s="1" t="s">
        <v>2128</v>
      </c>
      <c r="G600" s="1" t="s">
        <v>24</v>
      </c>
      <c r="H600" s="1" t="s">
        <v>2129</v>
      </c>
      <c r="I600" s="1" t="s">
        <v>658</v>
      </c>
      <c r="J600" s="1" t="s">
        <v>27</v>
      </c>
      <c r="K600" s="1" t="s">
        <v>269</v>
      </c>
      <c r="L600" s="1" t="s">
        <v>29</v>
      </c>
      <c r="M600" s="1" t="s">
        <v>30</v>
      </c>
      <c r="N600" s="1" t="s">
        <v>270</v>
      </c>
      <c r="O600">
        <v>1628.82</v>
      </c>
      <c r="P600">
        <v>9</v>
      </c>
      <c r="Q600">
        <v>374.62860000000001</v>
      </c>
      <c r="R600" s="1" t="s">
        <v>4424</v>
      </c>
      <c r="S600">
        <v>2017</v>
      </c>
      <c r="T600" s="1" t="s">
        <v>153</v>
      </c>
    </row>
    <row r="601" spans="1:20" x14ac:dyDescent="0.25">
      <c r="A601" s="1" t="s">
        <v>2130</v>
      </c>
      <c r="B601" s="2">
        <v>42898</v>
      </c>
      <c r="C601" s="2">
        <v>42905</v>
      </c>
      <c r="D601" s="1" t="s">
        <v>37</v>
      </c>
      <c r="E601" s="1" t="s">
        <v>213</v>
      </c>
      <c r="F601" s="1" t="s">
        <v>214</v>
      </c>
      <c r="G601" s="1" t="s">
        <v>24</v>
      </c>
      <c r="H601" s="1" t="s">
        <v>780</v>
      </c>
      <c r="I601" s="1" t="s">
        <v>41</v>
      </c>
      <c r="J601" s="1" t="s">
        <v>27</v>
      </c>
      <c r="K601" s="1" t="s">
        <v>2131</v>
      </c>
      <c r="L601" s="1" t="s">
        <v>29</v>
      </c>
      <c r="M601" s="1" t="s">
        <v>53</v>
      </c>
      <c r="N601" s="1" t="s">
        <v>2132</v>
      </c>
      <c r="O601">
        <v>17.088000000000001</v>
      </c>
      <c r="P601">
        <v>2</v>
      </c>
      <c r="Q601">
        <v>1.0680000000000001</v>
      </c>
      <c r="R601" s="1" t="s">
        <v>4421</v>
      </c>
      <c r="S601">
        <v>2017</v>
      </c>
      <c r="T601" s="1" t="s">
        <v>55</v>
      </c>
    </row>
    <row r="602" spans="1:20" x14ac:dyDescent="0.25">
      <c r="A602" s="1" t="s">
        <v>2133</v>
      </c>
      <c r="B602" s="2">
        <v>41720</v>
      </c>
      <c r="C602" s="2">
        <v>41724</v>
      </c>
      <c r="D602" s="1" t="s">
        <v>37</v>
      </c>
      <c r="E602" s="1" t="s">
        <v>2134</v>
      </c>
      <c r="F602" s="1" t="s">
        <v>2135</v>
      </c>
      <c r="G602" s="1" t="s">
        <v>84</v>
      </c>
      <c r="H602" s="1" t="s">
        <v>1213</v>
      </c>
      <c r="I602" s="1" t="s">
        <v>511</v>
      </c>
      <c r="J602" s="1" t="s">
        <v>51</v>
      </c>
      <c r="K602" s="1" t="s">
        <v>659</v>
      </c>
      <c r="L602" s="1" t="s">
        <v>29</v>
      </c>
      <c r="M602" s="1" t="s">
        <v>34</v>
      </c>
      <c r="N602" s="1" t="s">
        <v>660</v>
      </c>
      <c r="O602">
        <v>314.35199999999998</v>
      </c>
      <c r="P602">
        <v>3</v>
      </c>
      <c r="Q602">
        <v>-35.364600000000003</v>
      </c>
      <c r="R602" s="1" t="s">
        <v>4424</v>
      </c>
      <c r="S602">
        <v>2014</v>
      </c>
      <c r="T602" s="1" t="s">
        <v>187</v>
      </c>
    </row>
    <row r="603" spans="1:20" x14ac:dyDescent="0.25">
      <c r="A603" s="1" t="s">
        <v>2136</v>
      </c>
      <c r="B603" s="2">
        <v>42390</v>
      </c>
      <c r="C603" s="2">
        <v>42392</v>
      </c>
      <c r="D603" s="1" t="s">
        <v>21</v>
      </c>
      <c r="E603" s="1" t="s">
        <v>2137</v>
      </c>
      <c r="F603" s="1" t="s">
        <v>2138</v>
      </c>
      <c r="G603" s="1" t="s">
        <v>24</v>
      </c>
      <c r="H603" s="1" t="s">
        <v>630</v>
      </c>
      <c r="I603" s="1" t="s">
        <v>50</v>
      </c>
      <c r="J603" s="1" t="s">
        <v>51</v>
      </c>
      <c r="K603" s="1" t="s">
        <v>1270</v>
      </c>
      <c r="L603" s="1" t="s">
        <v>29</v>
      </c>
      <c r="M603" s="1" t="s">
        <v>34</v>
      </c>
      <c r="N603" s="1" t="s">
        <v>1271</v>
      </c>
      <c r="O603">
        <v>153.56800000000001</v>
      </c>
      <c r="P603">
        <v>2</v>
      </c>
      <c r="Q603">
        <v>-5.7587999999999999</v>
      </c>
      <c r="R603" s="1" t="s">
        <v>4423</v>
      </c>
      <c r="S603">
        <v>2016</v>
      </c>
      <c r="T603" s="1" t="s">
        <v>161</v>
      </c>
    </row>
    <row r="604" spans="1:20" x14ac:dyDescent="0.25">
      <c r="A604" s="1" t="s">
        <v>2136</v>
      </c>
      <c r="B604" s="2">
        <v>42390</v>
      </c>
      <c r="C604" s="2">
        <v>42392</v>
      </c>
      <c r="D604" s="1" t="s">
        <v>21</v>
      </c>
      <c r="E604" s="1" t="s">
        <v>2137</v>
      </c>
      <c r="F604" s="1" t="s">
        <v>2138</v>
      </c>
      <c r="G604" s="1" t="s">
        <v>24</v>
      </c>
      <c r="H604" s="1" t="s">
        <v>630</v>
      </c>
      <c r="I604" s="1" t="s">
        <v>50</v>
      </c>
      <c r="J604" s="1" t="s">
        <v>51</v>
      </c>
      <c r="K604" s="1" t="s">
        <v>412</v>
      </c>
      <c r="L604" s="1" t="s">
        <v>29</v>
      </c>
      <c r="M604" s="1" t="s">
        <v>34</v>
      </c>
      <c r="N604" s="1" t="s">
        <v>413</v>
      </c>
      <c r="O604">
        <v>1013.4880000000001</v>
      </c>
      <c r="P604">
        <v>7</v>
      </c>
      <c r="Q604">
        <v>76.011600000000001</v>
      </c>
      <c r="R604" s="1" t="s">
        <v>4423</v>
      </c>
      <c r="S604">
        <v>2016</v>
      </c>
      <c r="T604" s="1" t="s">
        <v>161</v>
      </c>
    </row>
    <row r="605" spans="1:20" x14ac:dyDescent="0.25">
      <c r="A605" s="1" t="s">
        <v>2139</v>
      </c>
      <c r="B605" s="2">
        <v>42685</v>
      </c>
      <c r="C605" s="2">
        <v>42690</v>
      </c>
      <c r="D605" s="1" t="s">
        <v>21</v>
      </c>
      <c r="E605" s="1" t="s">
        <v>2140</v>
      </c>
      <c r="F605" s="1" t="s">
        <v>2141</v>
      </c>
      <c r="G605" s="1" t="s">
        <v>24</v>
      </c>
      <c r="H605" s="1" t="s">
        <v>320</v>
      </c>
      <c r="I605" s="1" t="s">
        <v>50</v>
      </c>
      <c r="J605" s="1" t="s">
        <v>51</v>
      </c>
      <c r="K605" s="1" t="s">
        <v>1062</v>
      </c>
      <c r="L605" s="1" t="s">
        <v>29</v>
      </c>
      <c r="M605" s="1" t="s">
        <v>53</v>
      </c>
      <c r="N605" s="1" t="s">
        <v>1063</v>
      </c>
      <c r="O605">
        <v>6.96</v>
      </c>
      <c r="P605">
        <v>4</v>
      </c>
      <c r="Q605">
        <v>2.2271999999999998</v>
      </c>
      <c r="R605" s="1" t="s">
        <v>4422</v>
      </c>
      <c r="S605">
        <v>2016</v>
      </c>
      <c r="T605" s="1" t="s">
        <v>32</v>
      </c>
    </row>
    <row r="606" spans="1:20" x14ac:dyDescent="0.25">
      <c r="A606" s="1" t="s">
        <v>2142</v>
      </c>
      <c r="B606" s="2">
        <v>42661</v>
      </c>
      <c r="C606" s="2">
        <v>42665</v>
      </c>
      <c r="D606" s="1" t="s">
        <v>37</v>
      </c>
      <c r="E606" s="1" t="s">
        <v>2054</v>
      </c>
      <c r="F606" s="1" t="s">
        <v>2055</v>
      </c>
      <c r="G606" s="1" t="s">
        <v>24</v>
      </c>
      <c r="H606" s="1" t="s">
        <v>2143</v>
      </c>
      <c r="I606" s="1" t="s">
        <v>511</v>
      </c>
      <c r="J606" s="1" t="s">
        <v>51</v>
      </c>
      <c r="K606" s="1" t="s">
        <v>479</v>
      </c>
      <c r="L606" s="1" t="s">
        <v>29</v>
      </c>
      <c r="M606" s="1" t="s">
        <v>34</v>
      </c>
      <c r="N606" s="1" t="s">
        <v>480</v>
      </c>
      <c r="O606">
        <v>307.92</v>
      </c>
      <c r="P606">
        <v>5</v>
      </c>
      <c r="Q606">
        <v>-34.640999999999998</v>
      </c>
      <c r="R606" s="1" t="s">
        <v>4424</v>
      </c>
      <c r="S606">
        <v>2016</v>
      </c>
      <c r="T606" s="1" t="s">
        <v>45</v>
      </c>
    </row>
    <row r="607" spans="1:20" x14ac:dyDescent="0.25">
      <c r="A607" s="1" t="s">
        <v>2144</v>
      </c>
      <c r="B607" s="2">
        <v>41758</v>
      </c>
      <c r="C607" s="2">
        <v>41760</v>
      </c>
      <c r="D607" s="1" t="s">
        <v>21</v>
      </c>
      <c r="E607" s="1" t="s">
        <v>2145</v>
      </c>
      <c r="F607" s="1" t="s">
        <v>2146</v>
      </c>
      <c r="G607" s="1" t="s">
        <v>24</v>
      </c>
      <c r="H607" s="1" t="s">
        <v>2147</v>
      </c>
      <c r="I607" s="1" t="s">
        <v>1397</v>
      </c>
      <c r="J607" s="1" t="s">
        <v>27</v>
      </c>
      <c r="K607" s="1" t="s">
        <v>994</v>
      </c>
      <c r="L607" s="1" t="s">
        <v>29</v>
      </c>
      <c r="M607" s="1" t="s">
        <v>34</v>
      </c>
      <c r="N607" s="1" t="s">
        <v>995</v>
      </c>
      <c r="O607">
        <v>51.96</v>
      </c>
      <c r="P607">
        <v>2</v>
      </c>
      <c r="Q607">
        <v>12.99</v>
      </c>
      <c r="R607" s="1" t="s">
        <v>4423</v>
      </c>
      <c r="S607">
        <v>2014</v>
      </c>
      <c r="T607" s="1" t="s">
        <v>107</v>
      </c>
    </row>
    <row r="608" spans="1:20" x14ac:dyDescent="0.25">
      <c r="A608" s="1" t="s">
        <v>2148</v>
      </c>
      <c r="B608" s="2">
        <v>43031</v>
      </c>
      <c r="C608" s="2">
        <v>43037</v>
      </c>
      <c r="D608" s="1" t="s">
        <v>37</v>
      </c>
      <c r="E608" s="1" t="s">
        <v>1147</v>
      </c>
      <c r="F608" s="1" t="s">
        <v>1148</v>
      </c>
      <c r="G608" s="1" t="s">
        <v>84</v>
      </c>
      <c r="H608" s="1" t="s">
        <v>885</v>
      </c>
      <c r="I608" s="1" t="s">
        <v>114</v>
      </c>
      <c r="J608" s="1" t="s">
        <v>63</v>
      </c>
      <c r="K608" s="1" t="s">
        <v>2149</v>
      </c>
      <c r="L608" s="1" t="s">
        <v>29</v>
      </c>
      <c r="M608" s="1" t="s">
        <v>53</v>
      </c>
      <c r="N608" s="1" t="s">
        <v>2150</v>
      </c>
      <c r="O608">
        <v>69.08</v>
      </c>
      <c r="P608">
        <v>11</v>
      </c>
      <c r="Q608">
        <v>29.0136</v>
      </c>
      <c r="R608" s="1" t="s">
        <v>4426</v>
      </c>
      <c r="S608">
        <v>2017</v>
      </c>
      <c r="T608" s="1" t="s">
        <v>45</v>
      </c>
    </row>
    <row r="609" spans="1:20" x14ac:dyDescent="0.25">
      <c r="A609" s="1" t="s">
        <v>2151</v>
      </c>
      <c r="B609" s="2">
        <v>42120</v>
      </c>
      <c r="C609" s="2">
        <v>42124</v>
      </c>
      <c r="D609" s="1" t="s">
        <v>37</v>
      </c>
      <c r="E609" s="1" t="s">
        <v>1889</v>
      </c>
      <c r="F609" s="1" t="s">
        <v>1890</v>
      </c>
      <c r="G609" s="1" t="s">
        <v>24</v>
      </c>
      <c r="H609" s="1" t="s">
        <v>95</v>
      </c>
      <c r="I609" s="1" t="s">
        <v>86</v>
      </c>
      <c r="J609" s="1" t="s">
        <v>87</v>
      </c>
      <c r="K609" s="1" t="s">
        <v>373</v>
      </c>
      <c r="L609" s="1" t="s">
        <v>29</v>
      </c>
      <c r="M609" s="1" t="s">
        <v>34</v>
      </c>
      <c r="N609" s="1" t="s">
        <v>374</v>
      </c>
      <c r="O609">
        <v>408.42200000000003</v>
      </c>
      <c r="P609">
        <v>2</v>
      </c>
      <c r="Q609">
        <v>-5.8346</v>
      </c>
      <c r="R609" s="1" t="s">
        <v>4424</v>
      </c>
      <c r="S609">
        <v>2015</v>
      </c>
      <c r="T609" s="1" t="s">
        <v>107</v>
      </c>
    </row>
    <row r="610" spans="1:20" x14ac:dyDescent="0.25">
      <c r="A610" s="1" t="s">
        <v>2152</v>
      </c>
      <c r="B610" s="2">
        <v>42548</v>
      </c>
      <c r="C610" s="2">
        <v>42552</v>
      </c>
      <c r="D610" s="1" t="s">
        <v>37</v>
      </c>
      <c r="E610" s="1" t="s">
        <v>1520</v>
      </c>
      <c r="F610" s="1" t="s">
        <v>1521</v>
      </c>
      <c r="G610" s="1" t="s">
        <v>84</v>
      </c>
      <c r="H610" s="1" t="s">
        <v>2153</v>
      </c>
      <c r="I610" s="1" t="s">
        <v>126</v>
      </c>
      <c r="J610" s="1" t="s">
        <v>87</v>
      </c>
      <c r="K610" s="1" t="s">
        <v>1591</v>
      </c>
      <c r="L610" s="1" t="s">
        <v>29</v>
      </c>
      <c r="M610" s="1" t="s">
        <v>34</v>
      </c>
      <c r="N610" s="1" t="s">
        <v>1592</v>
      </c>
      <c r="O610">
        <v>539.65800000000002</v>
      </c>
      <c r="P610">
        <v>3</v>
      </c>
      <c r="Q610">
        <v>-7.7093999999999996</v>
      </c>
      <c r="R610" s="1" t="s">
        <v>4424</v>
      </c>
      <c r="S610">
        <v>2016</v>
      </c>
      <c r="T610" s="1" t="s">
        <v>55</v>
      </c>
    </row>
    <row r="611" spans="1:20" x14ac:dyDescent="0.25">
      <c r="A611" s="1" t="s">
        <v>2154</v>
      </c>
      <c r="B611" s="2">
        <v>42697</v>
      </c>
      <c r="C611" s="2">
        <v>42697</v>
      </c>
      <c r="D611" s="1" t="s">
        <v>417</v>
      </c>
      <c r="E611" s="1" t="s">
        <v>2155</v>
      </c>
      <c r="F611" s="1" t="s">
        <v>2156</v>
      </c>
      <c r="G611" s="1" t="s">
        <v>84</v>
      </c>
      <c r="H611" s="1" t="s">
        <v>61</v>
      </c>
      <c r="I611" s="1" t="s">
        <v>62</v>
      </c>
      <c r="J611" s="1" t="s">
        <v>63</v>
      </c>
      <c r="K611" s="1" t="s">
        <v>1442</v>
      </c>
      <c r="L611" s="1" t="s">
        <v>29</v>
      </c>
      <c r="M611" s="1" t="s">
        <v>53</v>
      </c>
      <c r="N611" s="1" t="s">
        <v>1443</v>
      </c>
      <c r="O611">
        <v>14.368</v>
      </c>
      <c r="P611">
        <v>2</v>
      </c>
      <c r="Q611">
        <v>3.9512</v>
      </c>
      <c r="R611" s="1" t="s">
        <v>4427</v>
      </c>
      <c r="S611">
        <v>2016</v>
      </c>
      <c r="T611" s="1" t="s">
        <v>32</v>
      </c>
    </row>
    <row r="612" spans="1:20" x14ac:dyDescent="0.25">
      <c r="A612" s="1" t="s">
        <v>2154</v>
      </c>
      <c r="B612" s="2">
        <v>42697</v>
      </c>
      <c r="C612" s="2">
        <v>42697</v>
      </c>
      <c r="D612" s="1" t="s">
        <v>417</v>
      </c>
      <c r="E612" s="1" t="s">
        <v>2155</v>
      </c>
      <c r="F612" s="1" t="s">
        <v>2156</v>
      </c>
      <c r="G612" s="1" t="s">
        <v>84</v>
      </c>
      <c r="H612" s="1" t="s">
        <v>61</v>
      </c>
      <c r="I612" s="1" t="s">
        <v>62</v>
      </c>
      <c r="J612" s="1" t="s">
        <v>63</v>
      </c>
      <c r="K612" s="1" t="s">
        <v>1259</v>
      </c>
      <c r="L612" s="1" t="s">
        <v>29</v>
      </c>
      <c r="M612" s="1" t="s">
        <v>53</v>
      </c>
      <c r="N612" s="1" t="s">
        <v>1260</v>
      </c>
      <c r="O612">
        <v>70.447999999999993</v>
      </c>
      <c r="P612">
        <v>7</v>
      </c>
      <c r="Q612">
        <v>12.3284</v>
      </c>
      <c r="R612" s="1" t="s">
        <v>4427</v>
      </c>
      <c r="S612">
        <v>2016</v>
      </c>
      <c r="T612" s="1" t="s">
        <v>32</v>
      </c>
    </row>
    <row r="613" spans="1:20" x14ac:dyDescent="0.25">
      <c r="A613" s="1" t="s">
        <v>2157</v>
      </c>
      <c r="B613" s="2">
        <v>41884</v>
      </c>
      <c r="C613" s="2">
        <v>41887</v>
      </c>
      <c r="D613" s="1" t="s">
        <v>81</v>
      </c>
      <c r="E613" s="1" t="s">
        <v>2158</v>
      </c>
      <c r="F613" s="1" t="s">
        <v>2159</v>
      </c>
      <c r="G613" s="1" t="s">
        <v>24</v>
      </c>
      <c r="H613" s="1" t="s">
        <v>1356</v>
      </c>
      <c r="I613" s="1" t="s">
        <v>114</v>
      </c>
      <c r="J613" s="1" t="s">
        <v>63</v>
      </c>
      <c r="K613" s="1" t="s">
        <v>2160</v>
      </c>
      <c r="L613" s="1" t="s">
        <v>29</v>
      </c>
      <c r="M613" s="1" t="s">
        <v>53</v>
      </c>
      <c r="N613" s="1" t="s">
        <v>2161</v>
      </c>
      <c r="O613">
        <v>70.709999999999994</v>
      </c>
      <c r="P613">
        <v>1</v>
      </c>
      <c r="Q613">
        <v>4.9497</v>
      </c>
      <c r="R613" s="1" t="s">
        <v>4420</v>
      </c>
      <c r="S613">
        <v>2014</v>
      </c>
      <c r="T613" s="1" t="s">
        <v>72</v>
      </c>
    </row>
    <row r="614" spans="1:20" x14ac:dyDescent="0.25">
      <c r="A614" s="1" t="s">
        <v>2162</v>
      </c>
      <c r="B614" s="2">
        <v>42926</v>
      </c>
      <c r="C614" s="2">
        <v>42930</v>
      </c>
      <c r="D614" s="1" t="s">
        <v>21</v>
      </c>
      <c r="E614" s="1" t="s">
        <v>2163</v>
      </c>
      <c r="F614" s="1" t="s">
        <v>2164</v>
      </c>
      <c r="G614" s="1" t="s">
        <v>24</v>
      </c>
      <c r="H614" s="1" t="s">
        <v>339</v>
      </c>
      <c r="I614" s="1" t="s">
        <v>658</v>
      </c>
      <c r="J614" s="1" t="s">
        <v>27</v>
      </c>
      <c r="K614" s="1" t="s">
        <v>2149</v>
      </c>
      <c r="L614" s="1" t="s">
        <v>29</v>
      </c>
      <c r="M614" s="1" t="s">
        <v>53</v>
      </c>
      <c r="N614" s="1" t="s">
        <v>2150</v>
      </c>
      <c r="O614">
        <v>18.84</v>
      </c>
      <c r="P614">
        <v>3</v>
      </c>
      <c r="Q614">
        <v>7.9127999999999998</v>
      </c>
      <c r="R614" s="1" t="s">
        <v>4424</v>
      </c>
      <c r="S614">
        <v>2017</v>
      </c>
      <c r="T614" s="1" t="s">
        <v>66</v>
      </c>
    </row>
    <row r="615" spans="1:20" x14ac:dyDescent="0.25">
      <c r="A615" s="1" t="s">
        <v>2165</v>
      </c>
      <c r="B615" s="2">
        <v>43057</v>
      </c>
      <c r="C615" s="2">
        <v>43063</v>
      </c>
      <c r="D615" s="1" t="s">
        <v>37</v>
      </c>
      <c r="E615" s="1" t="s">
        <v>1273</v>
      </c>
      <c r="F615" s="1" t="s">
        <v>1274</v>
      </c>
      <c r="G615" s="1" t="s">
        <v>94</v>
      </c>
      <c r="H615" s="1" t="s">
        <v>2166</v>
      </c>
      <c r="I615" s="1" t="s">
        <v>281</v>
      </c>
      <c r="J615" s="1" t="s">
        <v>87</v>
      </c>
      <c r="K615" s="1" t="s">
        <v>793</v>
      </c>
      <c r="L615" s="1" t="s">
        <v>29</v>
      </c>
      <c r="M615" s="1" t="s">
        <v>53</v>
      </c>
      <c r="N615" s="1" t="s">
        <v>794</v>
      </c>
      <c r="O615">
        <v>19.760000000000002</v>
      </c>
      <c r="P615">
        <v>4</v>
      </c>
      <c r="Q615">
        <v>8.2992000000000008</v>
      </c>
      <c r="R615" s="1" t="s">
        <v>4426</v>
      </c>
      <c r="S615">
        <v>2017</v>
      </c>
      <c r="T615" s="1" t="s">
        <v>32</v>
      </c>
    </row>
    <row r="616" spans="1:20" x14ac:dyDescent="0.25">
      <c r="A616" s="1" t="s">
        <v>2167</v>
      </c>
      <c r="B616" s="2">
        <v>42224</v>
      </c>
      <c r="C616" s="2">
        <v>42224</v>
      </c>
      <c r="D616" s="1" t="s">
        <v>417</v>
      </c>
      <c r="E616" s="1" t="s">
        <v>2168</v>
      </c>
      <c r="F616" s="1" t="s">
        <v>2169</v>
      </c>
      <c r="G616" s="1" t="s">
        <v>24</v>
      </c>
      <c r="H616" s="1" t="s">
        <v>320</v>
      </c>
      <c r="I616" s="1" t="s">
        <v>50</v>
      </c>
      <c r="J616" s="1" t="s">
        <v>51</v>
      </c>
      <c r="K616" s="1" t="s">
        <v>412</v>
      </c>
      <c r="L616" s="1" t="s">
        <v>29</v>
      </c>
      <c r="M616" s="1" t="s">
        <v>34</v>
      </c>
      <c r="N616" s="1" t="s">
        <v>413</v>
      </c>
      <c r="O616">
        <v>144.78399999999999</v>
      </c>
      <c r="P616">
        <v>1</v>
      </c>
      <c r="Q616">
        <v>10.8588</v>
      </c>
      <c r="R616" s="1" t="s">
        <v>4427</v>
      </c>
      <c r="S616">
        <v>2015</v>
      </c>
      <c r="T616" s="1" t="s">
        <v>245</v>
      </c>
    </row>
    <row r="617" spans="1:20" x14ac:dyDescent="0.25">
      <c r="A617" s="1" t="s">
        <v>2170</v>
      </c>
      <c r="B617" s="2">
        <v>42819</v>
      </c>
      <c r="C617" s="2">
        <v>42825</v>
      </c>
      <c r="D617" s="1" t="s">
        <v>37</v>
      </c>
      <c r="E617" s="1" t="s">
        <v>666</v>
      </c>
      <c r="F617" s="1" t="s">
        <v>667</v>
      </c>
      <c r="G617" s="1" t="s">
        <v>84</v>
      </c>
      <c r="H617" s="1" t="s">
        <v>896</v>
      </c>
      <c r="I617" s="1" t="s">
        <v>230</v>
      </c>
      <c r="J617" s="1" t="s">
        <v>87</v>
      </c>
      <c r="K617" s="1" t="s">
        <v>2171</v>
      </c>
      <c r="L617" s="1" t="s">
        <v>29</v>
      </c>
      <c r="M617" s="1" t="s">
        <v>34</v>
      </c>
      <c r="N617" s="1" t="s">
        <v>2172</v>
      </c>
      <c r="O617">
        <v>90.99</v>
      </c>
      <c r="P617">
        <v>1</v>
      </c>
      <c r="Q617">
        <v>14.558400000000001</v>
      </c>
      <c r="R617" s="1" t="s">
        <v>4426</v>
      </c>
      <c r="S617">
        <v>2017</v>
      </c>
      <c r="T617" s="1" t="s">
        <v>187</v>
      </c>
    </row>
    <row r="618" spans="1:20" x14ac:dyDescent="0.25">
      <c r="A618" s="1" t="s">
        <v>2170</v>
      </c>
      <c r="B618" s="2">
        <v>42819</v>
      </c>
      <c r="C618" s="2">
        <v>42825</v>
      </c>
      <c r="D618" s="1" t="s">
        <v>37</v>
      </c>
      <c r="E618" s="1" t="s">
        <v>666</v>
      </c>
      <c r="F618" s="1" t="s">
        <v>667</v>
      </c>
      <c r="G618" s="1" t="s">
        <v>84</v>
      </c>
      <c r="H618" s="1" t="s">
        <v>896</v>
      </c>
      <c r="I618" s="1" t="s">
        <v>230</v>
      </c>
      <c r="J618" s="1" t="s">
        <v>87</v>
      </c>
      <c r="K618" s="1" t="s">
        <v>807</v>
      </c>
      <c r="L618" s="1" t="s">
        <v>29</v>
      </c>
      <c r="M618" s="1" t="s">
        <v>34</v>
      </c>
      <c r="N618" s="1" t="s">
        <v>808</v>
      </c>
      <c r="O618">
        <v>1526.56</v>
      </c>
      <c r="P618">
        <v>7</v>
      </c>
      <c r="Q618">
        <v>427.43680000000001</v>
      </c>
      <c r="R618" s="1" t="s">
        <v>4426</v>
      </c>
      <c r="S618">
        <v>2017</v>
      </c>
      <c r="T618" s="1" t="s">
        <v>187</v>
      </c>
    </row>
    <row r="619" spans="1:20" x14ac:dyDescent="0.25">
      <c r="A619" s="1" t="s">
        <v>2170</v>
      </c>
      <c r="B619" s="2">
        <v>42819</v>
      </c>
      <c r="C619" s="2">
        <v>42825</v>
      </c>
      <c r="D619" s="1" t="s">
        <v>37</v>
      </c>
      <c r="E619" s="1" t="s">
        <v>666</v>
      </c>
      <c r="F619" s="1" t="s">
        <v>667</v>
      </c>
      <c r="G619" s="1" t="s">
        <v>84</v>
      </c>
      <c r="H619" s="1" t="s">
        <v>896</v>
      </c>
      <c r="I619" s="1" t="s">
        <v>230</v>
      </c>
      <c r="J619" s="1" t="s">
        <v>87</v>
      </c>
      <c r="K619" s="1" t="s">
        <v>1019</v>
      </c>
      <c r="L619" s="1" t="s">
        <v>29</v>
      </c>
      <c r="M619" s="1" t="s">
        <v>34</v>
      </c>
      <c r="N619" s="1" t="s">
        <v>1020</v>
      </c>
      <c r="O619">
        <v>368.97</v>
      </c>
      <c r="P619">
        <v>3</v>
      </c>
      <c r="Q619">
        <v>40.5867</v>
      </c>
      <c r="R619" s="1" t="s">
        <v>4426</v>
      </c>
      <c r="S619">
        <v>2017</v>
      </c>
      <c r="T619" s="1" t="s">
        <v>187</v>
      </c>
    </row>
    <row r="620" spans="1:20" x14ac:dyDescent="0.25">
      <c r="A620" s="1" t="s">
        <v>2173</v>
      </c>
      <c r="B620" s="2">
        <v>43058</v>
      </c>
      <c r="C620" s="2">
        <v>43063</v>
      </c>
      <c r="D620" s="1" t="s">
        <v>37</v>
      </c>
      <c r="E620" s="1" t="s">
        <v>1363</v>
      </c>
      <c r="F620" s="1" t="s">
        <v>1364</v>
      </c>
      <c r="G620" s="1" t="s">
        <v>24</v>
      </c>
      <c r="H620" s="1" t="s">
        <v>49</v>
      </c>
      <c r="I620" s="1" t="s">
        <v>50</v>
      </c>
      <c r="J620" s="1" t="s">
        <v>51</v>
      </c>
      <c r="K620" s="1" t="s">
        <v>2174</v>
      </c>
      <c r="L620" s="1" t="s">
        <v>29</v>
      </c>
      <c r="M620" s="1" t="s">
        <v>53</v>
      </c>
      <c r="N620" s="1" t="s">
        <v>2175</v>
      </c>
      <c r="O620">
        <v>18.7</v>
      </c>
      <c r="P620">
        <v>1</v>
      </c>
      <c r="Q620">
        <v>7.1059999999999999</v>
      </c>
      <c r="R620" s="1" t="s">
        <v>4422</v>
      </c>
      <c r="S620">
        <v>2017</v>
      </c>
      <c r="T620" s="1" t="s">
        <v>32</v>
      </c>
    </row>
    <row r="621" spans="1:20" x14ac:dyDescent="0.25">
      <c r="A621" s="1" t="s">
        <v>2176</v>
      </c>
      <c r="B621" s="2">
        <v>42678</v>
      </c>
      <c r="C621" s="2">
        <v>42679</v>
      </c>
      <c r="D621" s="1" t="s">
        <v>81</v>
      </c>
      <c r="E621" s="1" t="s">
        <v>2177</v>
      </c>
      <c r="F621" s="1" t="s">
        <v>2178</v>
      </c>
      <c r="G621" s="1" t="s">
        <v>24</v>
      </c>
      <c r="H621" s="1" t="s">
        <v>320</v>
      </c>
      <c r="I621" s="1" t="s">
        <v>50</v>
      </c>
      <c r="J621" s="1" t="s">
        <v>51</v>
      </c>
      <c r="K621" s="1" t="s">
        <v>611</v>
      </c>
      <c r="L621" s="1" t="s">
        <v>29</v>
      </c>
      <c r="M621" s="1" t="s">
        <v>53</v>
      </c>
      <c r="N621" s="1" t="s">
        <v>612</v>
      </c>
      <c r="O621">
        <v>38.29</v>
      </c>
      <c r="P621">
        <v>7</v>
      </c>
      <c r="Q621">
        <v>16.464700000000001</v>
      </c>
      <c r="R621" s="1" t="s">
        <v>4425</v>
      </c>
      <c r="S621">
        <v>2016</v>
      </c>
      <c r="T621" s="1" t="s">
        <v>32</v>
      </c>
    </row>
    <row r="622" spans="1:20" x14ac:dyDescent="0.25">
      <c r="A622" s="1" t="s">
        <v>2179</v>
      </c>
      <c r="B622" s="2">
        <v>43083</v>
      </c>
      <c r="C622" s="2">
        <v>43087</v>
      </c>
      <c r="D622" s="1" t="s">
        <v>37</v>
      </c>
      <c r="E622" s="1" t="s">
        <v>1342</v>
      </c>
      <c r="F622" s="1" t="s">
        <v>1343</v>
      </c>
      <c r="G622" s="1" t="s">
        <v>94</v>
      </c>
      <c r="H622" s="1" t="s">
        <v>630</v>
      </c>
      <c r="I622" s="1" t="s">
        <v>50</v>
      </c>
      <c r="J622" s="1" t="s">
        <v>51</v>
      </c>
      <c r="K622" s="1" t="s">
        <v>2180</v>
      </c>
      <c r="L622" s="1" t="s">
        <v>29</v>
      </c>
      <c r="M622" s="1" t="s">
        <v>53</v>
      </c>
      <c r="N622" s="1" t="s">
        <v>2181</v>
      </c>
      <c r="O622">
        <v>26.25</v>
      </c>
      <c r="P622">
        <v>3</v>
      </c>
      <c r="Q622">
        <v>11.025</v>
      </c>
      <c r="R622" s="1" t="s">
        <v>4424</v>
      </c>
      <c r="S622">
        <v>2017</v>
      </c>
      <c r="T622" s="1" t="s">
        <v>90</v>
      </c>
    </row>
    <row r="623" spans="1:20" x14ac:dyDescent="0.25">
      <c r="A623" s="1" t="s">
        <v>2182</v>
      </c>
      <c r="B623" s="2">
        <v>43051</v>
      </c>
      <c r="C623" s="2">
        <v>43051</v>
      </c>
      <c r="D623" s="1" t="s">
        <v>417</v>
      </c>
      <c r="E623" s="1" t="s">
        <v>2183</v>
      </c>
      <c r="F623" s="1" t="s">
        <v>2184</v>
      </c>
      <c r="G623" s="1" t="s">
        <v>94</v>
      </c>
      <c r="H623" s="1" t="s">
        <v>1293</v>
      </c>
      <c r="I623" s="1" t="s">
        <v>511</v>
      </c>
      <c r="J623" s="1" t="s">
        <v>51</v>
      </c>
      <c r="K623" s="1" t="s">
        <v>2185</v>
      </c>
      <c r="L623" s="1" t="s">
        <v>29</v>
      </c>
      <c r="M623" s="1" t="s">
        <v>34</v>
      </c>
      <c r="N623" s="1" t="s">
        <v>2186</v>
      </c>
      <c r="O623">
        <v>113.88800000000001</v>
      </c>
      <c r="P623">
        <v>2</v>
      </c>
      <c r="Q623">
        <v>9.9651999999999994</v>
      </c>
      <c r="R623" s="1" t="s">
        <v>4427</v>
      </c>
      <c r="S623">
        <v>2017</v>
      </c>
      <c r="T623" s="1" t="s">
        <v>32</v>
      </c>
    </row>
    <row r="624" spans="1:20" x14ac:dyDescent="0.25">
      <c r="A624" s="1" t="s">
        <v>2182</v>
      </c>
      <c r="B624" s="2">
        <v>43051</v>
      </c>
      <c r="C624" s="2">
        <v>43051</v>
      </c>
      <c r="D624" s="1" t="s">
        <v>417</v>
      </c>
      <c r="E624" s="1" t="s">
        <v>2183</v>
      </c>
      <c r="F624" s="1" t="s">
        <v>2184</v>
      </c>
      <c r="G624" s="1" t="s">
        <v>94</v>
      </c>
      <c r="H624" s="1" t="s">
        <v>1293</v>
      </c>
      <c r="I624" s="1" t="s">
        <v>511</v>
      </c>
      <c r="J624" s="1" t="s">
        <v>51</v>
      </c>
      <c r="K624" s="1" t="s">
        <v>2187</v>
      </c>
      <c r="L624" s="1" t="s">
        <v>29</v>
      </c>
      <c r="M624" s="1" t="s">
        <v>53</v>
      </c>
      <c r="N624" s="1" t="s">
        <v>2188</v>
      </c>
      <c r="O624">
        <v>113.568</v>
      </c>
      <c r="P624">
        <v>2</v>
      </c>
      <c r="Q624">
        <v>-5.6783999999999999</v>
      </c>
      <c r="R624" s="1" t="s">
        <v>4427</v>
      </c>
      <c r="S624">
        <v>2017</v>
      </c>
      <c r="T624" s="1" t="s">
        <v>32</v>
      </c>
    </row>
    <row r="625" spans="1:20" x14ac:dyDescent="0.25">
      <c r="A625" s="1" t="s">
        <v>2189</v>
      </c>
      <c r="B625" s="2">
        <v>42913</v>
      </c>
      <c r="C625" s="2">
        <v>42920</v>
      </c>
      <c r="D625" s="1" t="s">
        <v>37</v>
      </c>
      <c r="E625" s="1" t="s">
        <v>2190</v>
      </c>
      <c r="F625" s="1" t="s">
        <v>2191</v>
      </c>
      <c r="G625" s="1" t="s">
        <v>94</v>
      </c>
      <c r="H625" s="1" t="s">
        <v>1356</v>
      </c>
      <c r="I625" s="1" t="s">
        <v>114</v>
      </c>
      <c r="J625" s="1" t="s">
        <v>63</v>
      </c>
      <c r="K625" s="1" t="s">
        <v>581</v>
      </c>
      <c r="L625" s="1" t="s">
        <v>29</v>
      </c>
      <c r="M625" s="1" t="s">
        <v>34</v>
      </c>
      <c r="N625" s="1" t="s">
        <v>582</v>
      </c>
      <c r="O625">
        <v>191.64599999999999</v>
      </c>
      <c r="P625">
        <v>3</v>
      </c>
      <c r="Q625">
        <v>31.940999999999999</v>
      </c>
      <c r="R625" s="1" t="s">
        <v>4421</v>
      </c>
      <c r="S625">
        <v>2017</v>
      </c>
      <c r="T625" s="1" t="s">
        <v>55</v>
      </c>
    </row>
    <row r="626" spans="1:20" x14ac:dyDescent="0.25">
      <c r="A626" s="1" t="s">
        <v>2192</v>
      </c>
      <c r="B626" s="2">
        <v>43085</v>
      </c>
      <c r="C626" s="2">
        <v>43090</v>
      </c>
      <c r="D626" s="1" t="s">
        <v>21</v>
      </c>
      <c r="E626" s="1" t="s">
        <v>2193</v>
      </c>
      <c r="F626" s="1" t="s">
        <v>2194</v>
      </c>
      <c r="G626" s="1" t="s">
        <v>84</v>
      </c>
      <c r="H626" s="1" t="s">
        <v>752</v>
      </c>
      <c r="I626" s="1" t="s">
        <v>50</v>
      </c>
      <c r="J626" s="1" t="s">
        <v>51</v>
      </c>
      <c r="K626" s="1" t="s">
        <v>64</v>
      </c>
      <c r="L626" s="1" t="s">
        <v>29</v>
      </c>
      <c r="M626" s="1" t="s">
        <v>34</v>
      </c>
      <c r="N626" s="1" t="s">
        <v>65</v>
      </c>
      <c r="O626">
        <v>81.567999999999998</v>
      </c>
      <c r="P626">
        <v>2</v>
      </c>
      <c r="Q626">
        <v>9.1763999999999992</v>
      </c>
      <c r="R626" s="1" t="s">
        <v>4422</v>
      </c>
      <c r="S626">
        <v>2017</v>
      </c>
      <c r="T626" s="1" t="s">
        <v>90</v>
      </c>
    </row>
    <row r="627" spans="1:20" x14ac:dyDescent="0.25">
      <c r="A627" s="1" t="s">
        <v>2192</v>
      </c>
      <c r="B627" s="2">
        <v>43085</v>
      </c>
      <c r="C627" s="2">
        <v>43090</v>
      </c>
      <c r="D627" s="1" t="s">
        <v>21</v>
      </c>
      <c r="E627" s="1" t="s">
        <v>2193</v>
      </c>
      <c r="F627" s="1" t="s">
        <v>2194</v>
      </c>
      <c r="G627" s="1" t="s">
        <v>84</v>
      </c>
      <c r="H627" s="1" t="s">
        <v>752</v>
      </c>
      <c r="I627" s="1" t="s">
        <v>50</v>
      </c>
      <c r="J627" s="1" t="s">
        <v>51</v>
      </c>
      <c r="K627" s="1" t="s">
        <v>243</v>
      </c>
      <c r="L627" s="1" t="s">
        <v>29</v>
      </c>
      <c r="M627" s="1" t="s">
        <v>34</v>
      </c>
      <c r="N627" s="1" t="s">
        <v>244</v>
      </c>
      <c r="O627">
        <v>97.183999999999997</v>
      </c>
      <c r="P627">
        <v>2</v>
      </c>
      <c r="Q627">
        <v>6.0739999999999998</v>
      </c>
      <c r="R627" s="1" t="s">
        <v>4422</v>
      </c>
      <c r="S627">
        <v>2017</v>
      </c>
      <c r="T627" s="1" t="s">
        <v>90</v>
      </c>
    </row>
    <row r="628" spans="1:20" x14ac:dyDescent="0.25">
      <c r="A628" s="1" t="s">
        <v>2192</v>
      </c>
      <c r="B628" s="2">
        <v>43085</v>
      </c>
      <c r="C628" s="2">
        <v>43090</v>
      </c>
      <c r="D628" s="1" t="s">
        <v>21</v>
      </c>
      <c r="E628" s="1" t="s">
        <v>2193</v>
      </c>
      <c r="F628" s="1" t="s">
        <v>2194</v>
      </c>
      <c r="G628" s="1" t="s">
        <v>84</v>
      </c>
      <c r="H628" s="1" t="s">
        <v>752</v>
      </c>
      <c r="I628" s="1" t="s">
        <v>50</v>
      </c>
      <c r="J628" s="1" t="s">
        <v>51</v>
      </c>
      <c r="K628" s="1" t="s">
        <v>2195</v>
      </c>
      <c r="L628" s="1" t="s">
        <v>29</v>
      </c>
      <c r="M628" s="1" t="s">
        <v>53</v>
      </c>
      <c r="N628" s="1" t="s">
        <v>2196</v>
      </c>
      <c r="O628">
        <v>18.96</v>
      </c>
      <c r="P628">
        <v>2</v>
      </c>
      <c r="Q628">
        <v>7.5839999999999996</v>
      </c>
      <c r="R628" s="1" t="s">
        <v>4422</v>
      </c>
      <c r="S628">
        <v>2017</v>
      </c>
      <c r="T628" s="1" t="s">
        <v>90</v>
      </c>
    </row>
    <row r="629" spans="1:20" x14ac:dyDescent="0.25">
      <c r="A629" s="1" t="s">
        <v>2197</v>
      </c>
      <c r="B629" s="2">
        <v>42000</v>
      </c>
      <c r="C629" s="2">
        <v>42004</v>
      </c>
      <c r="D629" s="1" t="s">
        <v>37</v>
      </c>
      <c r="E629" s="1" t="s">
        <v>2198</v>
      </c>
      <c r="F629" s="1" t="s">
        <v>2199</v>
      </c>
      <c r="G629" s="1" t="s">
        <v>24</v>
      </c>
      <c r="H629" s="1" t="s">
        <v>2200</v>
      </c>
      <c r="I629" s="1" t="s">
        <v>126</v>
      </c>
      <c r="J629" s="1" t="s">
        <v>87</v>
      </c>
      <c r="K629" s="1" t="s">
        <v>1281</v>
      </c>
      <c r="L629" s="1" t="s">
        <v>29</v>
      </c>
      <c r="M629" s="1" t="s">
        <v>53</v>
      </c>
      <c r="N629" s="1" t="s">
        <v>1282</v>
      </c>
      <c r="O629">
        <v>32.951999999999998</v>
      </c>
      <c r="P629">
        <v>6</v>
      </c>
      <c r="Q629">
        <v>-19.7712</v>
      </c>
      <c r="R629" s="1" t="s">
        <v>4424</v>
      </c>
      <c r="S629">
        <v>2014</v>
      </c>
      <c r="T629" s="1" t="s">
        <v>90</v>
      </c>
    </row>
    <row r="630" spans="1:20" x14ac:dyDescent="0.25">
      <c r="A630" s="1" t="s">
        <v>2201</v>
      </c>
      <c r="B630" s="2">
        <v>43045</v>
      </c>
      <c r="C630" s="2">
        <v>43048</v>
      </c>
      <c r="D630" s="1" t="s">
        <v>21</v>
      </c>
      <c r="E630" s="1" t="s">
        <v>2202</v>
      </c>
      <c r="F630" s="1" t="s">
        <v>2203</v>
      </c>
      <c r="G630" s="1" t="s">
        <v>24</v>
      </c>
      <c r="H630" s="1" t="s">
        <v>1902</v>
      </c>
      <c r="I630" s="1" t="s">
        <v>1027</v>
      </c>
      <c r="J630" s="1" t="s">
        <v>27</v>
      </c>
      <c r="K630" s="1" t="s">
        <v>1980</v>
      </c>
      <c r="L630" s="1" t="s">
        <v>29</v>
      </c>
      <c r="M630" s="1" t="s">
        <v>53</v>
      </c>
      <c r="N630" s="1" t="s">
        <v>1981</v>
      </c>
      <c r="O630">
        <v>28.271999999999998</v>
      </c>
      <c r="P630">
        <v>2</v>
      </c>
      <c r="Q630">
        <v>6.3612000000000002</v>
      </c>
      <c r="R630" s="1" t="s">
        <v>4420</v>
      </c>
      <c r="S630">
        <v>2017</v>
      </c>
      <c r="T630" s="1" t="s">
        <v>32</v>
      </c>
    </row>
    <row r="631" spans="1:20" x14ac:dyDescent="0.25">
      <c r="A631" s="1" t="s">
        <v>2204</v>
      </c>
      <c r="B631" s="2">
        <v>42131</v>
      </c>
      <c r="C631" s="2">
        <v>42136</v>
      </c>
      <c r="D631" s="1" t="s">
        <v>37</v>
      </c>
      <c r="E631" s="1" t="s">
        <v>440</v>
      </c>
      <c r="F631" s="1" t="s">
        <v>441</v>
      </c>
      <c r="G631" s="1" t="s">
        <v>24</v>
      </c>
      <c r="H631" s="1" t="s">
        <v>2205</v>
      </c>
      <c r="I631" s="1" t="s">
        <v>86</v>
      </c>
      <c r="J631" s="1" t="s">
        <v>87</v>
      </c>
      <c r="K631" s="1" t="s">
        <v>775</v>
      </c>
      <c r="L631" s="1" t="s">
        <v>29</v>
      </c>
      <c r="M631" s="1" t="s">
        <v>43</v>
      </c>
      <c r="N631" s="1" t="s">
        <v>776</v>
      </c>
      <c r="O631">
        <v>244.006</v>
      </c>
      <c r="P631">
        <v>2</v>
      </c>
      <c r="Q631">
        <v>-31.372199999999999</v>
      </c>
      <c r="R631" s="1" t="s">
        <v>4422</v>
      </c>
      <c r="S631">
        <v>2015</v>
      </c>
      <c r="T631" s="1" t="s">
        <v>153</v>
      </c>
    </row>
    <row r="632" spans="1:20" x14ac:dyDescent="0.25">
      <c r="A632" s="1" t="s">
        <v>2206</v>
      </c>
      <c r="B632" s="2">
        <v>43073</v>
      </c>
      <c r="C632" s="2">
        <v>43073</v>
      </c>
      <c r="D632" s="1" t="s">
        <v>417</v>
      </c>
      <c r="E632" s="1" t="s">
        <v>2207</v>
      </c>
      <c r="F632" s="1" t="s">
        <v>2208</v>
      </c>
      <c r="G632" s="1" t="s">
        <v>84</v>
      </c>
      <c r="H632" s="1" t="s">
        <v>61</v>
      </c>
      <c r="I632" s="1" t="s">
        <v>62</v>
      </c>
      <c r="J632" s="1" t="s">
        <v>63</v>
      </c>
      <c r="K632" s="1" t="s">
        <v>2209</v>
      </c>
      <c r="L632" s="1" t="s">
        <v>29</v>
      </c>
      <c r="M632" s="1" t="s">
        <v>34</v>
      </c>
      <c r="N632" s="1" t="s">
        <v>2210</v>
      </c>
      <c r="O632">
        <v>188.55199999999999</v>
      </c>
      <c r="P632">
        <v>7</v>
      </c>
      <c r="Q632">
        <v>-2.6936</v>
      </c>
      <c r="R632" s="1" t="s">
        <v>4427</v>
      </c>
      <c r="S632">
        <v>2017</v>
      </c>
      <c r="T632" s="1" t="s">
        <v>90</v>
      </c>
    </row>
    <row r="633" spans="1:20" x14ac:dyDescent="0.25">
      <c r="A633" s="1" t="s">
        <v>2211</v>
      </c>
      <c r="B633" s="2">
        <v>41652</v>
      </c>
      <c r="C633" s="2">
        <v>41655</v>
      </c>
      <c r="D633" s="1" t="s">
        <v>21</v>
      </c>
      <c r="E633" s="1" t="s">
        <v>1426</v>
      </c>
      <c r="F633" s="1" t="s">
        <v>1427</v>
      </c>
      <c r="G633" s="1" t="s">
        <v>24</v>
      </c>
      <c r="H633" s="1" t="s">
        <v>2212</v>
      </c>
      <c r="I633" s="1" t="s">
        <v>150</v>
      </c>
      <c r="J633" s="1" t="s">
        <v>27</v>
      </c>
      <c r="K633" s="1" t="s">
        <v>2171</v>
      </c>
      <c r="L633" s="1" t="s">
        <v>29</v>
      </c>
      <c r="M633" s="1" t="s">
        <v>34</v>
      </c>
      <c r="N633" s="1" t="s">
        <v>2172</v>
      </c>
      <c r="O633">
        <v>545.94000000000005</v>
      </c>
      <c r="P633">
        <v>6</v>
      </c>
      <c r="Q633">
        <v>87.350399999999993</v>
      </c>
      <c r="R633" s="1" t="s">
        <v>4420</v>
      </c>
      <c r="S633">
        <v>2014</v>
      </c>
      <c r="T633" s="1" t="s">
        <v>161</v>
      </c>
    </row>
    <row r="634" spans="1:20" x14ac:dyDescent="0.25">
      <c r="A634" s="1" t="s">
        <v>2213</v>
      </c>
      <c r="B634" s="2">
        <v>42167</v>
      </c>
      <c r="C634" s="2">
        <v>42172</v>
      </c>
      <c r="D634" s="1" t="s">
        <v>37</v>
      </c>
      <c r="E634" s="1" t="s">
        <v>2214</v>
      </c>
      <c r="F634" s="1" t="s">
        <v>2215</v>
      </c>
      <c r="G634" s="1" t="s">
        <v>24</v>
      </c>
      <c r="H634" s="1" t="s">
        <v>61</v>
      </c>
      <c r="I634" s="1" t="s">
        <v>62</v>
      </c>
      <c r="J634" s="1" t="s">
        <v>63</v>
      </c>
      <c r="K634" s="1" t="s">
        <v>1700</v>
      </c>
      <c r="L634" s="1" t="s">
        <v>29</v>
      </c>
      <c r="M634" s="1" t="s">
        <v>53</v>
      </c>
      <c r="N634" s="1" t="s">
        <v>1701</v>
      </c>
      <c r="O634">
        <v>43.295999999999999</v>
      </c>
      <c r="P634">
        <v>2</v>
      </c>
      <c r="Q634">
        <v>4.3296000000000001</v>
      </c>
      <c r="R634" s="1" t="s">
        <v>4422</v>
      </c>
      <c r="S634">
        <v>2015</v>
      </c>
      <c r="T634" s="1" t="s">
        <v>55</v>
      </c>
    </row>
    <row r="635" spans="1:20" x14ac:dyDescent="0.25">
      <c r="A635" s="1" t="s">
        <v>2216</v>
      </c>
      <c r="B635" s="2">
        <v>41832</v>
      </c>
      <c r="C635" s="2">
        <v>41838</v>
      </c>
      <c r="D635" s="1" t="s">
        <v>37</v>
      </c>
      <c r="E635" s="1" t="s">
        <v>2217</v>
      </c>
      <c r="F635" s="1" t="s">
        <v>2218</v>
      </c>
      <c r="G635" s="1" t="s">
        <v>24</v>
      </c>
      <c r="H635" s="1" t="s">
        <v>183</v>
      </c>
      <c r="I635" s="1" t="s">
        <v>184</v>
      </c>
      <c r="J635" s="1" t="s">
        <v>51</v>
      </c>
      <c r="K635" s="1" t="s">
        <v>2209</v>
      </c>
      <c r="L635" s="1" t="s">
        <v>29</v>
      </c>
      <c r="M635" s="1" t="s">
        <v>34</v>
      </c>
      <c r="N635" s="1" t="s">
        <v>2210</v>
      </c>
      <c r="O635">
        <v>123.136</v>
      </c>
      <c r="P635">
        <v>4</v>
      </c>
      <c r="Q635">
        <v>13.8528</v>
      </c>
      <c r="R635" s="1" t="s">
        <v>4426</v>
      </c>
      <c r="S635">
        <v>2014</v>
      </c>
      <c r="T635" s="1" t="s">
        <v>66</v>
      </c>
    </row>
    <row r="636" spans="1:20" x14ac:dyDescent="0.25">
      <c r="A636" s="1" t="s">
        <v>2219</v>
      </c>
      <c r="B636" s="2">
        <v>41979</v>
      </c>
      <c r="C636" s="2">
        <v>41984</v>
      </c>
      <c r="D636" s="1" t="s">
        <v>21</v>
      </c>
      <c r="E636" s="1" t="s">
        <v>595</v>
      </c>
      <c r="F636" s="1" t="s">
        <v>596</v>
      </c>
      <c r="G636" s="1" t="s">
        <v>24</v>
      </c>
      <c r="H636" s="1" t="s">
        <v>869</v>
      </c>
      <c r="I636" s="1" t="s">
        <v>1508</v>
      </c>
      <c r="J636" s="1" t="s">
        <v>51</v>
      </c>
      <c r="K636" s="1" t="s">
        <v>1714</v>
      </c>
      <c r="L636" s="1" t="s">
        <v>29</v>
      </c>
      <c r="M636" s="1" t="s">
        <v>43</v>
      </c>
      <c r="N636" s="1" t="s">
        <v>1715</v>
      </c>
      <c r="O636">
        <v>275.49</v>
      </c>
      <c r="P636">
        <v>1</v>
      </c>
      <c r="Q636">
        <v>-170.8038</v>
      </c>
      <c r="R636" s="1" t="s">
        <v>4422</v>
      </c>
      <c r="S636">
        <v>2014</v>
      </c>
      <c r="T636" s="1" t="s">
        <v>90</v>
      </c>
    </row>
    <row r="637" spans="1:20" x14ac:dyDescent="0.25">
      <c r="A637" s="1" t="s">
        <v>2220</v>
      </c>
      <c r="B637" s="2">
        <v>42515</v>
      </c>
      <c r="C637" s="2">
        <v>42520</v>
      </c>
      <c r="D637" s="1" t="s">
        <v>37</v>
      </c>
      <c r="E637" s="1" t="s">
        <v>2221</v>
      </c>
      <c r="F637" s="1" t="s">
        <v>2222</v>
      </c>
      <c r="G637" s="1" t="s">
        <v>94</v>
      </c>
      <c r="H637" s="1" t="s">
        <v>339</v>
      </c>
      <c r="I637" s="1" t="s">
        <v>658</v>
      </c>
      <c r="J637" s="1" t="s">
        <v>27</v>
      </c>
      <c r="K637" s="1" t="s">
        <v>2223</v>
      </c>
      <c r="L637" s="1" t="s">
        <v>29</v>
      </c>
      <c r="M637" s="1" t="s">
        <v>53</v>
      </c>
      <c r="N637" s="1" t="s">
        <v>2224</v>
      </c>
      <c r="O637">
        <v>24.96</v>
      </c>
      <c r="P637">
        <v>4</v>
      </c>
      <c r="Q637">
        <v>6.24</v>
      </c>
      <c r="R637" s="1" t="s">
        <v>4422</v>
      </c>
      <c r="S637">
        <v>2016</v>
      </c>
      <c r="T637" s="1" t="s">
        <v>153</v>
      </c>
    </row>
    <row r="638" spans="1:20" x14ac:dyDescent="0.25">
      <c r="A638" s="1" t="s">
        <v>2225</v>
      </c>
      <c r="B638" s="2">
        <v>41811</v>
      </c>
      <c r="C638" s="2">
        <v>41815</v>
      </c>
      <c r="D638" s="1" t="s">
        <v>37</v>
      </c>
      <c r="E638" s="1" t="s">
        <v>2226</v>
      </c>
      <c r="F638" s="1" t="s">
        <v>2227</v>
      </c>
      <c r="G638" s="1" t="s">
        <v>24</v>
      </c>
      <c r="H638" s="1" t="s">
        <v>61</v>
      </c>
      <c r="I638" s="1" t="s">
        <v>62</v>
      </c>
      <c r="J638" s="1" t="s">
        <v>63</v>
      </c>
      <c r="K638" s="1" t="s">
        <v>2228</v>
      </c>
      <c r="L638" s="1" t="s">
        <v>29</v>
      </c>
      <c r="M638" s="1" t="s">
        <v>53</v>
      </c>
      <c r="N638" s="1" t="s">
        <v>2229</v>
      </c>
      <c r="O638">
        <v>3.984</v>
      </c>
      <c r="P638">
        <v>1</v>
      </c>
      <c r="Q638">
        <v>0.64739999999999998</v>
      </c>
      <c r="R638" s="1" t="s">
        <v>4424</v>
      </c>
      <c r="S638">
        <v>2014</v>
      </c>
      <c r="T638" s="1" t="s">
        <v>55</v>
      </c>
    </row>
    <row r="639" spans="1:20" x14ac:dyDescent="0.25">
      <c r="A639" s="1" t="s">
        <v>2230</v>
      </c>
      <c r="B639" s="2">
        <v>42709</v>
      </c>
      <c r="C639" s="2">
        <v>42710</v>
      </c>
      <c r="D639" s="1" t="s">
        <v>81</v>
      </c>
      <c r="E639" s="1" t="s">
        <v>1562</v>
      </c>
      <c r="F639" s="1" t="s">
        <v>1563</v>
      </c>
      <c r="G639" s="1" t="s">
        <v>24</v>
      </c>
      <c r="H639" s="1" t="s">
        <v>2231</v>
      </c>
      <c r="I639" s="1" t="s">
        <v>26</v>
      </c>
      <c r="J639" s="1" t="s">
        <v>27</v>
      </c>
      <c r="K639" s="1" t="s">
        <v>1746</v>
      </c>
      <c r="L639" s="1" t="s">
        <v>29</v>
      </c>
      <c r="M639" s="1" t="s">
        <v>53</v>
      </c>
      <c r="N639" s="1" t="s">
        <v>1747</v>
      </c>
      <c r="O639">
        <v>191.82</v>
      </c>
      <c r="P639">
        <v>3</v>
      </c>
      <c r="Q639">
        <v>74.809799999999996</v>
      </c>
      <c r="R639" s="1" t="s">
        <v>4425</v>
      </c>
      <c r="S639">
        <v>2016</v>
      </c>
      <c r="T639" s="1" t="s">
        <v>90</v>
      </c>
    </row>
    <row r="640" spans="1:20" x14ac:dyDescent="0.25">
      <c r="A640" s="1" t="s">
        <v>2232</v>
      </c>
      <c r="B640" s="2">
        <v>42264</v>
      </c>
      <c r="C640" s="2">
        <v>42268</v>
      </c>
      <c r="D640" s="1" t="s">
        <v>37</v>
      </c>
      <c r="E640" s="1" t="s">
        <v>207</v>
      </c>
      <c r="F640" s="1" t="s">
        <v>208</v>
      </c>
      <c r="G640" s="1" t="s">
        <v>94</v>
      </c>
      <c r="H640" s="1" t="s">
        <v>165</v>
      </c>
      <c r="I640" s="1" t="s">
        <v>114</v>
      </c>
      <c r="J640" s="1" t="s">
        <v>63</v>
      </c>
      <c r="K640" s="1" t="s">
        <v>913</v>
      </c>
      <c r="L640" s="1" t="s">
        <v>29</v>
      </c>
      <c r="M640" s="1" t="s">
        <v>43</v>
      </c>
      <c r="N640" s="1" t="s">
        <v>914</v>
      </c>
      <c r="O640">
        <v>344.22</v>
      </c>
      <c r="P640">
        <v>2</v>
      </c>
      <c r="Q640">
        <v>-103.26600000000001</v>
      </c>
      <c r="R640" s="1" t="s">
        <v>4424</v>
      </c>
      <c r="S640">
        <v>2015</v>
      </c>
      <c r="T640" s="1" t="s">
        <v>72</v>
      </c>
    </row>
    <row r="641" spans="1:20" x14ac:dyDescent="0.25">
      <c r="A641" s="1" t="s">
        <v>2233</v>
      </c>
      <c r="B641" s="2">
        <v>42605</v>
      </c>
      <c r="C641" s="2">
        <v>42612</v>
      </c>
      <c r="D641" s="1" t="s">
        <v>37</v>
      </c>
      <c r="E641" s="1" t="s">
        <v>1135</v>
      </c>
      <c r="F641" s="1" t="s">
        <v>1136</v>
      </c>
      <c r="G641" s="1" t="s">
        <v>94</v>
      </c>
      <c r="H641" s="1" t="s">
        <v>2234</v>
      </c>
      <c r="I641" s="1" t="s">
        <v>86</v>
      </c>
      <c r="J641" s="1" t="s">
        <v>87</v>
      </c>
      <c r="K641" s="1" t="s">
        <v>1533</v>
      </c>
      <c r="L641" s="1" t="s">
        <v>29</v>
      </c>
      <c r="M641" s="1" t="s">
        <v>53</v>
      </c>
      <c r="N641" s="1" t="s">
        <v>1534</v>
      </c>
      <c r="O641">
        <v>22.608000000000001</v>
      </c>
      <c r="P641">
        <v>3</v>
      </c>
      <c r="Q641">
        <v>-10.1736</v>
      </c>
      <c r="R641" s="1" t="s">
        <v>4421</v>
      </c>
      <c r="S641">
        <v>2016</v>
      </c>
      <c r="T641" s="1" t="s">
        <v>245</v>
      </c>
    </row>
    <row r="642" spans="1:20" x14ac:dyDescent="0.25">
      <c r="A642" s="1" t="s">
        <v>2235</v>
      </c>
      <c r="B642" s="2">
        <v>42316</v>
      </c>
      <c r="C642" s="2">
        <v>42322</v>
      </c>
      <c r="D642" s="1" t="s">
        <v>37</v>
      </c>
      <c r="E642" s="1" t="s">
        <v>498</v>
      </c>
      <c r="F642" s="1" t="s">
        <v>499</v>
      </c>
      <c r="G642" s="1" t="s">
        <v>24</v>
      </c>
      <c r="H642" s="1" t="s">
        <v>2236</v>
      </c>
      <c r="I642" s="1" t="s">
        <v>71</v>
      </c>
      <c r="J642" s="1" t="s">
        <v>51</v>
      </c>
      <c r="K642" s="1" t="s">
        <v>821</v>
      </c>
      <c r="L642" s="1" t="s">
        <v>29</v>
      </c>
      <c r="M642" s="1" t="s">
        <v>53</v>
      </c>
      <c r="N642" s="1" t="s">
        <v>822</v>
      </c>
      <c r="O642">
        <v>66.69</v>
      </c>
      <c r="P642">
        <v>3</v>
      </c>
      <c r="Q642">
        <v>22.0077</v>
      </c>
      <c r="R642" s="1" t="s">
        <v>4426</v>
      </c>
      <c r="S642">
        <v>2015</v>
      </c>
      <c r="T642" s="1" t="s">
        <v>32</v>
      </c>
    </row>
    <row r="643" spans="1:20" x14ac:dyDescent="0.25">
      <c r="A643" s="1" t="s">
        <v>2237</v>
      </c>
      <c r="B643" s="2">
        <v>43056</v>
      </c>
      <c r="C643" s="2">
        <v>43062</v>
      </c>
      <c r="D643" s="1" t="s">
        <v>37</v>
      </c>
      <c r="E643" s="1" t="s">
        <v>2238</v>
      </c>
      <c r="F643" s="1" t="s">
        <v>2239</v>
      </c>
      <c r="G643" s="1" t="s">
        <v>24</v>
      </c>
      <c r="H643" s="1" t="s">
        <v>2240</v>
      </c>
      <c r="I643" s="1" t="s">
        <v>86</v>
      </c>
      <c r="J643" s="1" t="s">
        <v>87</v>
      </c>
      <c r="K643" s="1" t="s">
        <v>1766</v>
      </c>
      <c r="L643" s="1" t="s">
        <v>29</v>
      </c>
      <c r="M643" s="1" t="s">
        <v>30</v>
      </c>
      <c r="N643" s="1" t="s">
        <v>1767</v>
      </c>
      <c r="O643">
        <v>327.7328</v>
      </c>
      <c r="P643">
        <v>2</v>
      </c>
      <c r="Q643">
        <v>-14.4588</v>
      </c>
      <c r="R643" s="1" t="s">
        <v>4426</v>
      </c>
      <c r="S643">
        <v>2017</v>
      </c>
      <c r="T643" s="1" t="s">
        <v>32</v>
      </c>
    </row>
    <row r="644" spans="1:20" x14ac:dyDescent="0.25">
      <c r="A644" s="1" t="s">
        <v>2241</v>
      </c>
      <c r="B644" s="2">
        <v>42847</v>
      </c>
      <c r="C644" s="2">
        <v>42851</v>
      </c>
      <c r="D644" s="1" t="s">
        <v>37</v>
      </c>
      <c r="E644" s="1" t="s">
        <v>650</v>
      </c>
      <c r="F644" s="1" t="s">
        <v>651</v>
      </c>
      <c r="G644" s="1" t="s">
        <v>94</v>
      </c>
      <c r="H644" s="1" t="s">
        <v>61</v>
      </c>
      <c r="I644" s="1" t="s">
        <v>62</v>
      </c>
      <c r="J644" s="1" t="s">
        <v>63</v>
      </c>
      <c r="K644" s="1" t="s">
        <v>1382</v>
      </c>
      <c r="L644" s="1" t="s">
        <v>29</v>
      </c>
      <c r="M644" s="1" t="s">
        <v>53</v>
      </c>
      <c r="N644" s="1" t="s">
        <v>1383</v>
      </c>
      <c r="O644">
        <v>254.352</v>
      </c>
      <c r="P644">
        <v>3</v>
      </c>
      <c r="Q644">
        <v>0</v>
      </c>
      <c r="R644" s="1" t="s">
        <v>4424</v>
      </c>
      <c r="S644">
        <v>2017</v>
      </c>
      <c r="T644" s="1" t="s">
        <v>107</v>
      </c>
    </row>
    <row r="645" spans="1:20" x14ac:dyDescent="0.25">
      <c r="A645" s="1" t="s">
        <v>2242</v>
      </c>
      <c r="B645" s="2">
        <v>43086</v>
      </c>
      <c r="C645" s="2">
        <v>43090</v>
      </c>
      <c r="D645" s="1" t="s">
        <v>37</v>
      </c>
      <c r="E645" s="1" t="s">
        <v>1325</v>
      </c>
      <c r="F645" s="1" t="s">
        <v>1326</v>
      </c>
      <c r="G645" s="1" t="s">
        <v>24</v>
      </c>
      <c r="H645" s="1" t="s">
        <v>2111</v>
      </c>
      <c r="I645" s="1" t="s">
        <v>707</v>
      </c>
      <c r="J645" s="1" t="s">
        <v>27</v>
      </c>
      <c r="K645" s="1" t="s">
        <v>1177</v>
      </c>
      <c r="L645" s="1" t="s">
        <v>29</v>
      </c>
      <c r="M645" s="1" t="s">
        <v>34</v>
      </c>
      <c r="N645" s="1" t="s">
        <v>1178</v>
      </c>
      <c r="O645">
        <v>504.9</v>
      </c>
      <c r="P645">
        <v>5</v>
      </c>
      <c r="Q645">
        <v>80.784000000000006</v>
      </c>
      <c r="R645" s="1" t="s">
        <v>4424</v>
      </c>
      <c r="S645">
        <v>2017</v>
      </c>
      <c r="T645" s="1" t="s">
        <v>90</v>
      </c>
    </row>
    <row r="646" spans="1:20" x14ac:dyDescent="0.25">
      <c r="A646" s="1" t="s">
        <v>2243</v>
      </c>
      <c r="B646" s="2">
        <v>42268</v>
      </c>
      <c r="C646" s="2">
        <v>42274</v>
      </c>
      <c r="D646" s="1" t="s">
        <v>37</v>
      </c>
      <c r="E646" s="1" t="s">
        <v>2244</v>
      </c>
      <c r="F646" s="1" t="s">
        <v>2245</v>
      </c>
      <c r="G646" s="1" t="s">
        <v>84</v>
      </c>
      <c r="H646" s="1" t="s">
        <v>2246</v>
      </c>
      <c r="I646" s="1" t="s">
        <v>281</v>
      </c>
      <c r="J646" s="1" t="s">
        <v>87</v>
      </c>
      <c r="K646" s="1" t="s">
        <v>1594</v>
      </c>
      <c r="L646" s="1" t="s">
        <v>29</v>
      </c>
      <c r="M646" s="1" t="s">
        <v>30</v>
      </c>
      <c r="N646" s="1" t="s">
        <v>1595</v>
      </c>
      <c r="O646">
        <v>194.32</v>
      </c>
      <c r="P646">
        <v>4</v>
      </c>
      <c r="Q646">
        <v>31.091200000000001</v>
      </c>
      <c r="R646" s="1" t="s">
        <v>4426</v>
      </c>
      <c r="S646">
        <v>2015</v>
      </c>
      <c r="T646" s="1" t="s">
        <v>72</v>
      </c>
    </row>
    <row r="647" spans="1:20" x14ac:dyDescent="0.25">
      <c r="A647" s="1" t="s">
        <v>2247</v>
      </c>
      <c r="B647" s="2">
        <v>42695</v>
      </c>
      <c r="C647" s="2">
        <v>42700</v>
      </c>
      <c r="D647" s="1" t="s">
        <v>37</v>
      </c>
      <c r="E647" s="1" t="s">
        <v>2248</v>
      </c>
      <c r="F647" s="1" t="s">
        <v>2249</v>
      </c>
      <c r="G647" s="1" t="s">
        <v>24</v>
      </c>
      <c r="H647" s="1" t="s">
        <v>2250</v>
      </c>
      <c r="I647" s="1" t="s">
        <v>1508</v>
      </c>
      <c r="J647" s="1" t="s">
        <v>51</v>
      </c>
      <c r="K647" s="1" t="s">
        <v>1647</v>
      </c>
      <c r="L647" s="1" t="s">
        <v>29</v>
      </c>
      <c r="M647" s="1" t="s">
        <v>34</v>
      </c>
      <c r="N647" s="1" t="s">
        <v>1648</v>
      </c>
      <c r="O647">
        <v>195.136</v>
      </c>
      <c r="P647">
        <v>4</v>
      </c>
      <c r="Q647">
        <v>-12.196</v>
      </c>
      <c r="R647" s="1" t="s">
        <v>4422</v>
      </c>
      <c r="S647">
        <v>2016</v>
      </c>
      <c r="T647" s="1" t="s">
        <v>32</v>
      </c>
    </row>
    <row r="648" spans="1:20" x14ac:dyDescent="0.25">
      <c r="A648" s="1" t="s">
        <v>2251</v>
      </c>
      <c r="B648" s="2">
        <v>42166</v>
      </c>
      <c r="C648" s="2">
        <v>42171</v>
      </c>
      <c r="D648" s="1" t="s">
        <v>37</v>
      </c>
      <c r="E648" s="1" t="s">
        <v>1051</v>
      </c>
      <c r="F648" s="1" t="s">
        <v>1052</v>
      </c>
      <c r="G648" s="1" t="s">
        <v>24</v>
      </c>
      <c r="H648" s="1" t="s">
        <v>1026</v>
      </c>
      <c r="I648" s="1" t="s">
        <v>1397</v>
      </c>
      <c r="J648" s="1" t="s">
        <v>27</v>
      </c>
      <c r="K648" s="1" t="s">
        <v>2252</v>
      </c>
      <c r="L648" s="1" t="s">
        <v>29</v>
      </c>
      <c r="M648" s="1" t="s">
        <v>53</v>
      </c>
      <c r="N648" s="1" t="s">
        <v>2253</v>
      </c>
      <c r="O648">
        <v>29.16</v>
      </c>
      <c r="P648">
        <v>2</v>
      </c>
      <c r="Q648">
        <v>10.789199999999999</v>
      </c>
      <c r="R648" s="1" t="s">
        <v>4422</v>
      </c>
      <c r="S648">
        <v>2015</v>
      </c>
      <c r="T648" s="1" t="s">
        <v>55</v>
      </c>
    </row>
    <row r="649" spans="1:20" x14ac:dyDescent="0.25">
      <c r="A649" s="1" t="s">
        <v>2254</v>
      </c>
      <c r="B649" s="2">
        <v>43011</v>
      </c>
      <c r="C649" s="2">
        <v>43016</v>
      </c>
      <c r="D649" s="1" t="s">
        <v>37</v>
      </c>
      <c r="E649" s="1" t="s">
        <v>2255</v>
      </c>
      <c r="F649" s="1" t="s">
        <v>2256</v>
      </c>
      <c r="G649" s="1" t="s">
        <v>84</v>
      </c>
      <c r="H649" s="1" t="s">
        <v>1176</v>
      </c>
      <c r="I649" s="1" t="s">
        <v>50</v>
      </c>
      <c r="J649" s="1" t="s">
        <v>51</v>
      </c>
      <c r="K649" s="1" t="s">
        <v>898</v>
      </c>
      <c r="L649" s="1" t="s">
        <v>29</v>
      </c>
      <c r="M649" s="1" t="s">
        <v>43</v>
      </c>
      <c r="N649" s="1" t="s">
        <v>899</v>
      </c>
      <c r="O649">
        <v>171.28800000000001</v>
      </c>
      <c r="P649">
        <v>3</v>
      </c>
      <c r="Q649">
        <v>-6.4233000000000002</v>
      </c>
      <c r="R649" s="1" t="s">
        <v>4422</v>
      </c>
      <c r="S649">
        <v>2017</v>
      </c>
      <c r="T649" s="1" t="s">
        <v>45</v>
      </c>
    </row>
    <row r="650" spans="1:20" x14ac:dyDescent="0.25">
      <c r="A650" s="1" t="s">
        <v>2257</v>
      </c>
      <c r="B650" s="2">
        <v>42495</v>
      </c>
      <c r="C650" s="2">
        <v>42499</v>
      </c>
      <c r="D650" s="1" t="s">
        <v>37</v>
      </c>
      <c r="E650" s="1" t="s">
        <v>2258</v>
      </c>
      <c r="F650" s="1" t="s">
        <v>2259</v>
      </c>
      <c r="G650" s="1" t="s">
        <v>24</v>
      </c>
      <c r="H650" s="1" t="s">
        <v>2260</v>
      </c>
      <c r="I650" s="1" t="s">
        <v>133</v>
      </c>
      <c r="J650" s="1" t="s">
        <v>27</v>
      </c>
      <c r="K650" s="1" t="s">
        <v>1302</v>
      </c>
      <c r="L650" s="1" t="s">
        <v>29</v>
      </c>
      <c r="M650" s="1" t="s">
        <v>53</v>
      </c>
      <c r="N650" s="1" t="s">
        <v>1303</v>
      </c>
      <c r="O650">
        <v>16.72</v>
      </c>
      <c r="P650">
        <v>5</v>
      </c>
      <c r="Q650">
        <v>3.3439999999999999</v>
      </c>
      <c r="R650" s="1" t="s">
        <v>4424</v>
      </c>
      <c r="S650">
        <v>2016</v>
      </c>
      <c r="T650" s="1" t="s">
        <v>153</v>
      </c>
    </row>
    <row r="651" spans="1:20" x14ac:dyDescent="0.25">
      <c r="A651" s="1" t="s">
        <v>2261</v>
      </c>
      <c r="B651" s="2">
        <v>42989</v>
      </c>
      <c r="C651" s="2">
        <v>42990</v>
      </c>
      <c r="D651" s="1" t="s">
        <v>417</v>
      </c>
      <c r="E651" s="1" t="s">
        <v>2262</v>
      </c>
      <c r="F651" s="1" t="s">
        <v>2263</v>
      </c>
      <c r="G651" s="1" t="s">
        <v>94</v>
      </c>
      <c r="H651" s="1" t="s">
        <v>721</v>
      </c>
      <c r="I651" s="1" t="s">
        <v>50</v>
      </c>
      <c r="J651" s="1" t="s">
        <v>51</v>
      </c>
      <c r="K651" s="1" t="s">
        <v>2264</v>
      </c>
      <c r="L651" s="1" t="s">
        <v>29</v>
      </c>
      <c r="M651" s="1" t="s">
        <v>34</v>
      </c>
      <c r="N651" s="1" t="s">
        <v>2265</v>
      </c>
      <c r="O651">
        <v>2054.2719999999999</v>
      </c>
      <c r="P651">
        <v>8</v>
      </c>
      <c r="Q651">
        <v>256.78399999999999</v>
      </c>
      <c r="R651" s="1" t="s">
        <v>4425</v>
      </c>
      <c r="S651">
        <v>2017</v>
      </c>
      <c r="T651" s="1" t="s">
        <v>72</v>
      </c>
    </row>
    <row r="652" spans="1:20" x14ac:dyDescent="0.25">
      <c r="A652" s="1" t="s">
        <v>2266</v>
      </c>
      <c r="B652" s="2">
        <v>42827</v>
      </c>
      <c r="C652" s="2">
        <v>42829</v>
      </c>
      <c r="D652" s="1" t="s">
        <v>81</v>
      </c>
      <c r="E652" s="1" t="s">
        <v>2267</v>
      </c>
      <c r="F652" s="1" t="s">
        <v>2268</v>
      </c>
      <c r="G652" s="1" t="s">
        <v>94</v>
      </c>
      <c r="H652" s="1" t="s">
        <v>339</v>
      </c>
      <c r="I652" s="1" t="s">
        <v>658</v>
      </c>
      <c r="J652" s="1" t="s">
        <v>27</v>
      </c>
      <c r="K652" s="1" t="s">
        <v>204</v>
      </c>
      <c r="L652" s="1" t="s">
        <v>29</v>
      </c>
      <c r="M652" s="1" t="s">
        <v>43</v>
      </c>
      <c r="N652" s="1" t="s">
        <v>205</v>
      </c>
      <c r="O652">
        <v>411.8</v>
      </c>
      <c r="P652">
        <v>2</v>
      </c>
      <c r="Q652">
        <v>70.006</v>
      </c>
      <c r="R652" s="1" t="s">
        <v>4423</v>
      </c>
      <c r="S652">
        <v>2017</v>
      </c>
      <c r="T652" s="1" t="s">
        <v>107</v>
      </c>
    </row>
    <row r="653" spans="1:20" x14ac:dyDescent="0.25">
      <c r="A653" s="1" t="s">
        <v>2269</v>
      </c>
      <c r="B653" s="2">
        <v>43014</v>
      </c>
      <c r="C653" s="2">
        <v>43019</v>
      </c>
      <c r="D653" s="1" t="s">
        <v>37</v>
      </c>
      <c r="E653" s="1" t="s">
        <v>337</v>
      </c>
      <c r="F653" s="1" t="s">
        <v>338</v>
      </c>
      <c r="G653" s="1" t="s">
        <v>94</v>
      </c>
      <c r="H653" s="1" t="s">
        <v>2270</v>
      </c>
      <c r="I653" s="1" t="s">
        <v>2271</v>
      </c>
      <c r="J653" s="1" t="s">
        <v>51</v>
      </c>
      <c r="K653" s="1" t="s">
        <v>2272</v>
      </c>
      <c r="L653" s="1" t="s">
        <v>29</v>
      </c>
      <c r="M653" s="1" t="s">
        <v>53</v>
      </c>
      <c r="N653" s="1" t="s">
        <v>2273</v>
      </c>
      <c r="O653">
        <v>41.96</v>
      </c>
      <c r="P653">
        <v>2</v>
      </c>
      <c r="Q653">
        <v>2.9371999999999998</v>
      </c>
      <c r="R653" s="1" t="s">
        <v>4422</v>
      </c>
      <c r="S653">
        <v>2017</v>
      </c>
      <c r="T653" s="1" t="s">
        <v>45</v>
      </c>
    </row>
    <row r="654" spans="1:20" x14ac:dyDescent="0.25">
      <c r="A654" s="1" t="s">
        <v>2274</v>
      </c>
      <c r="B654" s="2">
        <v>43027</v>
      </c>
      <c r="C654" s="2">
        <v>43032</v>
      </c>
      <c r="D654" s="1" t="s">
        <v>21</v>
      </c>
      <c r="E654" s="1" t="s">
        <v>2275</v>
      </c>
      <c r="F654" s="1" t="s">
        <v>2276</v>
      </c>
      <c r="G654" s="1" t="s">
        <v>84</v>
      </c>
      <c r="H654" s="1" t="s">
        <v>320</v>
      </c>
      <c r="I654" s="1" t="s">
        <v>50</v>
      </c>
      <c r="J654" s="1" t="s">
        <v>51</v>
      </c>
      <c r="K654" s="1" t="s">
        <v>861</v>
      </c>
      <c r="L654" s="1" t="s">
        <v>29</v>
      </c>
      <c r="M654" s="1" t="s">
        <v>53</v>
      </c>
      <c r="N654" s="1" t="s">
        <v>862</v>
      </c>
      <c r="O654">
        <v>30.56</v>
      </c>
      <c r="P654">
        <v>2</v>
      </c>
      <c r="Q654">
        <v>10.3904</v>
      </c>
      <c r="R654" s="1" t="s">
        <v>4422</v>
      </c>
      <c r="S654">
        <v>2017</v>
      </c>
      <c r="T654" s="1" t="s">
        <v>45</v>
      </c>
    </row>
    <row r="655" spans="1:20" x14ac:dyDescent="0.25">
      <c r="A655" s="1" t="s">
        <v>2274</v>
      </c>
      <c r="B655" s="2">
        <v>43027</v>
      </c>
      <c r="C655" s="2">
        <v>43032</v>
      </c>
      <c r="D655" s="1" t="s">
        <v>21</v>
      </c>
      <c r="E655" s="1" t="s">
        <v>2275</v>
      </c>
      <c r="F655" s="1" t="s">
        <v>2276</v>
      </c>
      <c r="G655" s="1" t="s">
        <v>84</v>
      </c>
      <c r="H655" s="1" t="s">
        <v>320</v>
      </c>
      <c r="I655" s="1" t="s">
        <v>50</v>
      </c>
      <c r="J655" s="1" t="s">
        <v>51</v>
      </c>
      <c r="K655" s="1" t="s">
        <v>2277</v>
      </c>
      <c r="L655" s="1" t="s">
        <v>29</v>
      </c>
      <c r="M655" s="1" t="s">
        <v>43</v>
      </c>
      <c r="N655" s="1" t="s">
        <v>2278</v>
      </c>
      <c r="O655">
        <v>24.367999999999999</v>
      </c>
      <c r="P655">
        <v>2</v>
      </c>
      <c r="Q655">
        <v>-3.3506</v>
      </c>
      <c r="R655" s="1" t="s">
        <v>4422</v>
      </c>
      <c r="S655">
        <v>2017</v>
      </c>
      <c r="T655" s="1" t="s">
        <v>45</v>
      </c>
    </row>
    <row r="656" spans="1:20" x14ac:dyDescent="0.25">
      <c r="A656" s="1" t="s">
        <v>2279</v>
      </c>
      <c r="B656" s="2">
        <v>41960</v>
      </c>
      <c r="C656" s="2">
        <v>41965</v>
      </c>
      <c r="D656" s="1" t="s">
        <v>37</v>
      </c>
      <c r="E656" s="1" t="s">
        <v>2280</v>
      </c>
      <c r="F656" s="1" t="s">
        <v>2281</v>
      </c>
      <c r="G656" s="1" t="s">
        <v>84</v>
      </c>
      <c r="H656" s="1" t="s">
        <v>222</v>
      </c>
      <c r="I656" s="1" t="s">
        <v>192</v>
      </c>
      <c r="J656" s="1" t="s">
        <v>63</v>
      </c>
      <c r="K656" s="1" t="s">
        <v>2282</v>
      </c>
      <c r="L656" s="1" t="s">
        <v>29</v>
      </c>
      <c r="M656" s="1" t="s">
        <v>53</v>
      </c>
      <c r="N656" s="1" t="s">
        <v>2283</v>
      </c>
      <c r="O656">
        <v>124.41</v>
      </c>
      <c r="P656">
        <v>3</v>
      </c>
      <c r="Q656">
        <v>14.9292</v>
      </c>
      <c r="R656" s="1" t="s">
        <v>4422</v>
      </c>
      <c r="S656">
        <v>2014</v>
      </c>
      <c r="T656" s="1" t="s">
        <v>32</v>
      </c>
    </row>
    <row r="657" spans="1:20" x14ac:dyDescent="0.25">
      <c r="A657" s="1" t="s">
        <v>2284</v>
      </c>
      <c r="B657" s="2">
        <v>42280</v>
      </c>
      <c r="C657" s="2">
        <v>42285</v>
      </c>
      <c r="D657" s="1" t="s">
        <v>37</v>
      </c>
      <c r="E657" s="1" t="s">
        <v>255</v>
      </c>
      <c r="F657" s="1" t="s">
        <v>256</v>
      </c>
      <c r="G657" s="1" t="s">
        <v>24</v>
      </c>
      <c r="H657" s="1" t="s">
        <v>49</v>
      </c>
      <c r="I657" s="1" t="s">
        <v>50</v>
      </c>
      <c r="J657" s="1" t="s">
        <v>51</v>
      </c>
      <c r="K657" s="1" t="s">
        <v>801</v>
      </c>
      <c r="L657" s="1" t="s">
        <v>29</v>
      </c>
      <c r="M657" s="1" t="s">
        <v>30</v>
      </c>
      <c r="N657" s="1" t="s">
        <v>802</v>
      </c>
      <c r="O657">
        <v>120.666</v>
      </c>
      <c r="P657">
        <v>2</v>
      </c>
      <c r="Q657">
        <v>18.454799999999999</v>
      </c>
      <c r="R657" s="1" t="s">
        <v>4422</v>
      </c>
      <c r="S657">
        <v>2015</v>
      </c>
      <c r="T657" s="1" t="s">
        <v>45</v>
      </c>
    </row>
    <row r="658" spans="1:20" x14ac:dyDescent="0.25">
      <c r="A658" s="1" t="s">
        <v>2285</v>
      </c>
      <c r="B658" s="2">
        <v>41840</v>
      </c>
      <c r="C658" s="2">
        <v>41844</v>
      </c>
      <c r="D658" s="1" t="s">
        <v>37</v>
      </c>
      <c r="E658" s="1" t="s">
        <v>2286</v>
      </c>
      <c r="F658" s="1" t="s">
        <v>2287</v>
      </c>
      <c r="G658" s="1" t="s">
        <v>94</v>
      </c>
      <c r="H658" s="1" t="s">
        <v>1730</v>
      </c>
      <c r="I658" s="1" t="s">
        <v>86</v>
      </c>
      <c r="J658" s="1" t="s">
        <v>87</v>
      </c>
      <c r="K658" s="1" t="s">
        <v>1138</v>
      </c>
      <c r="L658" s="1" t="s">
        <v>29</v>
      </c>
      <c r="M658" s="1" t="s">
        <v>53</v>
      </c>
      <c r="N658" s="1" t="s">
        <v>1139</v>
      </c>
      <c r="O658">
        <v>16.739999999999998</v>
      </c>
      <c r="P658">
        <v>5</v>
      </c>
      <c r="Q658">
        <v>-14.228999999999999</v>
      </c>
      <c r="R658" s="1" t="s">
        <v>4424</v>
      </c>
      <c r="S658">
        <v>2014</v>
      </c>
      <c r="T658" s="1" t="s">
        <v>66</v>
      </c>
    </row>
    <row r="659" spans="1:20" x14ac:dyDescent="0.25">
      <c r="A659" s="1" t="s">
        <v>2285</v>
      </c>
      <c r="B659" s="2">
        <v>41840</v>
      </c>
      <c r="C659" s="2">
        <v>41844</v>
      </c>
      <c r="D659" s="1" t="s">
        <v>37</v>
      </c>
      <c r="E659" s="1" t="s">
        <v>2286</v>
      </c>
      <c r="F659" s="1" t="s">
        <v>2287</v>
      </c>
      <c r="G659" s="1" t="s">
        <v>94</v>
      </c>
      <c r="H659" s="1" t="s">
        <v>1730</v>
      </c>
      <c r="I659" s="1" t="s">
        <v>86</v>
      </c>
      <c r="J659" s="1" t="s">
        <v>87</v>
      </c>
      <c r="K659" s="1" t="s">
        <v>592</v>
      </c>
      <c r="L659" s="1" t="s">
        <v>29</v>
      </c>
      <c r="M659" s="1" t="s">
        <v>34</v>
      </c>
      <c r="N659" s="1" t="s">
        <v>593</v>
      </c>
      <c r="O659">
        <v>981.37199999999996</v>
      </c>
      <c r="P659">
        <v>2</v>
      </c>
      <c r="Q659">
        <v>-140.196</v>
      </c>
      <c r="R659" s="1" t="s">
        <v>4424</v>
      </c>
      <c r="S659">
        <v>2014</v>
      </c>
      <c r="T659" s="1" t="s">
        <v>66</v>
      </c>
    </row>
    <row r="660" spans="1:20" x14ac:dyDescent="0.25">
      <c r="A660" s="1" t="s">
        <v>2288</v>
      </c>
      <c r="B660" s="2">
        <v>42775</v>
      </c>
      <c r="C660" s="2">
        <v>42780</v>
      </c>
      <c r="D660" s="1" t="s">
        <v>37</v>
      </c>
      <c r="E660" s="1" t="s">
        <v>2289</v>
      </c>
      <c r="F660" s="1" t="s">
        <v>2290</v>
      </c>
      <c r="G660" s="1" t="s">
        <v>24</v>
      </c>
      <c r="H660" s="1" t="s">
        <v>95</v>
      </c>
      <c r="I660" s="1" t="s">
        <v>86</v>
      </c>
      <c r="J660" s="1" t="s">
        <v>87</v>
      </c>
      <c r="K660" s="1" t="s">
        <v>2228</v>
      </c>
      <c r="L660" s="1" t="s">
        <v>29</v>
      </c>
      <c r="M660" s="1" t="s">
        <v>53</v>
      </c>
      <c r="N660" s="1" t="s">
        <v>2229</v>
      </c>
      <c r="O660">
        <v>3.984</v>
      </c>
      <c r="P660">
        <v>2</v>
      </c>
      <c r="Q660">
        <v>-2.6892</v>
      </c>
      <c r="R660" s="1" t="s">
        <v>4422</v>
      </c>
      <c r="S660">
        <v>2017</v>
      </c>
      <c r="T660" s="1" t="s">
        <v>289</v>
      </c>
    </row>
    <row r="661" spans="1:20" x14ac:dyDescent="0.25">
      <c r="A661" s="1" t="s">
        <v>2291</v>
      </c>
      <c r="B661" s="2">
        <v>42825</v>
      </c>
      <c r="C661" s="2">
        <v>42827</v>
      </c>
      <c r="D661" s="1" t="s">
        <v>21</v>
      </c>
      <c r="E661" s="1" t="s">
        <v>2292</v>
      </c>
      <c r="F661" s="1" t="s">
        <v>2293</v>
      </c>
      <c r="G661" s="1" t="s">
        <v>94</v>
      </c>
      <c r="H661" s="1" t="s">
        <v>25</v>
      </c>
      <c r="I661" s="1" t="s">
        <v>26</v>
      </c>
      <c r="J661" s="1" t="s">
        <v>27</v>
      </c>
      <c r="K661" s="1" t="s">
        <v>1473</v>
      </c>
      <c r="L661" s="1" t="s">
        <v>29</v>
      </c>
      <c r="M661" s="1" t="s">
        <v>53</v>
      </c>
      <c r="N661" s="1" t="s">
        <v>1474</v>
      </c>
      <c r="O661">
        <v>61</v>
      </c>
      <c r="P661">
        <v>5</v>
      </c>
      <c r="Q661">
        <v>25.62</v>
      </c>
      <c r="R661" s="1" t="s">
        <v>4423</v>
      </c>
      <c r="S661">
        <v>2017</v>
      </c>
      <c r="T661" s="1" t="s">
        <v>187</v>
      </c>
    </row>
    <row r="662" spans="1:20" x14ac:dyDescent="0.25">
      <c r="A662" s="1" t="s">
        <v>2294</v>
      </c>
      <c r="B662" s="2">
        <v>42852</v>
      </c>
      <c r="C662" s="2">
        <v>42856</v>
      </c>
      <c r="D662" s="1" t="s">
        <v>37</v>
      </c>
      <c r="E662" s="1" t="s">
        <v>176</v>
      </c>
      <c r="F662" s="1" t="s">
        <v>177</v>
      </c>
      <c r="G662" s="1" t="s">
        <v>84</v>
      </c>
      <c r="H662" s="1" t="s">
        <v>586</v>
      </c>
      <c r="I662" s="1" t="s">
        <v>86</v>
      </c>
      <c r="J662" s="1" t="s">
        <v>87</v>
      </c>
      <c r="K662" s="1" t="s">
        <v>407</v>
      </c>
      <c r="L662" s="1" t="s">
        <v>29</v>
      </c>
      <c r="M662" s="1" t="s">
        <v>30</v>
      </c>
      <c r="N662" s="1" t="s">
        <v>408</v>
      </c>
      <c r="O662">
        <v>220.26560000000001</v>
      </c>
      <c r="P662">
        <v>4</v>
      </c>
      <c r="Q662">
        <v>-42.1096</v>
      </c>
      <c r="R662" s="1" t="s">
        <v>4424</v>
      </c>
      <c r="S662">
        <v>2017</v>
      </c>
      <c r="T662" s="1" t="s">
        <v>107</v>
      </c>
    </row>
    <row r="663" spans="1:20" x14ac:dyDescent="0.25">
      <c r="A663" s="1" t="s">
        <v>2295</v>
      </c>
      <c r="B663" s="2">
        <v>42839</v>
      </c>
      <c r="C663" s="2">
        <v>42844</v>
      </c>
      <c r="D663" s="1" t="s">
        <v>37</v>
      </c>
      <c r="E663" s="1" t="s">
        <v>2296</v>
      </c>
      <c r="F663" s="1" t="s">
        <v>2297</v>
      </c>
      <c r="G663" s="1" t="s">
        <v>24</v>
      </c>
      <c r="H663" s="1" t="s">
        <v>165</v>
      </c>
      <c r="I663" s="1" t="s">
        <v>114</v>
      </c>
      <c r="J663" s="1" t="s">
        <v>63</v>
      </c>
      <c r="K663" s="1" t="s">
        <v>889</v>
      </c>
      <c r="L663" s="1" t="s">
        <v>29</v>
      </c>
      <c r="M663" s="1" t="s">
        <v>30</v>
      </c>
      <c r="N663" s="1" t="s">
        <v>890</v>
      </c>
      <c r="O663">
        <v>242.352</v>
      </c>
      <c r="P663">
        <v>3</v>
      </c>
      <c r="Q663">
        <v>9.0882000000000005</v>
      </c>
      <c r="R663" s="1" t="s">
        <v>4422</v>
      </c>
      <c r="S663">
        <v>2017</v>
      </c>
      <c r="T663" s="1" t="s">
        <v>107</v>
      </c>
    </row>
    <row r="664" spans="1:20" x14ac:dyDescent="0.25">
      <c r="A664" s="1" t="s">
        <v>2298</v>
      </c>
      <c r="B664" s="2">
        <v>43091</v>
      </c>
      <c r="C664" s="2">
        <v>43096</v>
      </c>
      <c r="D664" s="1" t="s">
        <v>21</v>
      </c>
      <c r="E664" s="1" t="s">
        <v>2299</v>
      </c>
      <c r="F664" s="1" t="s">
        <v>2300</v>
      </c>
      <c r="G664" s="1" t="s">
        <v>84</v>
      </c>
      <c r="H664" s="1" t="s">
        <v>1635</v>
      </c>
      <c r="I664" s="1" t="s">
        <v>1636</v>
      </c>
      <c r="J664" s="1" t="s">
        <v>63</v>
      </c>
      <c r="K664" s="1" t="s">
        <v>2301</v>
      </c>
      <c r="L664" s="1" t="s">
        <v>29</v>
      </c>
      <c r="M664" s="1" t="s">
        <v>30</v>
      </c>
      <c r="N664" s="1" t="s">
        <v>2302</v>
      </c>
      <c r="O664">
        <v>220.98</v>
      </c>
      <c r="P664">
        <v>1</v>
      </c>
      <c r="Q664">
        <v>50.825400000000002</v>
      </c>
      <c r="R664" s="1" t="s">
        <v>4422</v>
      </c>
      <c r="S664">
        <v>2017</v>
      </c>
      <c r="T664" s="1" t="s">
        <v>90</v>
      </c>
    </row>
    <row r="665" spans="1:20" x14ac:dyDescent="0.25">
      <c r="A665" s="1" t="s">
        <v>2303</v>
      </c>
      <c r="B665" s="2">
        <v>42605</v>
      </c>
      <c r="C665" s="2">
        <v>42612</v>
      </c>
      <c r="D665" s="1" t="s">
        <v>37</v>
      </c>
      <c r="E665" s="1" t="s">
        <v>2304</v>
      </c>
      <c r="F665" s="1" t="s">
        <v>2305</v>
      </c>
      <c r="G665" s="1" t="s">
        <v>24</v>
      </c>
      <c r="H665" s="1" t="s">
        <v>183</v>
      </c>
      <c r="I665" s="1" t="s">
        <v>184</v>
      </c>
      <c r="J665" s="1" t="s">
        <v>51</v>
      </c>
      <c r="K665" s="1" t="s">
        <v>1155</v>
      </c>
      <c r="L665" s="1" t="s">
        <v>29</v>
      </c>
      <c r="M665" s="1" t="s">
        <v>34</v>
      </c>
      <c r="N665" s="1" t="s">
        <v>1156</v>
      </c>
      <c r="O665">
        <v>532.70399999999995</v>
      </c>
      <c r="P665">
        <v>6</v>
      </c>
      <c r="Q665">
        <v>-39.952800000000003</v>
      </c>
      <c r="R665" s="1" t="s">
        <v>4421</v>
      </c>
      <c r="S665">
        <v>2016</v>
      </c>
      <c r="T665" s="1" t="s">
        <v>245</v>
      </c>
    </row>
    <row r="666" spans="1:20" x14ac:dyDescent="0.25">
      <c r="A666" s="1" t="s">
        <v>2306</v>
      </c>
      <c r="B666" s="2">
        <v>42166</v>
      </c>
      <c r="C666" s="2">
        <v>42167</v>
      </c>
      <c r="D666" s="1" t="s">
        <v>81</v>
      </c>
      <c r="E666" s="1" t="s">
        <v>2307</v>
      </c>
      <c r="F666" s="1" t="s">
        <v>2308</v>
      </c>
      <c r="G666" s="1" t="s">
        <v>84</v>
      </c>
      <c r="H666" s="1" t="s">
        <v>565</v>
      </c>
      <c r="I666" s="1" t="s">
        <v>41</v>
      </c>
      <c r="J666" s="1" t="s">
        <v>27</v>
      </c>
      <c r="K666" s="1" t="s">
        <v>397</v>
      </c>
      <c r="L666" s="1" t="s">
        <v>29</v>
      </c>
      <c r="M666" s="1" t="s">
        <v>34</v>
      </c>
      <c r="N666" s="1" t="s">
        <v>398</v>
      </c>
      <c r="O666">
        <v>1123.92</v>
      </c>
      <c r="P666">
        <v>5</v>
      </c>
      <c r="Q666">
        <v>-182.637</v>
      </c>
      <c r="R666" s="1" t="s">
        <v>4425</v>
      </c>
      <c r="S666">
        <v>2015</v>
      </c>
      <c r="T666" s="1" t="s">
        <v>55</v>
      </c>
    </row>
    <row r="667" spans="1:20" x14ac:dyDescent="0.25">
      <c r="A667" s="1" t="s">
        <v>2306</v>
      </c>
      <c r="B667" s="2">
        <v>42166</v>
      </c>
      <c r="C667" s="2">
        <v>42167</v>
      </c>
      <c r="D667" s="1" t="s">
        <v>81</v>
      </c>
      <c r="E667" s="1" t="s">
        <v>2307</v>
      </c>
      <c r="F667" s="1" t="s">
        <v>2308</v>
      </c>
      <c r="G667" s="1" t="s">
        <v>84</v>
      </c>
      <c r="H667" s="1" t="s">
        <v>565</v>
      </c>
      <c r="I667" s="1" t="s">
        <v>41</v>
      </c>
      <c r="J667" s="1" t="s">
        <v>27</v>
      </c>
      <c r="K667" s="1" t="s">
        <v>2309</v>
      </c>
      <c r="L667" s="1" t="s">
        <v>29</v>
      </c>
      <c r="M667" s="1" t="s">
        <v>53</v>
      </c>
      <c r="N667" s="1" t="s">
        <v>2310</v>
      </c>
      <c r="O667">
        <v>48.671999999999997</v>
      </c>
      <c r="P667">
        <v>3</v>
      </c>
      <c r="Q667">
        <v>7.3007999999999997</v>
      </c>
      <c r="R667" s="1" t="s">
        <v>4425</v>
      </c>
      <c r="S667">
        <v>2015</v>
      </c>
      <c r="T667" s="1" t="s">
        <v>55</v>
      </c>
    </row>
    <row r="668" spans="1:20" x14ac:dyDescent="0.25">
      <c r="A668" s="1" t="s">
        <v>2311</v>
      </c>
      <c r="B668" s="2">
        <v>41989</v>
      </c>
      <c r="C668" s="2">
        <v>41990</v>
      </c>
      <c r="D668" s="1" t="s">
        <v>81</v>
      </c>
      <c r="E668" s="1" t="s">
        <v>2312</v>
      </c>
      <c r="F668" s="1" t="s">
        <v>2313</v>
      </c>
      <c r="G668" s="1" t="s">
        <v>94</v>
      </c>
      <c r="H668" s="1" t="s">
        <v>49</v>
      </c>
      <c r="I668" s="1" t="s">
        <v>50</v>
      </c>
      <c r="J668" s="1" t="s">
        <v>51</v>
      </c>
      <c r="K668" s="1" t="s">
        <v>821</v>
      </c>
      <c r="L668" s="1" t="s">
        <v>29</v>
      </c>
      <c r="M668" s="1" t="s">
        <v>53</v>
      </c>
      <c r="N668" s="1" t="s">
        <v>822</v>
      </c>
      <c r="O668">
        <v>44.46</v>
      </c>
      <c r="P668">
        <v>2</v>
      </c>
      <c r="Q668">
        <v>14.671799999999999</v>
      </c>
      <c r="R668" s="1" t="s">
        <v>4425</v>
      </c>
      <c r="S668">
        <v>2014</v>
      </c>
      <c r="T668" s="1" t="s">
        <v>90</v>
      </c>
    </row>
    <row r="669" spans="1:20" x14ac:dyDescent="0.25">
      <c r="A669" s="1" t="s">
        <v>2311</v>
      </c>
      <c r="B669" s="2">
        <v>41989</v>
      </c>
      <c r="C669" s="2">
        <v>41990</v>
      </c>
      <c r="D669" s="1" t="s">
        <v>81</v>
      </c>
      <c r="E669" s="1" t="s">
        <v>2312</v>
      </c>
      <c r="F669" s="1" t="s">
        <v>2313</v>
      </c>
      <c r="G669" s="1" t="s">
        <v>94</v>
      </c>
      <c r="H669" s="1" t="s">
        <v>49</v>
      </c>
      <c r="I669" s="1" t="s">
        <v>50</v>
      </c>
      <c r="J669" s="1" t="s">
        <v>51</v>
      </c>
      <c r="K669" s="1" t="s">
        <v>386</v>
      </c>
      <c r="L669" s="1" t="s">
        <v>29</v>
      </c>
      <c r="M669" s="1" t="s">
        <v>34</v>
      </c>
      <c r="N669" s="1" t="s">
        <v>387</v>
      </c>
      <c r="O669">
        <v>241.56800000000001</v>
      </c>
      <c r="P669">
        <v>2</v>
      </c>
      <c r="Q669">
        <v>18.117599999999999</v>
      </c>
      <c r="R669" s="1" t="s">
        <v>4425</v>
      </c>
      <c r="S669">
        <v>2014</v>
      </c>
      <c r="T669" s="1" t="s">
        <v>90</v>
      </c>
    </row>
    <row r="670" spans="1:20" x14ac:dyDescent="0.25">
      <c r="A670" s="1" t="s">
        <v>2314</v>
      </c>
      <c r="B670" s="2">
        <v>41875</v>
      </c>
      <c r="C670" s="2">
        <v>41877</v>
      </c>
      <c r="D670" s="1" t="s">
        <v>81</v>
      </c>
      <c r="E670" s="1" t="s">
        <v>2315</v>
      </c>
      <c r="F670" s="1" t="s">
        <v>2316</v>
      </c>
      <c r="G670" s="1" t="s">
        <v>84</v>
      </c>
      <c r="H670" s="1" t="s">
        <v>752</v>
      </c>
      <c r="I670" s="1" t="s">
        <v>114</v>
      </c>
      <c r="J670" s="1" t="s">
        <v>63</v>
      </c>
      <c r="K670" s="1" t="s">
        <v>2317</v>
      </c>
      <c r="L670" s="1" t="s">
        <v>29</v>
      </c>
      <c r="M670" s="1" t="s">
        <v>53</v>
      </c>
      <c r="N670" s="1" t="s">
        <v>2318</v>
      </c>
      <c r="O670">
        <v>13.28</v>
      </c>
      <c r="P670">
        <v>2</v>
      </c>
      <c r="Q670">
        <v>6.3743999999999996</v>
      </c>
      <c r="R670" s="1" t="s">
        <v>4423</v>
      </c>
      <c r="S670">
        <v>2014</v>
      </c>
      <c r="T670" s="1" t="s">
        <v>245</v>
      </c>
    </row>
    <row r="671" spans="1:20" x14ac:dyDescent="0.25">
      <c r="A671" s="1" t="s">
        <v>2319</v>
      </c>
      <c r="B671" s="2">
        <v>43051</v>
      </c>
      <c r="C671" s="2">
        <v>43057</v>
      </c>
      <c r="D671" s="1" t="s">
        <v>37</v>
      </c>
      <c r="E671" s="1" t="s">
        <v>207</v>
      </c>
      <c r="F671" s="1" t="s">
        <v>208</v>
      </c>
      <c r="G671" s="1" t="s">
        <v>94</v>
      </c>
      <c r="H671" s="1" t="s">
        <v>1730</v>
      </c>
      <c r="I671" s="1" t="s">
        <v>86</v>
      </c>
      <c r="J671" s="1" t="s">
        <v>87</v>
      </c>
      <c r="K671" s="1" t="s">
        <v>375</v>
      </c>
      <c r="L671" s="1" t="s">
        <v>29</v>
      </c>
      <c r="M671" s="1" t="s">
        <v>53</v>
      </c>
      <c r="N671" s="1" t="s">
        <v>376</v>
      </c>
      <c r="O671">
        <v>22.847999999999999</v>
      </c>
      <c r="P671">
        <v>3</v>
      </c>
      <c r="Q671">
        <v>-17.7072</v>
      </c>
      <c r="R671" s="1" t="s">
        <v>4426</v>
      </c>
      <c r="S671">
        <v>2017</v>
      </c>
      <c r="T671" s="1" t="s">
        <v>32</v>
      </c>
    </row>
    <row r="672" spans="1:20" x14ac:dyDescent="0.25">
      <c r="A672" s="1" t="s">
        <v>2320</v>
      </c>
      <c r="B672" s="2">
        <v>42618</v>
      </c>
      <c r="C672" s="2">
        <v>42624</v>
      </c>
      <c r="D672" s="1" t="s">
        <v>37</v>
      </c>
      <c r="E672" s="1" t="s">
        <v>671</v>
      </c>
      <c r="F672" s="1" t="s">
        <v>672</v>
      </c>
      <c r="G672" s="1" t="s">
        <v>84</v>
      </c>
      <c r="H672" s="1" t="s">
        <v>2321</v>
      </c>
      <c r="I672" s="1" t="s">
        <v>86</v>
      </c>
      <c r="J672" s="1" t="s">
        <v>87</v>
      </c>
      <c r="K672" s="1" t="s">
        <v>581</v>
      </c>
      <c r="L672" s="1" t="s">
        <v>29</v>
      </c>
      <c r="M672" s="1" t="s">
        <v>34</v>
      </c>
      <c r="N672" s="1" t="s">
        <v>582</v>
      </c>
      <c r="O672">
        <v>347.80200000000002</v>
      </c>
      <c r="P672">
        <v>7</v>
      </c>
      <c r="Q672">
        <v>-24.843</v>
      </c>
      <c r="R672" s="1" t="s">
        <v>4426</v>
      </c>
      <c r="S672">
        <v>2016</v>
      </c>
      <c r="T672" s="1" t="s">
        <v>72</v>
      </c>
    </row>
    <row r="673" spans="1:20" x14ac:dyDescent="0.25">
      <c r="A673" s="1" t="s">
        <v>2322</v>
      </c>
      <c r="B673" s="2">
        <v>42777</v>
      </c>
      <c r="C673" s="2">
        <v>42779</v>
      </c>
      <c r="D673" s="1" t="s">
        <v>21</v>
      </c>
      <c r="E673" s="1" t="s">
        <v>2323</v>
      </c>
      <c r="F673" s="1" t="s">
        <v>2324</v>
      </c>
      <c r="G673" s="1" t="s">
        <v>84</v>
      </c>
      <c r="H673" s="1" t="s">
        <v>183</v>
      </c>
      <c r="I673" s="1" t="s">
        <v>184</v>
      </c>
      <c r="J673" s="1" t="s">
        <v>51</v>
      </c>
      <c r="K673" s="1" t="s">
        <v>2325</v>
      </c>
      <c r="L673" s="1" t="s">
        <v>29</v>
      </c>
      <c r="M673" s="1" t="s">
        <v>34</v>
      </c>
      <c r="N673" s="1" t="s">
        <v>2326</v>
      </c>
      <c r="O673">
        <v>963.13599999999997</v>
      </c>
      <c r="P673">
        <v>4</v>
      </c>
      <c r="Q673">
        <v>108.3528</v>
      </c>
      <c r="R673" s="1" t="s">
        <v>4423</v>
      </c>
      <c r="S673">
        <v>2017</v>
      </c>
      <c r="T673" s="1" t="s">
        <v>289</v>
      </c>
    </row>
    <row r="674" spans="1:20" x14ac:dyDescent="0.25">
      <c r="A674" s="1" t="s">
        <v>2327</v>
      </c>
      <c r="B674" s="2">
        <v>42353</v>
      </c>
      <c r="C674" s="2">
        <v>42356</v>
      </c>
      <c r="D674" s="1" t="s">
        <v>81</v>
      </c>
      <c r="E674" s="1" t="s">
        <v>466</v>
      </c>
      <c r="F674" s="1" t="s">
        <v>467</v>
      </c>
      <c r="G674" s="1" t="s">
        <v>24</v>
      </c>
      <c r="H674" s="1" t="s">
        <v>222</v>
      </c>
      <c r="I674" s="1" t="s">
        <v>223</v>
      </c>
      <c r="J674" s="1" t="s">
        <v>63</v>
      </c>
      <c r="K674" s="1" t="s">
        <v>346</v>
      </c>
      <c r="L674" s="1" t="s">
        <v>29</v>
      </c>
      <c r="M674" s="1" t="s">
        <v>53</v>
      </c>
      <c r="N674" s="1" t="s">
        <v>347</v>
      </c>
      <c r="O674">
        <v>262.86399999999998</v>
      </c>
      <c r="P674">
        <v>7</v>
      </c>
      <c r="Q674">
        <v>69.001800000000003</v>
      </c>
      <c r="R674" s="1" t="s">
        <v>4420</v>
      </c>
      <c r="S674">
        <v>2015</v>
      </c>
      <c r="T674" s="1" t="s">
        <v>90</v>
      </c>
    </row>
    <row r="675" spans="1:20" x14ac:dyDescent="0.25">
      <c r="A675" s="1" t="s">
        <v>2328</v>
      </c>
      <c r="B675" s="2">
        <v>42240</v>
      </c>
      <c r="C675" s="2">
        <v>42244</v>
      </c>
      <c r="D675" s="1" t="s">
        <v>37</v>
      </c>
      <c r="E675" s="1" t="s">
        <v>1934</v>
      </c>
      <c r="F675" s="1" t="s">
        <v>1935</v>
      </c>
      <c r="G675" s="1" t="s">
        <v>84</v>
      </c>
      <c r="H675" s="1" t="s">
        <v>165</v>
      </c>
      <c r="I675" s="1" t="s">
        <v>114</v>
      </c>
      <c r="J675" s="1" t="s">
        <v>63</v>
      </c>
      <c r="K675" s="1" t="s">
        <v>56</v>
      </c>
      <c r="L675" s="1" t="s">
        <v>29</v>
      </c>
      <c r="M675" s="1" t="s">
        <v>43</v>
      </c>
      <c r="N675" s="1" t="s">
        <v>57</v>
      </c>
      <c r="O675">
        <v>284.36399999999998</v>
      </c>
      <c r="P675">
        <v>2</v>
      </c>
      <c r="Q675">
        <v>-75.830399999999997</v>
      </c>
      <c r="R675" s="1" t="s">
        <v>4424</v>
      </c>
      <c r="S675">
        <v>2015</v>
      </c>
      <c r="T675" s="1" t="s">
        <v>245</v>
      </c>
    </row>
    <row r="676" spans="1:20" x14ac:dyDescent="0.25">
      <c r="A676" s="1" t="s">
        <v>2329</v>
      </c>
      <c r="B676" s="2">
        <v>42672</v>
      </c>
      <c r="C676" s="2">
        <v>42674</v>
      </c>
      <c r="D676" s="1" t="s">
        <v>81</v>
      </c>
      <c r="E676" s="1" t="s">
        <v>410</v>
      </c>
      <c r="F676" s="1" t="s">
        <v>411</v>
      </c>
      <c r="G676" s="1" t="s">
        <v>24</v>
      </c>
      <c r="H676" s="1" t="s">
        <v>1698</v>
      </c>
      <c r="I676" s="1" t="s">
        <v>281</v>
      </c>
      <c r="J676" s="1" t="s">
        <v>87</v>
      </c>
      <c r="K676" s="1" t="s">
        <v>365</v>
      </c>
      <c r="L676" s="1" t="s">
        <v>29</v>
      </c>
      <c r="M676" s="1" t="s">
        <v>53</v>
      </c>
      <c r="N676" s="1" t="s">
        <v>366</v>
      </c>
      <c r="O676">
        <v>67</v>
      </c>
      <c r="P676">
        <v>5</v>
      </c>
      <c r="Q676">
        <v>32.159999999999997</v>
      </c>
      <c r="R676" s="1" t="s">
        <v>4423</v>
      </c>
      <c r="S676">
        <v>2016</v>
      </c>
      <c r="T676" s="1" t="s">
        <v>45</v>
      </c>
    </row>
    <row r="677" spans="1:20" x14ac:dyDescent="0.25">
      <c r="A677" s="1" t="s">
        <v>2330</v>
      </c>
      <c r="B677" s="2">
        <v>42518</v>
      </c>
      <c r="C677" s="2">
        <v>42524</v>
      </c>
      <c r="D677" s="1" t="s">
        <v>37</v>
      </c>
      <c r="E677" s="1" t="s">
        <v>452</v>
      </c>
      <c r="F677" s="1" t="s">
        <v>453</v>
      </c>
      <c r="G677" s="1" t="s">
        <v>84</v>
      </c>
      <c r="H677" s="1" t="s">
        <v>2331</v>
      </c>
      <c r="I677" s="1" t="s">
        <v>41</v>
      </c>
      <c r="J677" s="1" t="s">
        <v>27</v>
      </c>
      <c r="K677" s="1" t="s">
        <v>1647</v>
      </c>
      <c r="L677" s="1" t="s">
        <v>29</v>
      </c>
      <c r="M677" s="1" t="s">
        <v>34</v>
      </c>
      <c r="N677" s="1" t="s">
        <v>1648</v>
      </c>
      <c r="O677">
        <v>390.27199999999999</v>
      </c>
      <c r="P677">
        <v>8</v>
      </c>
      <c r="Q677">
        <v>-24.391999999999999</v>
      </c>
      <c r="R677" s="1" t="s">
        <v>4426</v>
      </c>
      <c r="S677">
        <v>2016</v>
      </c>
      <c r="T677" s="1" t="s">
        <v>153</v>
      </c>
    </row>
    <row r="678" spans="1:20" x14ac:dyDescent="0.25">
      <c r="A678" s="1" t="s">
        <v>2332</v>
      </c>
      <c r="B678" s="2">
        <v>42450</v>
      </c>
      <c r="C678" s="2">
        <v>42457</v>
      </c>
      <c r="D678" s="1" t="s">
        <v>37</v>
      </c>
      <c r="E678" s="1" t="s">
        <v>1206</v>
      </c>
      <c r="F678" s="1" t="s">
        <v>1207</v>
      </c>
      <c r="G678" s="1" t="s">
        <v>24</v>
      </c>
      <c r="H678" s="1" t="s">
        <v>125</v>
      </c>
      <c r="I678" s="1" t="s">
        <v>126</v>
      </c>
      <c r="J678" s="1" t="s">
        <v>87</v>
      </c>
      <c r="K678" s="1" t="s">
        <v>846</v>
      </c>
      <c r="L678" s="1" t="s">
        <v>29</v>
      </c>
      <c r="M678" s="1" t="s">
        <v>34</v>
      </c>
      <c r="N678" s="1" t="s">
        <v>847</v>
      </c>
      <c r="O678">
        <v>528.42999999999995</v>
      </c>
      <c r="P678">
        <v>5</v>
      </c>
      <c r="Q678">
        <v>0</v>
      </c>
      <c r="R678" s="1" t="s">
        <v>4421</v>
      </c>
      <c r="S678">
        <v>2016</v>
      </c>
      <c r="T678" s="1" t="s">
        <v>187</v>
      </c>
    </row>
    <row r="679" spans="1:20" x14ac:dyDescent="0.25">
      <c r="A679" s="1" t="s">
        <v>2333</v>
      </c>
      <c r="B679" s="2">
        <v>43001</v>
      </c>
      <c r="C679" s="2">
        <v>43007</v>
      </c>
      <c r="D679" s="1" t="s">
        <v>37</v>
      </c>
      <c r="E679" s="1" t="s">
        <v>1056</v>
      </c>
      <c r="F679" s="1" t="s">
        <v>1057</v>
      </c>
      <c r="G679" s="1" t="s">
        <v>24</v>
      </c>
      <c r="H679" s="1" t="s">
        <v>2334</v>
      </c>
      <c r="I679" s="1" t="s">
        <v>172</v>
      </c>
      <c r="J679" s="1" t="s">
        <v>51</v>
      </c>
      <c r="K679" s="1" t="s">
        <v>990</v>
      </c>
      <c r="L679" s="1" t="s">
        <v>29</v>
      </c>
      <c r="M679" s="1" t="s">
        <v>30</v>
      </c>
      <c r="N679" s="1" t="s">
        <v>991</v>
      </c>
      <c r="O679">
        <v>180.58799999999999</v>
      </c>
      <c r="P679">
        <v>2</v>
      </c>
      <c r="Q679">
        <v>-240.78399999999999</v>
      </c>
      <c r="R679" s="1" t="s">
        <v>4426</v>
      </c>
      <c r="S679">
        <v>2017</v>
      </c>
      <c r="T679" s="1" t="s">
        <v>72</v>
      </c>
    </row>
    <row r="680" spans="1:20" x14ac:dyDescent="0.25">
      <c r="A680" s="1" t="s">
        <v>2335</v>
      </c>
      <c r="B680" s="2">
        <v>43074</v>
      </c>
      <c r="C680" s="2">
        <v>43080</v>
      </c>
      <c r="D680" s="1" t="s">
        <v>37</v>
      </c>
      <c r="E680" s="1" t="s">
        <v>2336</v>
      </c>
      <c r="F680" s="1" t="s">
        <v>2337</v>
      </c>
      <c r="G680" s="1" t="s">
        <v>84</v>
      </c>
      <c r="H680" s="1" t="s">
        <v>165</v>
      </c>
      <c r="I680" s="1" t="s">
        <v>114</v>
      </c>
      <c r="J680" s="1" t="s">
        <v>63</v>
      </c>
      <c r="K680" s="1" t="s">
        <v>52</v>
      </c>
      <c r="L680" s="1" t="s">
        <v>29</v>
      </c>
      <c r="M680" s="1" t="s">
        <v>53</v>
      </c>
      <c r="N680" s="1" t="s">
        <v>54</v>
      </c>
      <c r="O680">
        <v>20.94</v>
      </c>
      <c r="P680">
        <v>3</v>
      </c>
      <c r="Q680">
        <v>6.0726000000000004</v>
      </c>
      <c r="R680" s="1" t="s">
        <v>4426</v>
      </c>
      <c r="S680">
        <v>2017</v>
      </c>
      <c r="T680" s="1" t="s">
        <v>90</v>
      </c>
    </row>
    <row r="681" spans="1:20" x14ac:dyDescent="0.25">
      <c r="A681" s="1" t="s">
        <v>2335</v>
      </c>
      <c r="B681" s="2">
        <v>43074</v>
      </c>
      <c r="C681" s="2">
        <v>43080</v>
      </c>
      <c r="D681" s="1" t="s">
        <v>37</v>
      </c>
      <c r="E681" s="1" t="s">
        <v>2336</v>
      </c>
      <c r="F681" s="1" t="s">
        <v>2337</v>
      </c>
      <c r="G681" s="1" t="s">
        <v>84</v>
      </c>
      <c r="H681" s="1" t="s">
        <v>165</v>
      </c>
      <c r="I681" s="1" t="s">
        <v>114</v>
      </c>
      <c r="J681" s="1" t="s">
        <v>63</v>
      </c>
      <c r="K681" s="1" t="s">
        <v>224</v>
      </c>
      <c r="L681" s="1" t="s">
        <v>29</v>
      </c>
      <c r="M681" s="1" t="s">
        <v>53</v>
      </c>
      <c r="N681" s="1" t="s">
        <v>225</v>
      </c>
      <c r="O681">
        <v>58.68</v>
      </c>
      <c r="P681">
        <v>2</v>
      </c>
      <c r="Q681">
        <v>18.190799999999999</v>
      </c>
      <c r="R681" s="1" t="s">
        <v>4426</v>
      </c>
      <c r="S681">
        <v>2017</v>
      </c>
      <c r="T681" s="1" t="s">
        <v>90</v>
      </c>
    </row>
    <row r="682" spans="1:20" x14ac:dyDescent="0.25">
      <c r="A682" s="1" t="s">
        <v>2338</v>
      </c>
      <c r="B682" s="2">
        <v>41777</v>
      </c>
      <c r="C682" s="2">
        <v>41779</v>
      </c>
      <c r="D682" s="1" t="s">
        <v>21</v>
      </c>
      <c r="E682" s="1" t="s">
        <v>2339</v>
      </c>
      <c r="F682" s="1" t="s">
        <v>2340</v>
      </c>
      <c r="G682" s="1" t="s">
        <v>24</v>
      </c>
      <c r="H682" s="1" t="s">
        <v>496</v>
      </c>
      <c r="I682" s="1" t="s">
        <v>223</v>
      </c>
      <c r="J682" s="1" t="s">
        <v>63</v>
      </c>
      <c r="K682" s="1" t="s">
        <v>1787</v>
      </c>
      <c r="L682" s="1" t="s">
        <v>29</v>
      </c>
      <c r="M682" s="1" t="s">
        <v>53</v>
      </c>
      <c r="N682" s="1" t="s">
        <v>1788</v>
      </c>
      <c r="O682">
        <v>149.232</v>
      </c>
      <c r="P682">
        <v>3</v>
      </c>
      <c r="Q682">
        <v>3.7307999999999999</v>
      </c>
      <c r="R682" s="1" t="s">
        <v>4423</v>
      </c>
      <c r="S682">
        <v>2014</v>
      </c>
      <c r="T682" s="1" t="s">
        <v>153</v>
      </c>
    </row>
    <row r="683" spans="1:20" x14ac:dyDescent="0.25">
      <c r="A683" s="1" t="s">
        <v>2341</v>
      </c>
      <c r="B683" s="2">
        <v>41953</v>
      </c>
      <c r="C683" s="2">
        <v>41959</v>
      </c>
      <c r="D683" s="1" t="s">
        <v>37</v>
      </c>
      <c r="E683" s="1" t="s">
        <v>2342</v>
      </c>
      <c r="F683" s="1" t="s">
        <v>2343</v>
      </c>
      <c r="G683" s="1" t="s">
        <v>24</v>
      </c>
      <c r="H683" s="1" t="s">
        <v>630</v>
      </c>
      <c r="I683" s="1" t="s">
        <v>50</v>
      </c>
      <c r="J683" s="1" t="s">
        <v>51</v>
      </c>
      <c r="K683" s="1" t="s">
        <v>120</v>
      </c>
      <c r="L683" s="1" t="s">
        <v>29</v>
      </c>
      <c r="M683" s="1" t="s">
        <v>53</v>
      </c>
      <c r="N683" s="1" t="s">
        <v>121</v>
      </c>
      <c r="O683">
        <v>39.880000000000003</v>
      </c>
      <c r="P683">
        <v>2</v>
      </c>
      <c r="Q683">
        <v>11.166399999999999</v>
      </c>
      <c r="R683" s="1" t="s">
        <v>4426</v>
      </c>
      <c r="S683">
        <v>2014</v>
      </c>
      <c r="T683" s="1" t="s">
        <v>32</v>
      </c>
    </row>
    <row r="684" spans="1:20" x14ac:dyDescent="0.25">
      <c r="A684" s="1" t="s">
        <v>2341</v>
      </c>
      <c r="B684" s="2">
        <v>41953</v>
      </c>
      <c r="C684" s="2">
        <v>41959</v>
      </c>
      <c r="D684" s="1" t="s">
        <v>37</v>
      </c>
      <c r="E684" s="1" t="s">
        <v>2342</v>
      </c>
      <c r="F684" s="1" t="s">
        <v>2343</v>
      </c>
      <c r="G684" s="1" t="s">
        <v>24</v>
      </c>
      <c r="H684" s="1" t="s">
        <v>630</v>
      </c>
      <c r="I684" s="1" t="s">
        <v>50</v>
      </c>
      <c r="J684" s="1" t="s">
        <v>51</v>
      </c>
      <c r="K684" s="1" t="s">
        <v>1104</v>
      </c>
      <c r="L684" s="1" t="s">
        <v>29</v>
      </c>
      <c r="M684" s="1" t="s">
        <v>53</v>
      </c>
      <c r="N684" s="1" t="s">
        <v>1105</v>
      </c>
      <c r="O684">
        <v>53.2</v>
      </c>
      <c r="P684">
        <v>5</v>
      </c>
      <c r="Q684">
        <v>14.896000000000001</v>
      </c>
      <c r="R684" s="1" t="s">
        <v>4426</v>
      </c>
      <c r="S684">
        <v>2014</v>
      </c>
      <c r="T684" s="1" t="s">
        <v>32</v>
      </c>
    </row>
    <row r="685" spans="1:20" x14ac:dyDescent="0.25">
      <c r="A685" s="1" t="s">
        <v>2344</v>
      </c>
      <c r="B685" s="2">
        <v>42979</v>
      </c>
      <c r="C685" s="2">
        <v>42983</v>
      </c>
      <c r="D685" s="1" t="s">
        <v>21</v>
      </c>
      <c r="E685" s="1" t="s">
        <v>1440</v>
      </c>
      <c r="F685" s="1" t="s">
        <v>1441</v>
      </c>
      <c r="G685" s="1" t="s">
        <v>24</v>
      </c>
      <c r="H685" s="1" t="s">
        <v>165</v>
      </c>
      <c r="I685" s="1" t="s">
        <v>114</v>
      </c>
      <c r="J685" s="1" t="s">
        <v>63</v>
      </c>
      <c r="K685" s="1" t="s">
        <v>1183</v>
      </c>
      <c r="L685" s="1" t="s">
        <v>29</v>
      </c>
      <c r="M685" s="1" t="s">
        <v>53</v>
      </c>
      <c r="N685" s="1" t="s">
        <v>1184</v>
      </c>
      <c r="O685">
        <v>114.9</v>
      </c>
      <c r="P685">
        <v>5</v>
      </c>
      <c r="Q685">
        <v>39.066000000000003</v>
      </c>
      <c r="R685" s="1" t="s">
        <v>4424</v>
      </c>
      <c r="S685">
        <v>2017</v>
      </c>
      <c r="T685" s="1" t="s">
        <v>72</v>
      </c>
    </row>
    <row r="686" spans="1:20" x14ac:dyDescent="0.25">
      <c r="A686" s="1" t="s">
        <v>2345</v>
      </c>
      <c r="B686" s="2">
        <v>42384</v>
      </c>
      <c r="C686" s="2">
        <v>42384</v>
      </c>
      <c r="D686" s="1" t="s">
        <v>417</v>
      </c>
      <c r="E686" s="1" t="s">
        <v>1174</v>
      </c>
      <c r="F686" s="1" t="s">
        <v>1175</v>
      </c>
      <c r="G686" s="1" t="s">
        <v>24</v>
      </c>
      <c r="H686" s="1" t="s">
        <v>1571</v>
      </c>
      <c r="I686" s="1" t="s">
        <v>421</v>
      </c>
      <c r="J686" s="1" t="s">
        <v>63</v>
      </c>
      <c r="K686" s="1" t="s">
        <v>334</v>
      </c>
      <c r="L686" s="1" t="s">
        <v>29</v>
      </c>
      <c r="M686" s="1" t="s">
        <v>43</v>
      </c>
      <c r="N686" s="1" t="s">
        <v>335</v>
      </c>
      <c r="O686">
        <v>181.797</v>
      </c>
      <c r="P686">
        <v>1</v>
      </c>
      <c r="Q686">
        <v>-15.582599999999999</v>
      </c>
      <c r="R686" s="1" t="s">
        <v>4427</v>
      </c>
      <c r="S686">
        <v>2016</v>
      </c>
      <c r="T686" s="1" t="s">
        <v>161</v>
      </c>
    </row>
    <row r="687" spans="1:20" x14ac:dyDescent="0.25">
      <c r="A687" s="1" t="s">
        <v>2346</v>
      </c>
      <c r="B687" s="2">
        <v>42694</v>
      </c>
      <c r="C687" s="2">
        <v>42701</v>
      </c>
      <c r="D687" s="1" t="s">
        <v>37</v>
      </c>
      <c r="E687" s="1" t="s">
        <v>2347</v>
      </c>
      <c r="F687" s="1" t="s">
        <v>2348</v>
      </c>
      <c r="G687" s="1" t="s">
        <v>84</v>
      </c>
      <c r="H687" s="1" t="s">
        <v>95</v>
      </c>
      <c r="I687" s="1" t="s">
        <v>86</v>
      </c>
      <c r="J687" s="1" t="s">
        <v>87</v>
      </c>
      <c r="K687" s="1" t="s">
        <v>1608</v>
      </c>
      <c r="L687" s="1" t="s">
        <v>29</v>
      </c>
      <c r="M687" s="1" t="s">
        <v>34</v>
      </c>
      <c r="N687" s="1" t="s">
        <v>1609</v>
      </c>
      <c r="O687">
        <v>318.43</v>
      </c>
      <c r="P687">
        <v>5</v>
      </c>
      <c r="Q687">
        <v>-77.332999999999998</v>
      </c>
      <c r="R687" s="1" t="s">
        <v>4421</v>
      </c>
      <c r="S687">
        <v>2016</v>
      </c>
      <c r="T687" s="1" t="s">
        <v>32</v>
      </c>
    </row>
    <row r="688" spans="1:20" x14ac:dyDescent="0.25">
      <c r="A688" s="1" t="s">
        <v>2346</v>
      </c>
      <c r="B688" s="2">
        <v>42694</v>
      </c>
      <c r="C688" s="2">
        <v>42701</v>
      </c>
      <c r="D688" s="1" t="s">
        <v>37</v>
      </c>
      <c r="E688" s="1" t="s">
        <v>2347</v>
      </c>
      <c r="F688" s="1" t="s">
        <v>2348</v>
      </c>
      <c r="G688" s="1" t="s">
        <v>84</v>
      </c>
      <c r="H688" s="1" t="s">
        <v>95</v>
      </c>
      <c r="I688" s="1" t="s">
        <v>86</v>
      </c>
      <c r="J688" s="1" t="s">
        <v>87</v>
      </c>
      <c r="K688" s="1" t="s">
        <v>414</v>
      </c>
      <c r="L688" s="1" t="s">
        <v>29</v>
      </c>
      <c r="M688" s="1" t="s">
        <v>53</v>
      </c>
      <c r="N688" s="1" t="s">
        <v>415</v>
      </c>
      <c r="O688">
        <v>7.0679999999999996</v>
      </c>
      <c r="P688">
        <v>3</v>
      </c>
      <c r="Q688">
        <v>-2.8271999999999999</v>
      </c>
      <c r="R688" s="1" t="s">
        <v>4421</v>
      </c>
      <c r="S688">
        <v>2016</v>
      </c>
      <c r="T688" s="1" t="s">
        <v>32</v>
      </c>
    </row>
    <row r="689" spans="1:20" x14ac:dyDescent="0.25">
      <c r="A689" s="1" t="s">
        <v>2349</v>
      </c>
      <c r="B689" s="2">
        <v>43070</v>
      </c>
      <c r="C689" s="2">
        <v>43074</v>
      </c>
      <c r="D689" s="1" t="s">
        <v>37</v>
      </c>
      <c r="E689" s="1" t="s">
        <v>2350</v>
      </c>
      <c r="F689" s="1" t="s">
        <v>2351</v>
      </c>
      <c r="G689" s="1" t="s">
        <v>24</v>
      </c>
      <c r="H689" s="1" t="s">
        <v>1708</v>
      </c>
      <c r="I689" s="1" t="s">
        <v>86</v>
      </c>
      <c r="J689" s="1" t="s">
        <v>87</v>
      </c>
      <c r="K689" s="1" t="s">
        <v>386</v>
      </c>
      <c r="L689" s="1" t="s">
        <v>29</v>
      </c>
      <c r="M689" s="1" t="s">
        <v>34</v>
      </c>
      <c r="N689" s="1" t="s">
        <v>387</v>
      </c>
      <c r="O689">
        <v>317.05799999999999</v>
      </c>
      <c r="P689">
        <v>3</v>
      </c>
      <c r="Q689">
        <v>-18.117599999999999</v>
      </c>
      <c r="R689" s="1" t="s">
        <v>4424</v>
      </c>
      <c r="S689">
        <v>2017</v>
      </c>
      <c r="T689" s="1" t="s">
        <v>90</v>
      </c>
    </row>
    <row r="690" spans="1:20" x14ac:dyDescent="0.25">
      <c r="A690" s="1" t="s">
        <v>2352</v>
      </c>
      <c r="B690" s="2">
        <v>42630</v>
      </c>
      <c r="C690" s="2">
        <v>42634</v>
      </c>
      <c r="D690" s="1" t="s">
        <v>37</v>
      </c>
      <c r="E690" s="1" t="s">
        <v>1773</v>
      </c>
      <c r="F690" s="1" t="s">
        <v>1774</v>
      </c>
      <c r="G690" s="1" t="s">
        <v>94</v>
      </c>
      <c r="H690" s="1" t="s">
        <v>183</v>
      </c>
      <c r="I690" s="1" t="s">
        <v>184</v>
      </c>
      <c r="J690" s="1" t="s">
        <v>51</v>
      </c>
      <c r="K690" s="1" t="s">
        <v>2185</v>
      </c>
      <c r="L690" s="1" t="s">
        <v>29</v>
      </c>
      <c r="M690" s="1" t="s">
        <v>34</v>
      </c>
      <c r="N690" s="1" t="s">
        <v>2186</v>
      </c>
      <c r="O690">
        <v>113.88800000000001</v>
      </c>
      <c r="P690">
        <v>2</v>
      </c>
      <c r="Q690">
        <v>9.9651999999999994</v>
      </c>
      <c r="R690" s="1" t="s">
        <v>4424</v>
      </c>
      <c r="S690">
        <v>2016</v>
      </c>
      <c r="T690" s="1" t="s">
        <v>72</v>
      </c>
    </row>
    <row r="691" spans="1:20" x14ac:dyDescent="0.25">
      <c r="A691" s="1" t="s">
        <v>2353</v>
      </c>
      <c r="B691" s="2">
        <v>42842</v>
      </c>
      <c r="C691" s="2">
        <v>42844</v>
      </c>
      <c r="D691" s="1" t="s">
        <v>81</v>
      </c>
      <c r="E691" s="1" t="s">
        <v>2354</v>
      </c>
      <c r="F691" s="1" t="s">
        <v>2355</v>
      </c>
      <c r="G691" s="1" t="s">
        <v>24</v>
      </c>
      <c r="H691" s="1" t="s">
        <v>61</v>
      </c>
      <c r="I691" s="1" t="s">
        <v>62</v>
      </c>
      <c r="J691" s="1" t="s">
        <v>63</v>
      </c>
      <c r="K691" s="1" t="s">
        <v>1281</v>
      </c>
      <c r="L691" s="1" t="s">
        <v>29</v>
      </c>
      <c r="M691" s="1" t="s">
        <v>53</v>
      </c>
      <c r="N691" s="1" t="s">
        <v>1749</v>
      </c>
      <c r="O691">
        <v>60.311999999999998</v>
      </c>
      <c r="P691">
        <v>3</v>
      </c>
      <c r="Q691">
        <v>5.2773000000000003</v>
      </c>
      <c r="R691" s="1" t="s">
        <v>4423</v>
      </c>
      <c r="S691">
        <v>2017</v>
      </c>
      <c r="T691" s="1" t="s">
        <v>107</v>
      </c>
    </row>
    <row r="692" spans="1:20" x14ac:dyDescent="0.25">
      <c r="A692" s="1" t="s">
        <v>2356</v>
      </c>
      <c r="B692" s="2">
        <v>42713</v>
      </c>
      <c r="C692" s="2">
        <v>42718</v>
      </c>
      <c r="D692" s="1" t="s">
        <v>21</v>
      </c>
      <c r="E692" s="1" t="s">
        <v>1295</v>
      </c>
      <c r="F692" s="1" t="s">
        <v>1296</v>
      </c>
      <c r="G692" s="1" t="s">
        <v>84</v>
      </c>
      <c r="H692" s="1" t="s">
        <v>229</v>
      </c>
      <c r="I692" s="1" t="s">
        <v>133</v>
      </c>
      <c r="J692" s="1" t="s">
        <v>27</v>
      </c>
      <c r="K692" s="1" t="s">
        <v>1240</v>
      </c>
      <c r="L692" s="1" t="s">
        <v>29</v>
      </c>
      <c r="M692" s="1" t="s">
        <v>43</v>
      </c>
      <c r="N692" s="1" t="s">
        <v>1241</v>
      </c>
      <c r="O692">
        <v>79.974000000000004</v>
      </c>
      <c r="P692">
        <v>3</v>
      </c>
      <c r="Q692">
        <v>-29.323799999999999</v>
      </c>
      <c r="R692" s="1" t="s">
        <v>4422</v>
      </c>
      <c r="S692">
        <v>2016</v>
      </c>
      <c r="T692" s="1" t="s">
        <v>90</v>
      </c>
    </row>
    <row r="693" spans="1:20" x14ac:dyDescent="0.25">
      <c r="A693" s="1" t="s">
        <v>2357</v>
      </c>
      <c r="B693" s="2">
        <v>42044</v>
      </c>
      <c r="C693" s="2">
        <v>42051</v>
      </c>
      <c r="D693" s="1" t="s">
        <v>37</v>
      </c>
      <c r="E693" s="1" t="s">
        <v>2350</v>
      </c>
      <c r="F693" s="1" t="s">
        <v>2351</v>
      </c>
      <c r="G693" s="1" t="s">
        <v>24</v>
      </c>
      <c r="H693" s="1" t="s">
        <v>49</v>
      </c>
      <c r="I693" s="1" t="s">
        <v>50</v>
      </c>
      <c r="J693" s="1" t="s">
        <v>51</v>
      </c>
      <c r="K693" s="1" t="s">
        <v>64</v>
      </c>
      <c r="L693" s="1" t="s">
        <v>29</v>
      </c>
      <c r="M693" s="1" t="s">
        <v>34</v>
      </c>
      <c r="N693" s="1" t="s">
        <v>65</v>
      </c>
      <c r="O693">
        <v>203.92</v>
      </c>
      <c r="P693">
        <v>5</v>
      </c>
      <c r="Q693">
        <v>22.940999999999999</v>
      </c>
      <c r="R693" s="1" t="s">
        <v>4421</v>
      </c>
      <c r="S693">
        <v>2015</v>
      </c>
      <c r="T693" s="1" t="s">
        <v>289</v>
      </c>
    </row>
    <row r="694" spans="1:20" x14ac:dyDescent="0.25">
      <c r="A694" s="1" t="s">
        <v>2358</v>
      </c>
      <c r="B694" s="2">
        <v>41912</v>
      </c>
      <c r="C694" s="2">
        <v>41918</v>
      </c>
      <c r="D694" s="1" t="s">
        <v>37</v>
      </c>
      <c r="E694" s="1" t="s">
        <v>761</v>
      </c>
      <c r="F694" s="1" t="s">
        <v>762</v>
      </c>
      <c r="G694" s="1" t="s">
        <v>84</v>
      </c>
      <c r="H694" s="1" t="s">
        <v>165</v>
      </c>
      <c r="I694" s="1" t="s">
        <v>114</v>
      </c>
      <c r="J694" s="1" t="s">
        <v>63</v>
      </c>
      <c r="K694" s="1" t="s">
        <v>652</v>
      </c>
      <c r="L694" s="1" t="s">
        <v>29</v>
      </c>
      <c r="M694" s="1" t="s">
        <v>53</v>
      </c>
      <c r="N694" s="1" t="s">
        <v>653</v>
      </c>
      <c r="O694">
        <v>15.24</v>
      </c>
      <c r="P694">
        <v>3</v>
      </c>
      <c r="Q694">
        <v>5.1816000000000004</v>
      </c>
      <c r="R694" s="1" t="s">
        <v>4426</v>
      </c>
      <c r="S694">
        <v>2014</v>
      </c>
      <c r="T694" s="1" t="s">
        <v>72</v>
      </c>
    </row>
    <row r="695" spans="1:20" x14ac:dyDescent="0.25">
      <c r="A695" s="1" t="s">
        <v>2359</v>
      </c>
      <c r="B695" s="2">
        <v>41999</v>
      </c>
      <c r="C695" s="2">
        <v>42003</v>
      </c>
      <c r="D695" s="1" t="s">
        <v>37</v>
      </c>
      <c r="E695" s="1" t="s">
        <v>1645</v>
      </c>
      <c r="F695" s="1" t="s">
        <v>1646</v>
      </c>
      <c r="G695" s="1" t="s">
        <v>24</v>
      </c>
      <c r="H695" s="1" t="s">
        <v>630</v>
      </c>
      <c r="I695" s="1" t="s">
        <v>50</v>
      </c>
      <c r="J695" s="1" t="s">
        <v>51</v>
      </c>
      <c r="K695" s="1" t="s">
        <v>1062</v>
      </c>
      <c r="L695" s="1" t="s">
        <v>29</v>
      </c>
      <c r="M695" s="1" t="s">
        <v>53</v>
      </c>
      <c r="N695" s="1" t="s">
        <v>1063</v>
      </c>
      <c r="O695">
        <v>3.48</v>
      </c>
      <c r="P695">
        <v>2</v>
      </c>
      <c r="Q695">
        <v>1.1135999999999999</v>
      </c>
      <c r="R695" s="1" t="s">
        <v>4424</v>
      </c>
      <c r="S695">
        <v>2014</v>
      </c>
      <c r="T695" s="1" t="s">
        <v>90</v>
      </c>
    </row>
    <row r="696" spans="1:20" x14ac:dyDescent="0.25">
      <c r="A696" s="1" t="s">
        <v>2360</v>
      </c>
      <c r="B696" s="2">
        <v>41961</v>
      </c>
      <c r="C696" s="2">
        <v>41965</v>
      </c>
      <c r="D696" s="1" t="s">
        <v>37</v>
      </c>
      <c r="E696" s="1" t="s">
        <v>619</v>
      </c>
      <c r="F696" s="1" t="s">
        <v>620</v>
      </c>
      <c r="G696" s="1" t="s">
        <v>24</v>
      </c>
      <c r="H696" s="1" t="s">
        <v>61</v>
      </c>
      <c r="I696" s="1" t="s">
        <v>62</v>
      </c>
      <c r="J696" s="1" t="s">
        <v>63</v>
      </c>
      <c r="K696" s="1" t="s">
        <v>1281</v>
      </c>
      <c r="L696" s="1" t="s">
        <v>29</v>
      </c>
      <c r="M696" s="1" t="s">
        <v>53</v>
      </c>
      <c r="N696" s="1" t="s">
        <v>1749</v>
      </c>
      <c r="O696">
        <v>60.311999999999998</v>
      </c>
      <c r="P696">
        <v>3</v>
      </c>
      <c r="Q696">
        <v>5.2773000000000003</v>
      </c>
      <c r="R696" s="1" t="s">
        <v>4424</v>
      </c>
      <c r="S696">
        <v>2014</v>
      </c>
      <c r="T696" s="1" t="s">
        <v>32</v>
      </c>
    </row>
    <row r="697" spans="1:20" x14ac:dyDescent="0.25">
      <c r="A697" s="1" t="s">
        <v>2361</v>
      </c>
      <c r="B697" s="2">
        <v>42449</v>
      </c>
      <c r="C697" s="2">
        <v>42454</v>
      </c>
      <c r="D697" s="1" t="s">
        <v>21</v>
      </c>
      <c r="E697" s="1" t="s">
        <v>2362</v>
      </c>
      <c r="F697" s="1" t="s">
        <v>2363</v>
      </c>
      <c r="G697" s="1" t="s">
        <v>84</v>
      </c>
      <c r="H697" s="1" t="s">
        <v>2364</v>
      </c>
      <c r="I697" s="1" t="s">
        <v>469</v>
      </c>
      <c r="J697" s="1" t="s">
        <v>27</v>
      </c>
      <c r="K697" s="1" t="s">
        <v>1119</v>
      </c>
      <c r="L697" s="1" t="s">
        <v>29</v>
      </c>
      <c r="M697" s="1" t="s">
        <v>53</v>
      </c>
      <c r="N697" s="1" t="s">
        <v>1120</v>
      </c>
      <c r="O697">
        <v>86.45</v>
      </c>
      <c r="P697">
        <v>7</v>
      </c>
      <c r="Q697">
        <v>38.037999999999997</v>
      </c>
      <c r="R697" s="1" t="s">
        <v>4422</v>
      </c>
      <c r="S697">
        <v>2016</v>
      </c>
      <c r="T697" s="1" t="s">
        <v>187</v>
      </c>
    </row>
    <row r="698" spans="1:20" x14ac:dyDescent="0.25">
      <c r="A698" s="1" t="s">
        <v>2365</v>
      </c>
      <c r="B698" s="2">
        <v>41909</v>
      </c>
      <c r="C698" s="2">
        <v>41913</v>
      </c>
      <c r="D698" s="1" t="s">
        <v>37</v>
      </c>
      <c r="E698" s="1" t="s">
        <v>2366</v>
      </c>
      <c r="F698" s="1" t="s">
        <v>2367</v>
      </c>
      <c r="G698" s="1" t="s">
        <v>24</v>
      </c>
      <c r="H698" s="1" t="s">
        <v>630</v>
      </c>
      <c r="I698" s="1" t="s">
        <v>50</v>
      </c>
      <c r="J698" s="1" t="s">
        <v>51</v>
      </c>
      <c r="K698" s="1" t="s">
        <v>386</v>
      </c>
      <c r="L698" s="1" t="s">
        <v>29</v>
      </c>
      <c r="M698" s="1" t="s">
        <v>34</v>
      </c>
      <c r="N698" s="1" t="s">
        <v>387</v>
      </c>
      <c r="O698">
        <v>603.91999999999996</v>
      </c>
      <c r="P698">
        <v>5</v>
      </c>
      <c r="Q698">
        <v>45.293999999999997</v>
      </c>
      <c r="R698" s="1" t="s">
        <v>4424</v>
      </c>
      <c r="S698">
        <v>2014</v>
      </c>
      <c r="T698" s="1" t="s">
        <v>72</v>
      </c>
    </row>
    <row r="699" spans="1:20" x14ac:dyDescent="0.25">
      <c r="A699" s="1" t="s">
        <v>2368</v>
      </c>
      <c r="B699" s="2">
        <v>43093</v>
      </c>
      <c r="C699" s="2">
        <v>43097</v>
      </c>
      <c r="D699" s="1" t="s">
        <v>37</v>
      </c>
      <c r="E699" s="1" t="s">
        <v>2369</v>
      </c>
      <c r="F699" s="1" t="s">
        <v>2370</v>
      </c>
      <c r="G699" s="1" t="s">
        <v>24</v>
      </c>
      <c r="H699" s="1" t="s">
        <v>752</v>
      </c>
      <c r="I699" s="1" t="s">
        <v>114</v>
      </c>
      <c r="J699" s="1" t="s">
        <v>63</v>
      </c>
      <c r="K699" s="1" t="s">
        <v>386</v>
      </c>
      <c r="L699" s="1" t="s">
        <v>29</v>
      </c>
      <c r="M699" s="1" t="s">
        <v>34</v>
      </c>
      <c r="N699" s="1" t="s">
        <v>387</v>
      </c>
      <c r="O699">
        <v>271.76400000000001</v>
      </c>
      <c r="P699">
        <v>2</v>
      </c>
      <c r="Q699">
        <v>48.313600000000001</v>
      </c>
      <c r="R699" s="1" t="s">
        <v>4424</v>
      </c>
      <c r="S699">
        <v>2017</v>
      </c>
      <c r="T699" s="1" t="s">
        <v>90</v>
      </c>
    </row>
    <row r="700" spans="1:20" x14ac:dyDescent="0.25">
      <c r="A700" s="1" t="s">
        <v>2371</v>
      </c>
      <c r="B700" s="2">
        <v>43049</v>
      </c>
      <c r="C700" s="2">
        <v>43054</v>
      </c>
      <c r="D700" s="1" t="s">
        <v>21</v>
      </c>
      <c r="E700" s="1" t="s">
        <v>2372</v>
      </c>
      <c r="F700" s="1" t="s">
        <v>2373</v>
      </c>
      <c r="G700" s="1" t="s">
        <v>84</v>
      </c>
      <c r="H700" s="1" t="s">
        <v>922</v>
      </c>
      <c r="I700" s="1" t="s">
        <v>86</v>
      </c>
      <c r="J700" s="1" t="s">
        <v>87</v>
      </c>
      <c r="K700" s="1" t="s">
        <v>1822</v>
      </c>
      <c r="L700" s="1" t="s">
        <v>29</v>
      </c>
      <c r="M700" s="1" t="s">
        <v>53</v>
      </c>
      <c r="N700" s="1" t="s">
        <v>1823</v>
      </c>
      <c r="O700">
        <v>341.96</v>
      </c>
      <c r="P700">
        <v>5</v>
      </c>
      <c r="Q700">
        <v>-427.45</v>
      </c>
      <c r="R700" s="1" t="s">
        <v>4422</v>
      </c>
      <c r="S700">
        <v>2017</v>
      </c>
      <c r="T700" s="1" t="s">
        <v>32</v>
      </c>
    </row>
    <row r="701" spans="1:20" x14ac:dyDescent="0.25">
      <c r="A701" s="1" t="s">
        <v>2374</v>
      </c>
      <c r="B701" s="2">
        <v>41993</v>
      </c>
      <c r="C701" s="2">
        <v>41998</v>
      </c>
      <c r="D701" s="1" t="s">
        <v>37</v>
      </c>
      <c r="E701" s="1" t="s">
        <v>2375</v>
      </c>
      <c r="F701" s="1" t="s">
        <v>2376</v>
      </c>
      <c r="G701" s="1" t="s">
        <v>24</v>
      </c>
      <c r="H701" s="1" t="s">
        <v>149</v>
      </c>
      <c r="I701" s="1" t="s">
        <v>133</v>
      </c>
      <c r="J701" s="1" t="s">
        <v>27</v>
      </c>
      <c r="K701" s="1" t="s">
        <v>238</v>
      </c>
      <c r="L701" s="1" t="s">
        <v>29</v>
      </c>
      <c r="M701" s="1" t="s">
        <v>34</v>
      </c>
      <c r="N701" s="1" t="s">
        <v>239</v>
      </c>
      <c r="O701">
        <v>662.88</v>
      </c>
      <c r="P701">
        <v>3</v>
      </c>
      <c r="Q701">
        <v>74.573999999999998</v>
      </c>
      <c r="R701" s="1" t="s">
        <v>4422</v>
      </c>
      <c r="S701">
        <v>2014</v>
      </c>
      <c r="T701" s="1" t="s">
        <v>90</v>
      </c>
    </row>
    <row r="702" spans="1:20" x14ac:dyDescent="0.25">
      <c r="A702" s="1" t="s">
        <v>2377</v>
      </c>
      <c r="B702" s="2">
        <v>42208</v>
      </c>
      <c r="C702" s="2">
        <v>42212</v>
      </c>
      <c r="D702" s="1" t="s">
        <v>37</v>
      </c>
      <c r="E702" s="1" t="s">
        <v>2378</v>
      </c>
      <c r="F702" s="1" t="s">
        <v>2379</v>
      </c>
      <c r="G702" s="1" t="s">
        <v>94</v>
      </c>
      <c r="H702" s="1" t="s">
        <v>165</v>
      </c>
      <c r="I702" s="1" t="s">
        <v>114</v>
      </c>
      <c r="J702" s="1" t="s">
        <v>63</v>
      </c>
      <c r="K702" s="1" t="s">
        <v>736</v>
      </c>
      <c r="L702" s="1" t="s">
        <v>29</v>
      </c>
      <c r="M702" s="1" t="s">
        <v>53</v>
      </c>
      <c r="N702" s="1" t="s">
        <v>737</v>
      </c>
      <c r="O702">
        <v>128.82</v>
      </c>
      <c r="P702">
        <v>3</v>
      </c>
      <c r="Q702">
        <v>50.239800000000002</v>
      </c>
      <c r="R702" s="1" t="s">
        <v>4424</v>
      </c>
      <c r="S702">
        <v>2015</v>
      </c>
      <c r="T702" s="1" t="s">
        <v>66</v>
      </c>
    </row>
    <row r="703" spans="1:20" x14ac:dyDescent="0.25">
      <c r="A703" s="1" t="s">
        <v>2380</v>
      </c>
      <c r="B703" s="2">
        <v>43083</v>
      </c>
      <c r="C703" s="2">
        <v>43089</v>
      </c>
      <c r="D703" s="1" t="s">
        <v>37</v>
      </c>
      <c r="E703" s="1" t="s">
        <v>1243</v>
      </c>
      <c r="F703" s="1" t="s">
        <v>1244</v>
      </c>
      <c r="G703" s="1" t="s">
        <v>94</v>
      </c>
      <c r="H703" s="1" t="s">
        <v>125</v>
      </c>
      <c r="I703" s="1" t="s">
        <v>126</v>
      </c>
      <c r="J703" s="1" t="s">
        <v>87</v>
      </c>
      <c r="K703" s="1" t="s">
        <v>2381</v>
      </c>
      <c r="L703" s="1" t="s">
        <v>29</v>
      </c>
      <c r="M703" s="1" t="s">
        <v>53</v>
      </c>
      <c r="N703" s="1" t="s">
        <v>2382</v>
      </c>
      <c r="O703">
        <v>2.032</v>
      </c>
      <c r="P703">
        <v>1</v>
      </c>
      <c r="Q703">
        <v>-1.3208</v>
      </c>
      <c r="R703" s="1" t="s">
        <v>4426</v>
      </c>
      <c r="S703">
        <v>2017</v>
      </c>
      <c r="T703" s="1" t="s">
        <v>90</v>
      </c>
    </row>
    <row r="704" spans="1:20" x14ac:dyDescent="0.25">
      <c r="A704" s="1" t="s">
        <v>2383</v>
      </c>
      <c r="B704" s="2">
        <v>42968</v>
      </c>
      <c r="C704" s="2">
        <v>42969</v>
      </c>
      <c r="D704" s="1" t="s">
        <v>81</v>
      </c>
      <c r="E704" s="1" t="s">
        <v>2384</v>
      </c>
      <c r="F704" s="1" t="s">
        <v>2385</v>
      </c>
      <c r="G704" s="1" t="s">
        <v>24</v>
      </c>
      <c r="H704" s="1" t="s">
        <v>1461</v>
      </c>
      <c r="I704" s="1" t="s">
        <v>50</v>
      </c>
      <c r="J704" s="1" t="s">
        <v>51</v>
      </c>
      <c r="K704" s="1" t="s">
        <v>2386</v>
      </c>
      <c r="L704" s="1" t="s">
        <v>29</v>
      </c>
      <c r="M704" s="1" t="s">
        <v>53</v>
      </c>
      <c r="N704" s="1" t="s">
        <v>2387</v>
      </c>
      <c r="O704">
        <v>129.91999999999999</v>
      </c>
      <c r="P704">
        <v>4</v>
      </c>
      <c r="Q704">
        <v>10.393599999999999</v>
      </c>
      <c r="R704" s="1" t="s">
        <v>4425</v>
      </c>
      <c r="S704">
        <v>2017</v>
      </c>
      <c r="T704" s="1" t="s">
        <v>245</v>
      </c>
    </row>
    <row r="705" spans="1:20" x14ac:dyDescent="0.25">
      <c r="A705" s="1" t="s">
        <v>2383</v>
      </c>
      <c r="B705" s="2">
        <v>42968</v>
      </c>
      <c r="C705" s="2">
        <v>42969</v>
      </c>
      <c r="D705" s="1" t="s">
        <v>81</v>
      </c>
      <c r="E705" s="1" t="s">
        <v>2384</v>
      </c>
      <c r="F705" s="1" t="s">
        <v>2385</v>
      </c>
      <c r="G705" s="1" t="s">
        <v>24</v>
      </c>
      <c r="H705" s="1" t="s">
        <v>1461</v>
      </c>
      <c r="I705" s="1" t="s">
        <v>50</v>
      </c>
      <c r="J705" s="1" t="s">
        <v>51</v>
      </c>
      <c r="K705" s="1" t="s">
        <v>56</v>
      </c>
      <c r="L705" s="1" t="s">
        <v>29</v>
      </c>
      <c r="M705" s="1" t="s">
        <v>43</v>
      </c>
      <c r="N705" s="1" t="s">
        <v>57</v>
      </c>
      <c r="O705">
        <v>568.72799999999995</v>
      </c>
      <c r="P705">
        <v>3</v>
      </c>
      <c r="Q705">
        <v>28.436399999999999</v>
      </c>
      <c r="R705" s="1" t="s">
        <v>4425</v>
      </c>
      <c r="S705">
        <v>2017</v>
      </c>
      <c r="T705" s="1" t="s">
        <v>245</v>
      </c>
    </row>
    <row r="706" spans="1:20" x14ac:dyDescent="0.25">
      <c r="A706" s="1" t="s">
        <v>2388</v>
      </c>
      <c r="B706" s="2">
        <v>42609</v>
      </c>
      <c r="C706" s="2">
        <v>42614</v>
      </c>
      <c r="D706" s="1" t="s">
        <v>21</v>
      </c>
      <c r="E706" s="1" t="s">
        <v>111</v>
      </c>
      <c r="F706" s="1" t="s">
        <v>112</v>
      </c>
      <c r="G706" s="1" t="s">
        <v>24</v>
      </c>
      <c r="H706" s="1" t="s">
        <v>2389</v>
      </c>
      <c r="I706" s="1" t="s">
        <v>425</v>
      </c>
      <c r="J706" s="1" t="s">
        <v>63</v>
      </c>
      <c r="K706" s="1" t="s">
        <v>1452</v>
      </c>
      <c r="L706" s="1" t="s">
        <v>29</v>
      </c>
      <c r="M706" s="1" t="s">
        <v>43</v>
      </c>
      <c r="N706" s="1" t="s">
        <v>1453</v>
      </c>
      <c r="O706">
        <v>244.61500000000001</v>
      </c>
      <c r="P706">
        <v>1</v>
      </c>
      <c r="Q706">
        <v>20.966999999999999</v>
      </c>
      <c r="R706" s="1" t="s">
        <v>4422</v>
      </c>
      <c r="S706">
        <v>2016</v>
      </c>
      <c r="T706" s="1" t="s">
        <v>245</v>
      </c>
    </row>
    <row r="707" spans="1:20" x14ac:dyDescent="0.25">
      <c r="A707" s="1" t="s">
        <v>2390</v>
      </c>
      <c r="B707" s="2">
        <v>41905</v>
      </c>
      <c r="C707" s="2">
        <v>41910</v>
      </c>
      <c r="D707" s="1" t="s">
        <v>37</v>
      </c>
      <c r="E707" s="1" t="s">
        <v>849</v>
      </c>
      <c r="F707" s="1" t="s">
        <v>850</v>
      </c>
      <c r="G707" s="1" t="s">
        <v>84</v>
      </c>
      <c r="H707" s="1" t="s">
        <v>630</v>
      </c>
      <c r="I707" s="1" t="s">
        <v>50</v>
      </c>
      <c r="J707" s="1" t="s">
        <v>51</v>
      </c>
      <c r="K707" s="1" t="s">
        <v>2391</v>
      </c>
      <c r="L707" s="1" t="s">
        <v>29</v>
      </c>
      <c r="M707" s="1" t="s">
        <v>30</v>
      </c>
      <c r="N707" s="1" t="s">
        <v>2392</v>
      </c>
      <c r="O707">
        <v>435.99900000000002</v>
      </c>
      <c r="P707">
        <v>3</v>
      </c>
      <c r="Q707">
        <v>20.517600000000002</v>
      </c>
      <c r="R707" s="1" t="s">
        <v>4422</v>
      </c>
      <c r="S707">
        <v>2014</v>
      </c>
      <c r="T707" s="1" t="s">
        <v>72</v>
      </c>
    </row>
    <row r="708" spans="1:20" x14ac:dyDescent="0.25">
      <c r="A708" s="1" t="s">
        <v>2393</v>
      </c>
      <c r="B708" s="2">
        <v>41839</v>
      </c>
      <c r="C708" s="2">
        <v>41844</v>
      </c>
      <c r="D708" s="1" t="s">
        <v>37</v>
      </c>
      <c r="E708" s="1" t="s">
        <v>2394</v>
      </c>
      <c r="F708" s="1" t="s">
        <v>2395</v>
      </c>
      <c r="G708" s="1" t="s">
        <v>84</v>
      </c>
      <c r="H708" s="1" t="s">
        <v>2396</v>
      </c>
      <c r="I708" s="1" t="s">
        <v>421</v>
      </c>
      <c r="J708" s="1" t="s">
        <v>63</v>
      </c>
      <c r="K708" s="1" t="s">
        <v>2397</v>
      </c>
      <c r="L708" s="1" t="s">
        <v>29</v>
      </c>
      <c r="M708" s="1" t="s">
        <v>43</v>
      </c>
      <c r="N708" s="1" t="s">
        <v>2398</v>
      </c>
      <c r="O708">
        <v>70.56</v>
      </c>
      <c r="P708">
        <v>1</v>
      </c>
      <c r="Q708">
        <v>-4.032</v>
      </c>
      <c r="R708" s="1" t="s">
        <v>4422</v>
      </c>
      <c r="S708">
        <v>2014</v>
      </c>
      <c r="T708" s="1" t="s">
        <v>66</v>
      </c>
    </row>
    <row r="709" spans="1:20" x14ac:dyDescent="0.25">
      <c r="A709" s="1" t="s">
        <v>2399</v>
      </c>
      <c r="B709" s="2">
        <v>42159</v>
      </c>
      <c r="C709" s="2">
        <v>42163</v>
      </c>
      <c r="D709" s="1" t="s">
        <v>21</v>
      </c>
      <c r="E709" s="1" t="s">
        <v>1164</v>
      </c>
      <c r="F709" s="1" t="s">
        <v>1165</v>
      </c>
      <c r="G709" s="1" t="s">
        <v>94</v>
      </c>
      <c r="H709" s="1" t="s">
        <v>165</v>
      </c>
      <c r="I709" s="1" t="s">
        <v>114</v>
      </c>
      <c r="J709" s="1" t="s">
        <v>63</v>
      </c>
      <c r="K709" s="1" t="s">
        <v>2400</v>
      </c>
      <c r="L709" s="1" t="s">
        <v>29</v>
      </c>
      <c r="M709" s="1" t="s">
        <v>53</v>
      </c>
      <c r="N709" s="1" t="s">
        <v>2401</v>
      </c>
      <c r="O709">
        <v>35.28</v>
      </c>
      <c r="P709">
        <v>3</v>
      </c>
      <c r="Q709">
        <v>11.995200000000001</v>
      </c>
      <c r="R709" s="1" t="s">
        <v>4424</v>
      </c>
      <c r="S709">
        <v>2015</v>
      </c>
      <c r="T709" s="1" t="s">
        <v>55</v>
      </c>
    </row>
    <row r="710" spans="1:20" x14ac:dyDescent="0.25">
      <c r="A710" s="1" t="s">
        <v>2402</v>
      </c>
      <c r="B710" s="2">
        <v>42567</v>
      </c>
      <c r="C710" s="2">
        <v>42569</v>
      </c>
      <c r="D710" s="1" t="s">
        <v>21</v>
      </c>
      <c r="E710" s="1" t="s">
        <v>2403</v>
      </c>
      <c r="F710" s="1" t="s">
        <v>2404</v>
      </c>
      <c r="G710" s="1" t="s">
        <v>84</v>
      </c>
      <c r="H710" s="1" t="s">
        <v>95</v>
      </c>
      <c r="I710" s="1" t="s">
        <v>86</v>
      </c>
      <c r="J710" s="1" t="s">
        <v>87</v>
      </c>
      <c r="K710" s="1" t="s">
        <v>918</v>
      </c>
      <c r="L710" s="1" t="s">
        <v>29</v>
      </c>
      <c r="M710" s="1" t="s">
        <v>53</v>
      </c>
      <c r="N710" s="1" t="s">
        <v>308</v>
      </c>
      <c r="O710">
        <v>9.5519999999999996</v>
      </c>
      <c r="P710">
        <v>3</v>
      </c>
      <c r="Q710">
        <v>-3.8208000000000002</v>
      </c>
      <c r="R710" s="1" t="s">
        <v>4423</v>
      </c>
      <c r="S710">
        <v>2016</v>
      </c>
      <c r="T710" s="1" t="s">
        <v>66</v>
      </c>
    </row>
    <row r="711" spans="1:20" x14ac:dyDescent="0.25">
      <c r="A711" s="1" t="s">
        <v>2405</v>
      </c>
      <c r="B711" s="2">
        <v>41670</v>
      </c>
      <c r="C711" s="2">
        <v>41672</v>
      </c>
      <c r="D711" s="1" t="s">
        <v>81</v>
      </c>
      <c r="E711" s="1" t="s">
        <v>2406</v>
      </c>
      <c r="F711" s="1" t="s">
        <v>2407</v>
      </c>
      <c r="G711" s="1" t="s">
        <v>24</v>
      </c>
      <c r="H711" s="1" t="s">
        <v>2408</v>
      </c>
      <c r="I711" s="1" t="s">
        <v>50</v>
      </c>
      <c r="J711" s="1" t="s">
        <v>51</v>
      </c>
      <c r="K711" s="1" t="s">
        <v>1447</v>
      </c>
      <c r="L711" s="1" t="s">
        <v>29</v>
      </c>
      <c r="M711" s="1" t="s">
        <v>30</v>
      </c>
      <c r="N711" s="1" t="s">
        <v>1448</v>
      </c>
      <c r="O711">
        <v>290.666</v>
      </c>
      <c r="P711">
        <v>2</v>
      </c>
      <c r="Q711">
        <v>3.4196</v>
      </c>
      <c r="R711" s="1" t="s">
        <v>4423</v>
      </c>
      <c r="S711">
        <v>2014</v>
      </c>
      <c r="T711" s="1" t="s">
        <v>161</v>
      </c>
    </row>
    <row r="712" spans="1:20" x14ac:dyDescent="0.25">
      <c r="A712" s="1" t="s">
        <v>2409</v>
      </c>
      <c r="B712" s="2">
        <v>42329</v>
      </c>
      <c r="C712" s="2">
        <v>42333</v>
      </c>
      <c r="D712" s="1" t="s">
        <v>37</v>
      </c>
      <c r="E712" s="1" t="s">
        <v>2226</v>
      </c>
      <c r="F712" s="1" t="s">
        <v>2227</v>
      </c>
      <c r="G712" s="1" t="s">
        <v>24</v>
      </c>
      <c r="H712" s="1" t="s">
        <v>2410</v>
      </c>
      <c r="I712" s="1" t="s">
        <v>1331</v>
      </c>
      <c r="J712" s="1" t="s">
        <v>51</v>
      </c>
      <c r="K712" s="1" t="s">
        <v>2411</v>
      </c>
      <c r="L712" s="1" t="s">
        <v>29</v>
      </c>
      <c r="M712" s="1" t="s">
        <v>30</v>
      </c>
      <c r="N712" s="1" t="s">
        <v>2412</v>
      </c>
      <c r="O712">
        <v>141.96</v>
      </c>
      <c r="P712">
        <v>2</v>
      </c>
      <c r="Q712">
        <v>41.168399999999998</v>
      </c>
      <c r="R712" s="1" t="s">
        <v>4424</v>
      </c>
      <c r="S712">
        <v>2015</v>
      </c>
      <c r="T712" s="1" t="s">
        <v>32</v>
      </c>
    </row>
    <row r="713" spans="1:20" x14ac:dyDescent="0.25">
      <c r="A713" s="1" t="s">
        <v>2413</v>
      </c>
      <c r="B713" s="2">
        <v>42342</v>
      </c>
      <c r="C713" s="2">
        <v>42348</v>
      </c>
      <c r="D713" s="1" t="s">
        <v>37</v>
      </c>
      <c r="E713" s="1" t="s">
        <v>38</v>
      </c>
      <c r="F713" s="1" t="s">
        <v>39</v>
      </c>
      <c r="G713" s="1" t="s">
        <v>24</v>
      </c>
      <c r="H713" s="1" t="s">
        <v>2414</v>
      </c>
      <c r="I713" s="1" t="s">
        <v>114</v>
      </c>
      <c r="J713" s="1" t="s">
        <v>63</v>
      </c>
      <c r="K713" s="1" t="s">
        <v>2195</v>
      </c>
      <c r="L713" s="1" t="s">
        <v>29</v>
      </c>
      <c r="M713" s="1" t="s">
        <v>53</v>
      </c>
      <c r="N713" s="1" t="s">
        <v>2196</v>
      </c>
      <c r="O713">
        <v>28.44</v>
      </c>
      <c r="P713">
        <v>3</v>
      </c>
      <c r="Q713">
        <v>11.375999999999999</v>
      </c>
      <c r="R713" s="1" t="s">
        <v>4426</v>
      </c>
      <c r="S713">
        <v>2015</v>
      </c>
      <c r="T713" s="1" t="s">
        <v>90</v>
      </c>
    </row>
    <row r="714" spans="1:20" x14ac:dyDescent="0.25">
      <c r="A714" s="1" t="s">
        <v>2413</v>
      </c>
      <c r="B714" s="2">
        <v>42342</v>
      </c>
      <c r="C714" s="2">
        <v>42348</v>
      </c>
      <c r="D714" s="1" t="s">
        <v>37</v>
      </c>
      <c r="E714" s="1" t="s">
        <v>38</v>
      </c>
      <c r="F714" s="1" t="s">
        <v>39</v>
      </c>
      <c r="G714" s="1" t="s">
        <v>24</v>
      </c>
      <c r="H714" s="1" t="s">
        <v>2414</v>
      </c>
      <c r="I714" s="1" t="s">
        <v>114</v>
      </c>
      <c r="J714" s="1" t="s">
        <v>63</v>
      </c>
      <c r="K714" s="1" t="s">
        <v>486</v>
      </c>
      <c r="L714" s="1" t="s">
        <v>29</v>
      </c>
      <c r="M714" s="1" t="s">
        <v>34</v>
      </c>
      <c r="N714" s="1" t="s">
        <v>487</v>
      </c>
      <c r="O714">
        <v>364.41</v>
      </c>
      <c r="P714">
        <v>5</v>
      </c>
      <c r="Q714">
        <v>8.0980000000000008</v>
      </c>
      <c r="R714" s="1" t="s">
        <v>4426</v>
      </c>
      <c r="S714">
        <v>2015</v>
      </c>
      <c r="T714" s="1" t="s">
        <v>90</v>
      </c>
    </row>
    <row r="715" spans="1:20" x14ac:dyDescent="0.25">
      <c r="A715" s="1" t="s">
        <v>2413</v>
      </c>
      <c r="B715" s="2">
        <v>42342</v>
      </c>
      <c r="C715" s="2">
        <v>42348</v>
      </c>
      <c r="D715" s="1" t="s">
        <v>37</v>
      </c>
      <c r="E715" s="1" t="s">
        <v>38</v>
      </c>
      <c r="F715" s="1" t="s">
        <v>39</v>
      </c>
      <c r="G715" s="1" t="s">
        <v>24</v>
      </c>
      <c r="H715" s="1" t="s">
        <v>2414</v>
      </c>
      <c r="I715" s="1" t="s">
        <v>114</v>
      </c>
      <c r="J715" s="1" t="s">
        <v>63</v>
      </c>
      <c r="K715" s="1" t="s">
        <v>321</v>
      </c>
      <c r="L715" s="1" t="s">
        <v>29</v>
      </c>
      <c r="M715" s="1" t="s">
        <v>34</v>
      </c>
      <c r="N715" s="1" t="s">
        <v>322</v>
      </c>
      <c r="O715">
        <v>361.76400000000001</v>
      </c>
      <c r="P715">
        <v>2</v>
      </c>
      <c r="Q715">
        <v>68.333200000000005</v>
      </c>
      <c r="R715" s="1" t="s">
        <v>4426</v>
      </c>
      <c r="S715">
        <v>2015</v>
      </c>
      <c r="T715" s="1" t="s">
        <v>90</v>
      </c>
    </row>
    <row r="716" spans="1:20" x14ac:dyDescent="0.25">
      <c r="A716" s="1" t="s">
        <v>2415</v>
      </c>
      <c r="B716" s="2">
        <v>43062</v>
      </c>
      <c r="C716" s="2">
        <v>43063</v>
      </c>
      <c r="D716" s="1" t="s">
        <v>81</v>
      </c>
      <c r="E716" s="1" t="s">
        <v>2137</v>
      </c>
      <c r="F716" s="1" t="s">
        <v>2138</v>
      </c>
      <c r="G716" s="1" t="s">
        <v>24</v>
      </c>
      <c r="H716" s="1" t="s">
        <v>61</v>
      </c>
      <c r="I716" s="1" t="s">
        <v>62</v>
      </c>
      <c r="J716" s="1" t="s">
        <v>63</v>
      </c>
      <c r="K716" s="1" t="s">
        <v>2416</v>
      </c>
      <c r="L716" s="1" t="s">
        <v>29</v>
      </c>
      <c r="M716" s="1" t="s">
        <v>53</v>
      </c>
      <c r="N716" s="1" t="s">
        <v>2417</v>
      </c>
      <c r="O716">
        <v>24.047999999999998</v>
      </c>
      <c r="P716">
        <v>9</v>
      </c>
      <c r="Q716">
        <v>7.2144000000000004</v>
      </c>
      <c r="R716" s="1" t="s">
        <v>4425</v>
      </c>
      <c r="S716">
        <v>2017</v>
      </c>
      <c r="T716" s="1" t="s">
        <v>32</v>
      </c>
    </row>
    <row r="717" spans="1:20" x14ac:dyDescent="0.25">
      <c r="A717" s="1" t="s">
        <v>2418</v>
      </c>
      <c r="B717" s="2">
        <v>42342</v>
      </c>
      <c r="C717" s="2">
        <v>42347</v>
      </c>
      <c r="D717" s="1" t="s">
        <v>21</v>
      </c>
      <c r="E717" s="1" t="s">
        <v>1672</v>
      </c>
      <c r="F717" s="1" t="s">
        <v>1673</v>
      </c>
      <c r="G717" s="1" t="s">
        <v>24</v>
      </c>
      <c r="H717" s="1" t="s">
        <v>165</v>
      </c>
      <c r="I717" s="1" t="s">
        <v>114</v>
      </c>
      <c r="J717" s="1" t="s">
        <v>63</v>
      </c>
      <c r="K717" s="1" t="s">
        <v>2419</v>
      </c>
      <c r="L717" s="1" t="s">
        <v>29</v>
      </c>
      <c r="M717" s="1" t="s">
        <v>34</v>
      </c>
      <c r="N717" s="1" t="s">
        <v>2420</v>
      </c>
      <c r="O717">
        <v>384.17399999999998</v>
      </c>
      <c r="P717">
        <v>7</v>
      </c>
      <c r="Q717">
        <v>29.880199999999999</v>
      </c>
      <c r="R717" s="1" t="s">
        <v>4422</v>
      </c>
      <c r="S717">
        <v>2015</v>
      </c>
      <c r="T717" s="1" t="s">
        <v>90</v>
      </c>
    </row>
    <row r="718" spans="1:20" x14ac:dyDescent="0.25">
      <c r="A718" s="1" t="s">
        <v>2421</v>
      </c>
      <c r="B718" s="2">
        <v>43015</v>
      </c>
      <c r="C718" s="2">
        <v>43019</v>
      </c>
      <c r="D718" s="1" t="s">
        <v>37</v>
      </c>
      <c r="E718" s="1" t="s">
        <v>2422</v>
      </c>
      <c r="F718" s="1" t="s">
        <v>2423</v>
      </c>
      <c r="G718" s="1" t="s">
        <v>94</v>
      </c>
      <c r="H718" s="1" t="s">
        <v>1518</v>
      </c>
      <c r="I718" s="1" t="s">
        <v>1027</v>
      </c>
      <c r="J718" s="1" t="s">
        <v>27</v>
      </c>
      <c r="K718" s="1" t="s">
        <v>1250</v>
      </c>
      <c r="L718" s="1" t="s">
        <v>29</v>
      </c>
      <c r="M718" s="1" t="s">
        <v>43</v>
      </c>
      <c r="N718" s="1" t="s">
        <v>1054</v>
      </c>
      <c r="O718">
        <v>154.76400000000001</v>
      </c>
      <c r="P718">
        <v>3</v>
      </c>
      <c r="Q718">
        <v>-36.111600000000003</v>
      </c>
      <c r="R718" s="1" t="s">
        <v>4424</v>
      </c>
      <c r="S718">
        <v>2017</v>
      </c>
      <c r="T718" s="1" t="s">
        <v>45</v>
      </c>
    </row>
    <row r="719" spans="1:20" x14ac:dyDescent="0.25">
      <c r="A719" s="1" t="s">
        <v>2424</v>
      </c>
      <c r="B719" s="2">
        <v>42128</v>
      </c>
      <c r="C719" s="2">
        <v>42129</v>
      </c>
      <c r="D719" s="1" t="s">
        <v>81</v>
      </c>
      <c r="E719" s="1" t="s">
        <v>975</v>
      </c>
      <c r="F719" s="1" t="s">
        <v>976</v>
      </c>
      <c r="G719" s="1" t="s">
        <v>84</v>
      </c>
      <c r="H719" s="1" t="s">
        <v>2425</v>
      </c>
      <c r="I719" s="1" t="s">
        <v>126</v>
      </c>
      <c r="J719" s="1" t="s">
        <v>87</v>
      </c>
      <c r="K719" s="1" t="s">
        <v>918</v>
      </c>
      <c r="L719" s="1" t="s">
        <v>29</v>
      </c>
      <c r="M719" s="1" t="s">
        <v>53</v>
      </c>
      <c r="N719" s="1" t="s">
        <v>308</v>
      </c>
      <c r="O719">
        <v>22.288</v>
      </c>
      <c r="P719">
        <v>7</v>
      </c>
      <c r="Q719">
        <v>-8.9152000000000005</v>
      </c>
      <c r="R719" s="1" t="s">
        <v>4425</v>
      </c>
      <c r="S719">
        <v>2015</v>
      </c>
      <c r="T719" s="1" t="s">
        <v>153</v>
      </c>
    </row>
    <row r="720" spans="1:20" x14ac:dyDescent="0.25">
      <c r="A720" s="1" t="s">
        <v>2426</v>
      </c>
      <c r="B720" s="2">
        <v>42884</v>
      </c>
      <c r="C720" s="2">
        <v>42891</v>
      </c>
      <c r="D720" s="1" t="s">
        <v>37</v>
      </c>
      <c r="E720" s="1" t="s">
        <v>1422</v>
      </c>
      <c r="F720" s="1" t="s">
        <v>1423</v>
      </c>
      <c r="G720" s="1" t="s">
        <v>24</v>
      </c>
      <c r="H720" s="1" t="s">
        <v>95</v>
      </c>
      <c r="I720" s="1" t="s">
        <v>86</v>
      </c>
      <c r="J720" s="1" t="s">
        <v>87</v>
      </c>
      <c r="K720" s="1" t="s">
        <v>2427</v>
      </c>
      <c r="L720" s="1" t="s">
        <v>29</v>
      </c>
      <c r="M720" s="1" t="s">
        <v>53</v>
      </c>
      <c r="N720" s="1" t="s">
        <v>2428</v>
      </c>
      <c r="O720">
        <v>65.424000000000007</v>
      </c>
      <c r="P720">
        <v>4</v>
      </c>
      <c r="Q720">
        <v>-52.339199999999998</v>
      </c>
      <c r="R720" s="1" t="s">
        <v>4421</v>
      </c>
      <c r="S720">
        <v>2017</v>
      </c>
      <c r="T720" s="1" t="s">
        <v>153</v>
      </c>
    </row>
    <row r="721" spans="1:20" x14ac:dyDescent="0.25">
      <c r="A721" s="1" t="s">
        <v>2429</v>
      </c>
      <c r="B721" s="2">
        <v>41752</v>
      </c>
      <c r="C721" s="2">
        <v>41756</v>
      </c>
      <c r="D721" s="1" t="s">
        <v>37</v>
      </c>
      <c r="E721" s="1" t="s">
        <v>2430</v>
      </c>
      <c r="F721" s="1" t="s">
        <v>2431</v>
      </c>
      <c r="G721" s="1" t="s">
        <v>94</v>
      </c>
      <c r="H721" s="1" t="s">
        <v>339</v>
      </c>
      <c r="I721" s="1" t="s">
        <v>223</v>
      </c>
      <c r="J721" s="1" t="s">
        <v>63</v>
      </c>
      <c r="K721" s="1" t="s">
        <v>321</v>
      </c>
      <c r="L721" s="1" t="s">
        <v>29</v>
      </c>
      <c r="M721" s="1" t="s">
        <v>34</v>
      </c>
      <c r="N721" s="1" t="s">
        <v>322</v>
      </c>
      <c r="O721">
        <v>281.37200000000001</v>
      </c>
      <c r="P721">
        <v>2</v>
      </c>
      <c r="Q721">
        <v>-12.0588</v>
      </c>
      <c r="R721" s="1" t="s">
        <v>4424</v>
      </c>
      <c r="S721">
        <v>2014</v>
      </c>
      <c r="T721" s="1" t="s">
        <v>107</v>
      </c>
    </row>
    <row r="722" spans="1:20" x14ac:dyDescent="0.25">
      <c r="A722" s="1" t="s">
        <v>2429</v>
      </c>
      <c r="B722" s="2">
        <v>41752</v>
      </c>
      <c r="C722" s="2">
        <v>41756</v>
      </c>
      <c r="D722" s="1" t="s">
        <v>37</v>
      </c>
      <c r="E722" s="1" t="s">
        <v>2430</v>
      </c>
      <c r="F722" s="1" t="s">
        <v>2431</v>
      </c>
      <c r="G722" s="1" t="s">
        <v>94</v>
      </c>
      <c r="H722" s="1" t="s">
        <v>339</v>
      </c>
      <c r="I722" s="1" t="s">
        <v>223</v>
      </c>
      <c r="J722" s="1" t="s">
        <v>63</v>
      </c>
      <c r="K722" s="1" t="s">
        <v>321</v>
      </c>
      <c r="L722" s="1" t="s">
        <v>29</v>
      </c>
      <c r="M722" s="1" t="s">
        <v>34</v>
      </c>
      <c r="N722" s="1" t="s">
        <v>322</v>
      </c>
      <c r="O722">
        <v>281.37200000000001</v>
      </c>
      <c r="P722">
        <v>2</v>
      </c>
      <c r="Q722">
        <v>-12.0588</v>
      </c>
      <c r="R722" s="1" t="s">
        <v>4424</v>
      </c>
      <c r="S722">
        <v>2014</v>
      </c>
      <c r="T722" s="1" t="s">
        <v>107</v>
      </c>
    </row>
    <row r="723" spans="1:20" x14ac:dyDescent="0.25">
      <c r="A723" s="1" t="s">
        <v>2429</v>
      </c>
      <c r="B723" s="2">
        <v>41752</v>
      </c>
      <c r="C723" s="2">
        <v>41756</v>
      </c>
      <c r="D723" s="1" t="s">
        <v>37</v>
      </c>
      <c r="E723" s="1" t="s">
        <v>2430</v>
      </c>
      <c r="F723" s="1" t="s">
        <v>2431</v>
      </c>
      <c r="G723" s="1" t="s">
        <v>94</v>
      </c>
      <c r="H723" s="1" t="s">
        <v>339</v>
      </c>
      <c r="I723" s="1" t="s">
        <v>223</v>
      </c>
      <c r="J723" s="1" t="s">
        <v>63</v>
      </c>
      <c r="K723" s="1" t="s">
        <v>968</v>
      </c>
      <c r="L723" s="1" t="s">
        <v>29</v>
      </c>
      <c r="M723" s="1" t="s">
        <v>53</v>
      </c>
      <c r="N723" s="1" t="s">
        <v>969</v>
      </c>
      <c r="O723">
        <v>22.335999999999999</v>
      </c>
      <c r="P723">
        <v>4</v>
      </c>
      <c r="Q723">
        <v>7.8175999999999997</v>
      </c>
      <c r="R723" s="1" t="s">
        <v>4424</v>
      </c>
      <c r="S723">
        <v>2014</v>
      </c>
      <c r="T723" s="1" t="s">
        <v>107</v>
      </c>
    </row>
    <row r="724" spans="1:20" x14ac:dyDescent="0.25">
      <c r="A724" s="1" t="s">
        <v>2432</v>
      </c>
      <c r="B724" s="2">
        <v>42253</v>
      </c>
      <c r="C724" s="2">
        <v>42260</v>
      </c>
      <c r="D724" s="1" t="s">
        <v>37</v>
      </c>
      <c r="E724" s="1" t="s">
        <v>873</v>
      </c>
      <c r="F724" s="1" t="s">
        <v>874</v>
      </c>
      <c r="G724" s="1" t="s">
        <v>94</v>
      </c>
      <c r="H724" s="1" t="s">
        <v>165</v>
      </c>
      <c r="I724" s="1" t="s">
        <v>114</v>
      </c>
      <c r="J724" s="1" t="s">
        <v>63</v>
      </c>
      <c r="K724" s="1" t="s">
        <v>846</v>
      </c>
      <c r="L724" s="1" t="s">
        <v>29</v>
      </c>
      <c r="M724" s="1" t="s">
        <v>34</v>
      </c>
      <c r="N724" s="1" t="s">
        <v>847</v>
      </c>
      <c r="O724">
        <v>271.76400000000001</v>
      </c>
      <c r="P724">
        <v>2</v>
      </c>
      <c r="Q724">
        <v>60.392000000000003</v>
      </c>
      <c r="R724" s="1" t="s">
        <v>4421</v>
      </c>
      <c r="S724">
        <v>2015</v>
      </c>
      <c r="T724" s="1" t="s">
        <v>72</v>
      </c>
    </row>
    <row r="725" spans="1:20" x14ac:dyDescent="0.25">
      <c r="A725" s="1" t="s">
        <v>2433</v>
      </c>
      <c r="B725" s="2">
        <v>42271</v>
      </c>
      <c r="C725" s="2">
        <v>42275</v>
      </c>
      <c r="D725" s="1" t="s">
        <v>37</v>
      </c>
      <c r="E725" s="1" t="s">
        <v>2434</v>
      </c>
      <c r="F725" s="1" t="s">
        <v>2435</v>
      </c>
      <c r="G725" s="1" t="s">
        <v>94</v>
      </c>
      <c r="H725" s="1" t="s">
        <v>2436</v>
      </c>
      <c r="I725" s="1" t="s">
        <v>792</v>
      </c>
      <c r="J725" s="1" t="s">
        <v>87</v>
      </c>
      <c r="K725" s="1" t="s">
        <v>1523</v>
      </c>
      <c r="L725" s="1" t="s">
        <v>29</v>
      </c>
      <c r="M725" s="1" t="s">
        <v>34</v>
      </c>
      <c r="N725" s="1" t="s">
        <v>1524</v>
      </c>
      <c r="O725">
        <v>1408.1</v>
      </c>
      <c r="P725">
        <v>10</v>
      </c>
      <c r="Q725">
        <v>394.26799999999997</v>
      </c>
      <c r="R725" s="1" t="s">
        <v>4424</v>
      </c>
      <c r="S725">
        <v>2015</v>
      </c>
      <c r="T725" s="1" t="s">
        <v>72</v>
      </c>
    </row>
    <row r="726" spans="1:20" x14ac:dyDescent="0.25">
      <c r="A726" s="1" t="s">
        <v>2437</v>
      </c>
      <c r="B726" s="2">
        <v>42919</v>
      </c>
      <c r="C726" s="2">
        <v>42922</v>
      </c>
      <c r="D726" s="1" t="s">
        <v>21</v>
      </c>
      <c r="E726" s="1" t="s">
        <v>1215</v>
      </c>
      <c r="F726" s="1" t="s">
        <v>1216</v>
      </c>
      <c r="G726" s="1" t="s">
        <v>94</v>
      </c>
      <c r="H726" s="1" t="s">
        <v>806</v>
      </c>
      <c r="I726" s="1" t="s">
        <v>223</v>
      </c>
      <c r="J726" s="1" t="s">
        <v>63</v>
      </c>
      <c r="K726" s="1" t="s">
        <v>445</v>
      </c>
      <c r="L726" s="1" t="s">
        <v>29</v>
      </c>
      <c r="M726" s="1" t="s">
        <v>43</v>
      </c>
      <c r="N726" s="1" t="s">
        <v>446</v>
      </c>
      <c r="O726">
        <v>215.148</v>
      </c>
      <c r="P726">
        <v>2</v>
      </c>
      <c r="Q726">
        <v>-103.98820000000001</v>
      </c>
      <c r="R726" s="1" t="s">
        <v>4420</v>
      </c>
      <c r="S726">
        <v>2017</v>
      </c>
      <c r="T726" s="1" t="s">
        <v>66</v>
      </c>
    </row>
    <row r="727" spans="1:20" x14ac:dyDescent="0.25">
      <c r="A727" s="1" t="s">
        <v>2438</v>
      </c>
      <c r="B727" s="2">
        <v>43077</v>
      </c>
      <c r="C727" s="2">
        <v>43078</v>
      </c>
      <c r="D727" s="1" t="s">
        <v>81</v>
      </c>
      <c r="E727" s="1" t="s">
        <v>1565</v>
      </c>
      <c r="F727" s="1" t="s">
        <v>1566</v>
      </c>
      <c r="G727" s="1" t="s">
        <v>24</v>
      </c>
      <c r="H727" s="1" t="s">
        <v>2439</v>
      </c>
      <c r="I727" s="1" t="s">
        <v>50</v>
      </c>
      <c r="J727" s="1" t="s">
        <v>51</v>
      </c>
      <c r="K727" s="1" t="s">
        <v>2440</v>
      </c>
      <c r="L727" s="1" t="s">
        <v>29</v>
      </c>
      <c r="M727" s="1" t="s">
        <v>53</v>
      </c>
      <c r="N727" s="1" t="s">
        <v>2441</v>
      </c>
      <c r="O727">
        <v>128.9</v>
      </c>
      <c r="P727">
        <v>2</v>
      </c>
      <c r="Q727">
        <v>15.468</v>
      </c>
      <c r="R727" s="1" t="s">
        <v>4425</v>
      </c>
      <c r="S727">
        <v>2017</v>
      </c>
      <c r="T727" s="1" t="s">
        <v>90</v>
      </c>
    </row>
    <row r="728" spans="1:20" x14ac:dyDescent="0.25">
      <c r="A728" s="1" t="s">
        <v>2442</v>
      </c>
      <c r="B728" s="2">
        <v>42274</v>
      </c>
      <c r="C728" s="2">
        <v>42276</v>
      </c>
      <c r="D728" s="1" t="s">
        <v>81</v>
      </c>
      <c r="E728" s="1" t="s">
        <v>1300</v>
      </c>
      <c r="F728" s="1" t="s">
        <v>1301</v>
      </c>
      <c r="G728" s="1" t="s">
        <v>24</v>
      </c>
      <c r="H728" s="1" t="s">
        <v>125</v>
      </c>
      <c r="I728" s="1" t="s">
        <v>126</v>
      </c>
      <c r="J728" s="1" t="s">
        <v>87</v>
      </c>
      <c r="K728" s="1" t="s">
        <v>639</v>
      </c>
      <c r="L728" s="1" t="s">
        <v>29</v>
      </c>
      <c r="M728" s="1" t="s">
        <v>53</v>
      </c>
      <c r="N728" s="1" t="s">
        <v>640</v>
      </c>
      <c r="O728">
        <v>24.288</v>
      </c>
      <c r="P728">
        <v>3</v>
      </c>
      <c r="Q728">
        <v>-12.751200000000001</v>
      </c>
      <c r="R728" s="1" t="s">
        <v>4423</v>
      </c>
      <c r="S728">
        <v>2015</v>
      </c>
      <c r="T728" s="1" t="s">
        <v>72</v>
      </c>
    </row>
    <row r="729" spans="1:20" x14ac:dyDescent="0.25">
      <c r="A729" s="1" t="s">
        <v>2443</v>
      </c>
      <c r="B729" s="2">
        <v>43038</v>
      </c>
      <c r="C729" s="2">
        <v>43038</v>
      </c>
      <c r="D729" s="1" t="s">
        <v>417</v>
      </c>
      <c r="E729" s="1" t="s">
        <v>1573</v>
      </c>
      <c r="F729" s="1" t="s">
        <v>1574</v>
      </c>
      <c r="G729" s="1" t="s">
        <v>24</v>
      </c>
      <c r="H729" s="1" t="s">
        <v>1730</v>
      </c>
      <c r="I729" s="1" t="s">
        <v>86</v>
      </c>
      <c r="J729" s="1" t="s">
        <v>87</v>
      </c>
      <c r="K729" s="1" t="s">
        <v>639</v>
      </c>
      <c r="L729" s="1" t="s">
        <v>29</v>
      </c>
      <c r="M729" s="1" t="s">
        <v>53</v>
      </c>
      <c r="N729" s="1" t="s">
        <v>640</v>
      </c>
      <c r="O729">
        <v>16.192</v>
      </c>
      <c r="P729">
        <v>2</v>
      </c>
      <c r="Q729">
        <v>-8.5007999999999999</v>
      </c>
      <c r="R729" s="1" t="s">
        <v>4427</v>
      </c>
      <c r="S729">
        <v>2017</v>
      </c>
      <c r="T729" s="1" t="s">
        <v>45</v>
      </c>
    </row>
    <row r="730" spans="1:20" x14ac:dyDescent="0.25">
      <c r="A730" s="1" t="s">
        <v>2443</v>
      </c>
      <c r="B730" s="2">
        <v>43038</v>
      </c>
      <c r="C730" s="2">
        <v>43038</v>
      </c>
      <c r="D730" s="1" t="s">
        <v>417</v>
      </c>
      <c r="E730" s="1" t="s">
        <v>1573</v>
      </c>
      <c r="F730" s="1" t="s">
        <v>1574</v>
      </c>
      <c r="G730" s="1" t="s">
        <v>24</v>
      </c>
      <c r="H730" s="1" t="s">
        <v>1730</v>
      </c>
      <c r="I730" s="1" t="s">
        <v>86</v>
      </c>
      <c r="J730" s="1" t="s">
        <v>87</v>
      </c>
      <c r="K730" s="1" t="s">
        <v>445</v>
      </c>
      <c r="L730" s="1" t="s">
        <v>29</v>
      </c>
      <c r="M730" s="1" t="s">
        <v>43</v>
      </c>
      <c r="N730" s="1" t="s">
        <v>446</v>
      </c>
      <c r="O730">
        <v>251.006</v>
      </c>
      <c r="P730">
        <v>2</v>
      </c>
      <c r="Q730">
        <v>-68.130200000000002</v>
      </c>
      <c r="R730" s="1" t="s">
        <v>4427</v>
      </c>
      <c r="S730">
        <v>2017</v>
      </c>
      <c r="T730" s="1" t="s">
        <v>45</v>
      </c>
    </row>
    <row r="731" spans="1:20" x14ac:dyDescent="0.25">
      <c r="A731" s="1" t="s">
        <v>2444</v>
      </c>
      <c r="B731" s="2">
        <v>42994</v>
      </c>
      <c r="C731" s="2">
        <v>42996</v>
      </c>
      <c r="D731" s="1" t="s">
        <v>81</v>
      </c>
      <c r="E731" s="1" t="s">
        <v>1616</v>
      </c>
      <c r="F731" s="1" t="s">
        <v>1617</v>
      </c>
      <c r="G731" s="1" t="s">
        <v>24</v>
      </c>
      <c r="H731" s="1" t="s">
        <v>61</v>
      </c>
      <c r="I731" s="1" t="s">
        <v>62</v>
      </c>
      <c r="J731" s="1" t="s">
        <v>63</v>
      </c>
      <c r="K731" s="1" t="s">
        <v>2117</v>
      </c>
      <c r="L731" s="1" t="s">
        <v>29</v>
      </c>
      <c r="M731" s="1" t="s">
        <v>53</v>
      </c>
      <c r="N731" s="1" t="s">
        <v>2118</v>
      </c>
      <c r="O731">
        <v>22.512</v>
      </c>
      <c r="P731">
        <v>3</v>
      </c>
      <c r="Q731">
        <v>2.2511999999999999</v>
      </c>
      <c r="R731" s="1" t="s">
        <v>4423</v>
      </c>
      <c r="S731">
        <v>2017</v>
      </c>
      <c r="T731" s="1" t="s">
        <v>72</v>
      </c>
    </row>
    <row r="732" spans="1:20" x14ac:dyDescent="0.25">
      <c r="A732" s="1" t="s">
        <v>2445</v>
      </c>
      <c r="B732" s="2">
        <v>42257</v>
      </c>
      <c r="C732" s="2">
        <v>42261</v>
      </c>
      <c r="D732" s="1" t="s">
        <v>37</v>
      </c>
      <c r="E732" s="1" t="s">
        <v>1589</v>
      </c>
      <c r="F732" s="1" t="s">
        <v>1590</v>
      </c>
      <c r="G732" s="1" t="s">
        <v>84</v>
      </c>
      <c r="H732" s="1" t="s">
        <v>2446</v>
      </c>
      <c r="I732" s="1" t="s">
        <v>425</v>
      </c>
      <c r="J732" s="1" t="s">
        <v>63</v>
      </c>
      <c r="K732" s="1" t="s">
        <v>269</v>
      </c>
      <c r="L732" s="1" t="s">
        <v>29</v>
      </c>
      <c r="M732" s="1" t="s">
        <v>30</v>
      </c>
      <c r="N732" s="1" t="s">
        <v>270</v>
      </c>
      <c r="O732">
        <v>361.96</v>
      </c>
      <c r="P732">
        <v>2</v>
      </c>
      <c r="Q732">
        <v>83.250799999999998</v>
      </c>
      <c r="R732" s="1" t="s">
        <v>4424</v>
      </c>
      <c r="S732">
        <v>2015</v>
      </c>
      <c r="T732" s="1" t="s">
        <v>72</v>
      </c>
    </row>
    <row r="733" spans="1:20" x14ac:dyDescent="0.25">
      <c r="A733" s="1" t="s">
        <v>2447</v>
      </c>
      <c r="B733" s="2">
        <v>42718</v>
      </c>
      <c r="C733" s="2">
        <v>42723</v>
      </c>
      <c r="D733" s="1" t="s">
        <v>37</v>
      </c>
      <c r="E733" s="1" t="s">
        <v>1328</v>
      </c>
      <c r="F733" s="1" t="s">
        <v>1329</v>
      </c>
      <c r="G733" s="1" t="s">
        <v>24</v>
      </c>
      <c r="H733" s="1" t="s">
        <v>468</v>
      </c>
      <c r="I733" s="1" t="s">
        <v>469</v>
      </c>
      <c r="J733" s="1" t="s">
        <v>27</v>
      </c>
      <c r="K733" s="1" t="s">
        <v>1974</v>
      </c>
      <c r="L733" s="1" t="s">
        <v>29</v>
      </c>
      <c r="M733" s="1" t="s">
        <v>53</v>
      </c>
      <c r="N733" s="1" t="s">
        <v>1975</v>
      </c>
      <c r="O733">
        <v>133.38</v>
      </c>
      <c r="P733">
        <v>6</v>
      </c>
      <c r="Q733">
        <v>58.687199999999997</v>
      </c>
      <c r="R733" s="1" t="s">
        <v>4422</v>
      </c>
      <c r="S733">
        <v>2016</v>
      </c>
      <c r="T733" s="1" t="s">
        <v>90</v>
      </c>
    </row>
    <row r="734" spans="1:20" x14ac:dyDescent="0.25">
      <c r="A734" s="1" t="s">
        <v>2448</v>
      </c>
      <c r="B734" s="2">
        <v>42705</v>
      </c>
      <c r="C734" s="2">
        <v>42709</v>
      </c>
      <c r="D734" s="1" t="s">
        <v>37</v>
      </c>
      <c r="E734" s="1" t="s">
        <v>1346</v>
      </c>
      <c r="F734" s="1" t="s">
        <v>1347</v>
      </c>
      <c r="G734" s="1" t="s">
        <v>24</v>
      </c>
      <c r="H734" s="1" t="s">
        <v>320</v>
      </c>
      <c r="I734" s="1" t="s">
        <v>50</v>
      </c>
      <c r="J734" s="1" t="s">
        <v>51</v>
      </c>
      <c r="K734" s="1" t="s">
        <v>1138</v>
      </c>
      <c r="L734" s="1" t="s">
        <v>29</v>
      </c>
      <c r="M734" s="1" t="s">
        <v>53</v>
      </c>
      <c r="N734" s="1" t="s">
        <v>1139</v>
      </c>
      <c r="O734">
        <v>16.739999999999998</v>
      </c>
      <c r="P734">
        <v>2</v>
      </c>
      <c r="Q734">
        <v>4.3524000000000003</v>
      </c>
      <c r="R734" s="1" t="s">
        <v>4424</v>
      </c>
      <c r="S734">
        <v>2016</v>
      </c>
      <c r="T734" s="1" t="s">
        <v>90</v>
      </c>
    </row>
    <row r="735" spans="1:20" x14ac:dyDescent="0.25">
      <c r="A735" s="1" t="s">
        <v>2449</v>
      </c>
      <c r="B735" s="2">
        <v>42797</v>
      </c>
      <c r="C735" s="2">
        <v>42804</v>
      </c>
      <c r="D735" s="1" t="s">
        <v>37</v>
      </c>
      <c r="E735" s="1" t="s">
        <v>2054</v>
      </c>
      <c r="F735" s="1" t="s">
        <v>2055</v>
      </c>
      <c r="G735" s="1" t="s">
        <v>24</v>
      </c>
      <c r="H735" s="1" t="s">
        <v>2450</v>
      </c>
      <c r="I735" s="1" t="s">
        <v>281</v>
      </c>
      <c r="J735" s="1" t="s">
        <v>87</v>
      </c>
      <c r="K735" s="1" t="s">
        <v>412</v>
      </c>
      <c r="L735" s="1" t="s">
        <v>29</v>
      </c>
      <c r="M735" s="1" t="s">
        <v>34</v>
      </c>
      <c r="N735" s="1" t="s">
        <v>413</v>
      </c>
      <c r="O735">
        <v>180.98</v>
      </c>
      <c r="P735">
        <v>1</v>
      </c>
      <c r="Q735">
        <v>47.0548</v>
      </c>
      <c r="R735" s="1" t="s">
        <v>4421</v>
      </c>
      <c r="S735">
        <v>2017</v>
      </c>
      <c r="T735" s="1" t="s">
        <v>187</v>
      </c>
    </row>
    <row r="736" spans="1:20" x14ac:dyDescent="0.25">
      <c r="A736" s="1" t="s">
        <v>2451</v>
      </c>
      <c r="B736" s="2">
        <v>42712</v>
      </c>
      <c r="C736" s="2">
        <v>42718</v>
      </c>
      <c r="D736" s="1" t="s">
        <v>37</v>
      </c>
      <c r="E736" s="1" t="s">
        <v>1102</v>
      </c>
      <c r="F736" s="1" t="s">
        <v>1103</v>
      </c>
      <c r="G736" s="1" t="s">
        <v>84</v>
      </c>
      <c r="H736" s="1" t="s">
        <v>320</v>
      </c>
      <c r="I736" s="1" t="s">
        <v>50</v>
      </c>
      <c r="J736" s="1" t="s">
        <v>51</v>
      </c>
      <c r="K736" s="1" t="s">
        <v>1662</v>
      </c>
      <c r="L736" s="1" t="s">
        <v>29</v>
      </c>
      <c r="M736" s="1" t="s">
        <v>43</v>
      </c>
      <c r="N736" s="1" t="s">
        <v>1663</v>
      </c>
      <c r="O736">
        <v>1421.664</v>
      </c>
      <c r="P736">
        <v>6</v>
      </c>
      <c r="Q736">
        <v>-195.47880000000001</v>
      </c>
      <c r="R736" s="1" t="s">
        <v>4426</v>
      </c>
      <c r="S736">
        <v>2016</v>
      </c>
      <c r="T736" s="1" t="s">
        <v>90</v>
      </c>
    </row>
    <row r="737" spans="1:20" x14ac:dyDescent="0.25">
      <c r="A737" s="1" t="s">
        <v>2452</v>
      </c>
      <c r="B737" s="2">
        <v>41736</v>
      </c>
      <c r="C737" s="2">
        <v>41739</v>
      </c>
      <c r="D737" s="1" t="s">
        <v>81</v>
      </c>
      <c r="E737" s="1" t="s">
        <v>838</v>
      </c>
      <c r="F737" s="1" t="s">
        <v>839</v>
      </c>
      <c r="G737" s="1" t="s">
        <v>24</v>
      </c>
      <c r="H737" s="1" t="s">
        <v>2453</v>
      </c>
      <c r="I737" s="1" t="s">
        <v>1267</v>
      </c>
      <c r="J737" s="1" t="s">
        <v>27</v>
      </c>
      <c r="K737" s="1" t="s">
        <v>1399</v>
      </c>
      <c r="L737" s="1" t="s">
        <v>29</v>
      </c>
      <c r="M737" s="1" t="s">
        <v>53</v>
      </c>
      <c r="N737" s="1" t="s">
        <v>1400</v>
      </c>
      <c r="O737">
        <v>8.9600000000000009</v>
      </c>
      <c r="P737">
        <v>2</v>
      </c>
      <c r="Q737">
        <v>2.7776000000000001</v>
      </c>
      <c r="R737" s="1" t="s">
        <v>4420</v>
      </c>
      <c r="S737">
        <v>2014</v>
      </c>
      <c r="T737" s="1" t="s">
        <v>107</v>
      </c>
    </row>
    <row r="738" spans="1:20" x14ac:dyDescent="0.25">
      <c r="A738" s="1" t="s">
        <v>2454</v>
      </c>
      <c r="B738" s="2">
        <v>41878</v>
      </c>
      <c r="C738" s="2">
        <v>41880</v>
      </c>
      <c r="D738" s="1" t="s">
        <v>81</v>
      </c>
      <c r="E738" s="1" t="s">
        <v>2455</v>
      </c>
      <c r="F738" s="1" t="s">
        <v>2456</v>
      </c>
      <c r="G738" s="1" t="s">
        <v>84</v>
      </c>
      <c r="H738" s="1" t="s">
        <v>869</v>
      </c>
      <c r="I738" s="1" t="s">
        <v>707</v>
      </c>
      <c r="J738" s="1" t="s">
        <v>27</v>
      </c>
      <c r="K738" s="1" t="s">
        <v>1339</v>
      </c>
      <c r="L738" s="1" t="s">
        <v>29</v>
      </c>
      <c r="M738" s="1" t="s">
        <v>53</v>
      </c>
      <c r="N738" s="1" t="s">
        <v>1340</v>
      </c>
      <c r="O738">
        <v>29.12</v>
      </c>
      <c r="P738">
        <v>4</v>
      </c>
      <c r="Q738">
        <v>12.521599999999999</v>
      </c>
      <c r="R738" s="1" t="s">
        <v>4423</v>
      </c>
      <c r="S738">
        <v>2014</v>
      </c>
      <c r="T738" s="1" t="s">
        <v>245</v>
      </c>
    </row>
    <row r="739" spans="1:20" x14ac:dyDescent="0.25">
      <c r="A739" s="1" t="s">
        <v>2454</v>
      </c>
      <c r="B739" s="2">
        <v>41878</v>
      </c>
      <c r="C739" s="2">
        <v>41880</v>
      </c>
      <c r="D739" s="1" t="s">
        <v>81</v>
      </c>
      <c r="E739" s="1" t="s">
        <v>2455</v>
      </c>
      <c r="F739" s="1" t="s">
        <v>2456</v>
      </c>
      <c r="G739" s="1" t="s">
        <v>84</v>
      </c>
      <c r="H739" s="1" t="s">
        <v>869</v>
      </c>
      <c r="I739" s="1" t="s">
        <v>707</v>
      </c>
      <c r="J739" s="1" t="s">
        <v>27</v>
      </c>
      <c r="K739" s="1" t="s">
        <v>1982</v>
      </c>
      <c r="L739" s="1" t="s">
        <v>29</v>
      </c>
      <c r="M739" s="1" t="s">
        <v>43</v>
      </c>
      <c r="N739" s="1" t="s">
        <v>1983</v>
      </c>
      <c r="O739">
        <v>1202.94</v>
      </c>
      <c r="P739">
        <v>3</v>
      </c>
      <c r="Q739">
        <v>300.73500000000001</v>
      </c>
      <c r="R739" s="1" t="s">
        <v>4423</v>
      </c>
      <c r="S739">
        <v>2014</v>
      </c>
      <c r="T739" s="1" t="s">
        <v>245</v>
      </c>
    </row>
    <row r="740" spans="1:20" x14ac:dyDescent="0.25">
      <c r="A740" s="1" t="s">
        <v>2457</v>
      </c>
      <c r="B740" s="2">
        <v>42187</v>
      </c>
      <c r="C740" s="2">
        <v>42191</v>
      </c>
      <c r="D740" s="1" t="s">
        <v>37</v>
      </c>
      <c r="E740" s="1" t="s">
        <v>2458</v>
      </c>
      <c r="F740" s="1" t="s">
        <v>2459</v>
      </c>
      <c r="G740" s="1" t="s">
        <v>24</v>
      </c>
      <c r="H740" s="1" t="s">
        <v>2460</v>
      </c>
      <c r="I740" s="1" t="s">
        <v>126</v>
      </c>
      <c r="J740" s="1" t="s">
        <v>87</v>
      </c>
      <c r="K740" s="1" t="s">
        <v>373</v>
      </c>
      <c r="L740" s="1" t="s">
        <v>29</v>
      </c>
      <c r="M740" s="1" t="s">
        <v>34</v>
      </c>
      <c r="N740" s="1" t="s">
        <v>374</v>
      </c>
      <c r="O740">
        <v>408.42200000000003</v>
      </c>
      <c r="P740">
        <v>2</v>
      </c>
      <c r="Q740">
        <v>-5.8346</v>
      </c>
      <c r="R740" s="1" t="s">
        <v>4424</v>
      </c>
      <c r="S740">
        <v>2015</v>
      </c>
      <c r="T740" s="1" t="s">
        <v>66</v>
      </c>
    </row>
    <row r="741" spans="1:20" x14ac:dyDescent="0.25">
      <c r="A741" s="1" t="s">
        <v>2457</v>
      </c>
      <c r="B741" s="2">
        <v>42187</v>
      </c>
      <c r="C741" s="2">
        <v>42191</v>
      </c>
      <c r="D741" s="1" t="s">
        <v>37</v>
      </c>
      <c r="E741" s="1" t="s">
        <v>2458</v>
      </c>
      <c r="F741" s="1" t="s">
        <v>2459</v>
      </c>
      <c r="G741" s="1" t="s">
        <v>24</v>
      </c>
      <c r="H741" s="1" t="s">
        <v>2460</v>
      </c>
      <c r="I741" s="1" t="s">
        <v>126</v>
      </c>
      <c r="J741" s="1" t="s">
        <v>87</v>
      </c>
      <c r="K741" s="1" t="s">
        <v>1608</v>
      </c>
      <c r="L741" s="1" t="s">
        <v>29</v>
      </c>
      <c r="M741" s="1" t="s">
        <v>34</v>
      </c>
      <c r="N741" s="1" t="s">
        <v>1609</v>
      </c>
      <c r="O741">
        <v>382.11599999999999</v>
      </c>
      <c r="P741">
        <v>6</v>
      </c>
      <c r="Q741">
        <v>-92.799599999999998</v>
      </c>
      <c r="R741" s="1" t="s">
        <v>4424</v>
      </c>
      <c r="S741">
        <v>2015</v>
      </c>
      <c r="T741" s="1" t="s">
        <v>66</v>
      </c>
    </row>
    <row r="742" spans="1:20" x14ac:dyDescent="0.25">
      <c r="A742" s="1" t="s">
        <v>2461</v>
      </c>
      <c r="B742" s="2">
        <v>43002</v>
      </c>
      <c r="C742" s="2">
        <v>43006</v>
      </c>
      <c r="D742" s="1" t="s">
        <v>37</v>
      </c>
      <c r="E742" s="1" t="s">
        <v>569</v>
      </c>
      <c r="F742" s="1" t="s">
        <v>570</v>
      </c>
      <c r="G742" s="1" t="s">
        <v>84</v>
      </c>
      <c r="H742" s="1" t="s">
        <v>2462</v>
      </c>
      <c r="I742" s="1" t="s">
        <v>158</v>
      </c>
      <c r="J742" s="1" t="s">
        <v>87</v>
      </c>
      <c r="K742" s="1" t="s">
        <v>846</v>
      </c>
      <c r="L742" s="1" t="s">
        <v>29</v>
      </c>
      <c r="M742" s="1" t="s">
        <v>34</v>
      </c>
      <c r="N742" s="1" t="s">
        <v>847</v>
      </c>
      <c r="O742">
        <v>603.91999999999996</v>
      </c>
      <c r="P742">
        <v>4</v>
      </c>
      <c r="Q742">
        <v>181.17599999999999</v>
      </c>
      <c r="R742" s="1" t="s">
        <v>4424</v>
      </c>
      <c r="S742">
        <v>2017</v>
      </c>
      <c r="T742" s="1" t="s">
        <v>72</v>
      </c>
    </row>
    <row r="743" spans="1:20" x14ac:dyDescent="0.25">
      <c r="A743" s="1" t="s">
        <v>2463</v>
      </c>
      <c r="B743" s="2">
        <v>42590</v>
      </c>
      <c r="C743" s="2">
        <v>42597</v>
      </c>
      <c r="D743" s="1" t="s">
        <v>37</v>
      </c>
      <c r="E743" s="1" t="s">
        <v>2464</v>
      </c>
      <c r="F743" s="1" t="s">
        <v>2465</v>
      </c>
      <c r="G743" s="1" t="s">
        <v>94</v>
      </c>
      <c r="H743" s="1" t="s">
        <v>49</v>
      </c>
      <c r="I743" s="1" t="s">
        <v>50</v>
      </c>
      <c r="J743" s="1" t="s">
        <v>51</v>
      </c>
      <c r="K743" s="1" t="s">
        <v>1068</v>
      </c>
      <c r="L743" s="1" t="s">
        <v>29</v>
      </c>
      <c r="M743" s="1" t="s">
        <v>43</v>
      </c>
      <c r="N743" s="1" t="s">
        <v>1069</v>
      </c>
      <c r="O743">
        <v>513.024</v>
      </c>
      <c r="P743">
        <v>2</v>
      </c>
      <c r="Q743">
        <v>12.8256</v>
      </c>
      <c r="R743" s="1" t="s">
        <v>4421</v>
      </c>
      <c r="S743">
        <v>2016</v>
      </c>
      <c r="T743" s="1" t="s">
        <v>245</v>
      </c>
    </row>
    <row r="744" spans="1:20" x14ac:dyDescent="0.25">
      <c r="A744" s="1" t="s">
        <v>2466</v>
      </c>
      <c r="B744" s="2">
        <v>41810</v>
      </c>
      <c r="C744" s="2">
        <v>41814</v>
      </c>
      <c r="D744" s="1" t="s">
        <v>37</v>
      </c>
      <c r="E744" s="1" t="s">
        <v>2467</v>
      </c>
      <c r="F744" s="1" t="s">
        <v>2468</v>
      </c>
      <c r="G744" s="1" t="s">
        <v>24</v>
      </c>
      <c r="H744" s="1" t="s">
        <v>2469</v>
      </c>
      <c r="I744" s="1" t="s">
        <v>86</v>
      </c>
      <c r="J744" s="1" t="s">
        <v>87</v>
      </c>
      <c r="K744" s="1" t="s">
        <v>2470</v>
      </c>
      <c r="L744" s="1" t="s">
        <v>29</v>
      </c>
      <c r="M744" s="1" t="s">
        <v>30</v>
      </c>
      <c r="N744" s="1" t="s">
        <v>2471</v>
      </c>
      <c r="O744">
        <v>193.06559999999999</v>
      </c>
      <c r="P744">
        <v>4</v>
      </c>
      <c r="Q744">
        <v>-19.874400000000001</v>
      </c>
      <c r="R744" s="1" t="s">
        <v>4424</v>
      </c>
      <c r="S744">
        <v>2014</v>
      </c>
      <c r="T744" s="1" t="s">
        <v>55</v>
      </c>
    </row>
    <row r="745" spans="1:20" x14ac:dyDescent="0.25">
      <c r="A745" s="1" t="s">
        <v>2472</v>
      </c>
      <c r="B745" s="2">
        <v>42982</v>
      </c>
      <c r="C745" s="2">
        <v>42984</v>
      </c>
      <c r="D745" s="1" t="s">
        <v>81</v>
      </c>
      <c r="E745" s="1" t="s">
        <v>819</v>
      </c>
      <c r="F745" s="1" t="s">
        <v>820</v>
      </c>
      <c r="G745" s="1" t="s">
        <v>84</v>
      </c>
      <c r="H745" s="1" t="s">
        <v>125</v>
      </c>
      <c r="I745" s="1" t="s">
        <v>126</v>
      </c>
      <c r="J745" s="1" t="s">
        <v>87</v>
      </c>
      <c r="K745" s="1" t="s">
        <v>2473</v>
      </c>
      <c r="L745" s="1" t="s">
        <v>29</v>
      </c>
      <c r="M745" s="1" t="s">
        <v>30</v>
      </c>
      <c r="N745" s="1" t="s">
        <v>2474</v>
      </c>
      <c r="O745">
        <v>825.17399999999998</v>
      </c>
      <c r="P745">
        <v>9</v>
      </c>
      <c r="Q745">
        <v>-117.88200000000001</v>
      </c>
      <c r="R745" s="1" t="s">
        <v>4423</v>
      </c>
      <c r="S745">
        <v>2017</v>
      </c>
      <c r="T745" s="1" t="s">
        <v>72</v>
      </c>
    </row>
    <row r="746" spans="1:20" x14ac:dyDescent="0.25">
      <c r="A746" s="1" t="s">
        <v>2475</v>
      </c>
      <c r="B746" s="2">
        <v>42177</v>
      </c>
      <c r="C746" s="2">
        <v>42180</v>
      </c>
      <c r="D746" s="1" t="s">
        <v>81</v>
      </c>
      <c r="E746" s="1" t="s">
        <v>2476</v>
      </c>
      <c r="F746" s="1" t="s">
        <v>2477</v>
      </c>
      <c r="G746" s="1" t="s">
        <v>94</v>
      </c>
      <c r="H746" s="1" t="s">
        <v>171</v>
      </c>
      <c r="I746" s="1" t="s">
        <v>126</v>
      </c>
      <c r="J746" s="1" t="s">
        <v>87</v>
      </c>
      <c r="K746" s="1" t="s">
        <v>1874</v>
      </c>
      <c r="L746" s="1" t="s">
        <v>29</v>
      </c>
      <c r="M746" s="1" t="s">
        <v>43</v>
      </c>
      <c r="N746" s="1" t="s">
        <v>1875</v>
      </c>
      <c r="O746">
        <v>796.42499999999995</v>
      </c>
      <c r="P746">
        <v>7</v>
      </c>
      <c r="Q746">
        <v>-525.64049999999997</v>
      </c>
      <c r="R746" s="1" t="s">
        <v>4420</v>
      </c>
      <c r="S746">
        <v>2015</v>
      </c>
      <c r="T746" s="1" t="s">
        <v>55</v>
      </c>
    </row>
    <row r="747" spans="1:20" x14ac:dyDescent="0.25">
      <c r="A747" s="1" t="s">
        <v>2478</v>
      </c>
      <c r="B747" s="2">
        <v>42631</v>
      </c>
      <c r="C747" s="2">
        <v>42633</v>
      </c>
      <c r="D747" s="1" t="s">
        <v>81</v>
      </c>
      <c r="E747" s="1" t="s">
        <v>730</v>
      </c>
      <c r="F747" s="1" t="s">
        <v>731</v>
      </c>
      <c r="G747" s="1" t="s">
        <v>24</v>
      </c>
      <c r="H747" s="1" t="s">
        <v>339</v>
      </c>
      <c r="I747" s="1" t="s">
        <v>223</v>
      </c>
      <c r="J747" s="1" t="s">
        <v>63</v>
      </c>
      <c r="K747" s="1" t="s">
        <v>1903</v>
      </c>
      <c r="L747" s="1" t="s">
        <v>29</v>
      </c>
      <c r="M747" s="1" t="s">
        <v>53</v>
      </c>
      <c r="N747" s="1" t="s">
        <v>1904</v>
      </c>
      <c r="O747">
        <v>5.3520000000000003</v>
      </c>
      <c r="P747">
        <v>3</v>
      </c>
      <c r="Q747">
        <v>1.6055999999999999</v>
      </c>
      <c r="R747" s="1" t="s">
        <v>4423</v>
      </c>
      <c r="S747">
        <v>2016</v>
      </c>
      <c r="T747" s="1" t="s">
        <v>72</v>
      </c>
    </row>
    <row r="748" spans="1:20" x14ac:dyDescent="0.25">
      <c r="A748" s="1" t="s">
        <v>2478</v>
      </c>
      <c r="B748" s="2">
        <v>42631</v>
      </c>
      <c r="C748" s="2">
        <v>42633</v>
      </c>
      <c r="D748" s="1" t="s">
        <v>81</v>
      </c>
      <c r="E748" s="1" t="s">
        <v>730</v>
      </c>
      <c r="F748" s="1" t="s">
        <v>731</v>
      </c>
      <c r="G748" s="1" t="s">
        <v>24</v>
      </c>
      <c r="H748" s="1" t="s">
        <v>339</v>
      </c>
      <c r="I748" s="1" t="s">
        <v>223</v>
      </c>
      <c r="J748" s="1" t="s">
        <v>63</v>
      </c>
      <c r="K748" s="1" t="s">
        <v>581</v>
      </c>
      <c r="L748" s="1" t="s">
        <v>29</v>
      </c>
      <c r="M748" s="1" t="s">
        <v>34</v>
      </c>
      <c r="N748" s="1" t="s">
        <v>582</v>
      </c>
      <c r="O748">
        <v>99.372</v>
      </c>
      <c r="P748">
        <v>2</v>
      </c>
      <c r="Q748">
        <v>-7.0979999999999999</v>
      </c>
      <c r="R748" s="1" t="s">
        <v>4423</v>
      </c>
      <c r="S748">
        <v>2016</v>
      </c>
      <c r="T748" s="1" t="s">
        <v>72</v>
      </c>
    </row>
    <row r="749" spans="1:20" x14ac:dyDescent="0.25">
      <c r="A749" s="1" t="s">
        <v>2479</v>
      </c>
      <c r="B749" s="2">
        <v>43038</v>
      </c>
      <c r="C749" s="2">
        <v>43040</v>
      </c>
      <c r="D749" s="1" t="s">
        <v>81</v>
      </c>
      <c r="E749" s="1" t="s">
        <v>2480</v>
      </c>
      <c r="F749" s="1" t="s">
        <v>2481</v>
      </c>
      <c r="G749" s="1" t="s">
        <v>94</v>
      </c>
      <c r="H749" s="1" t="s">
        <v>626</v>
      </c>
      <c r="I749" s="1" t="s">
        <v>26</v>
      </c>
      <c r="J749" s="1" t="s">
        <v>27</v>
      </c>
      <c r="K749" s="1" t="s">
        <v>1756</v>
      </c>
      <c r="L749" s="1" t="s">
        <v>29</v>
      </c>
      <c r="M749" s="1" t="s">
        <v>34</v>
      </c>
      <c r="N749" s="1" t="s">
        <v>1757</v>
      </c>
      <c r="O749">
        <v>33.94</v>
      </c>
      <c r="P749">
        <v>1</v>
      </c>
      <c r="Q749">
        <v>9.1638000000000002</v>
      </c>
      <c r="R749" s="1" t="s">
        <v>4423</v>
      </c>
      <c r="S749">
        <v>2017</v>
      </c>
      <c r="T749" s="1" t="s">
        <v>45</v>
      </c>
    </row>
    <row r="750" spans="1:20" x14ac:dyDescent="0.25">
      <c r="A750" s="1" t="s">
        <v>2482</v>
      </c>
      <c r="B750" s="2">
        <v>42458</v>
      </c>
      <c r="C750" s="2">
        <v>42462</v>
      </c>
      <c r="D750" s="1" t="s">
        <v>21</v>
      </c>
      <c r="E750" s="1" t="s">
        <v>1273</v>
      </c>
      <c r="F750" s="1" t="s">
        <v>1274</v>
      </c>
      <c r="G750" s="1" t="s">
        <v>94</v>
      </c>
      <c r="H750" s="1" t="s">
        <v>125</v>
      </c>
      <c r="I750" s="1" t="s">
        <v>126</v>
      </c>
      <c r="J750" s="1" t="s">
        <v>87</v>
      </c>
      <c r="K750" s="1" t="s">
        <v>321</v>
      </c>
      <c r="L750" s="1" t="s">
        <v>29</v>
      </c>
      <c r="M750" s="1" t="s">
        <v>34</v>
      </c>
      <c r="N750" s="1" t="s">
        <v>322</v>
      </c>
      <c r="O750">
        <v>844.11599999999999</v>
      </c>
      <c r="P750">
        <v>6</v>
      </c>
      <c r="Q750">
        <v>-36.176400000000001</v>
      </c>
      <c r="R750" s="1" t="s">
        <v>4424</v>
      </c>
      <c r="S750">
        <v>2016</v>
      </c>
      <c r="T750" s="1" t="s">
        <v>187</v>
      </c>
    </row>
    <row r="751" spans="1:20" x14ac:dyDescent="0.25">
      <c r="A751" s="1" t="s">
        <v>2483</v>
      </c>
      <c r="B751" s="2">
        <v>42622</v>
      </c>
      <c r="C751" s="2">
        <v>42627</v>
      </c>
      <c r="D751" s="1" t="s">
        <v>21</v>
      </c>
      <c r="E751" s="1" t="s">
        <v>2292</v>
      </c>
      <c r="F751" s="1" t="s">
        <v>2293</v>
      </c>
      <c r="G751" s="1" t="s">
        <v>94</v>
      </c>
      <c r="H751" s="1" t="s">
        <v>1730</v>
      </c>
      <c r="I751" s="1" t="s">
        <v>86</v>
      </c>
      <c r="J751" s="1" t="s">
        <v>87</v>
      </c>
      <c r="K751" s="1" t="s">
        <v>2117</v>
      </c>
      <c r="L751" s="1" t="s">
        <v>29</v>
      </c>
      <c r="M751" s="1" t="s">
        <v>53</v>
      </c>
      <c r="N751" s="1" t="s">
        <v>2118</v>
      </c>
      <c r="O751">
        <v>15.007999999999999</v>
      </c>
      <c r="P751">
        <v>4</v>
      </c>
      <c r="Q751">
        <v>-12.006399999999999</v>
      </c>
      <c r="R751" s="1" t="s">
        <v>4422</v>
      </c>
      <c r="S751">
        <v>2016</v>
      </c>
      <c r="T751" s="1" t="s">
        <v>72</v>
      </c>
    </row>
    <row r="752" spans="1:20" x14ac:dyDescent="0.25">
      <c r="A752" s="1" t="s">
        <v>2484</v>
      </c>
      <c r="B752" s="2">
        <v>42576</v>
      </c>
      <c r="C752" s="2">
        <v>42580</v>
      </c>
      <c r="D752" s="1" t="s">
        <v>37</v>
      </c>
      <c r="E752" s="1" t="s">
        <v>2485</v>
      </c>
      <c r="F752" s="1" t="s">
        <v>2486</v>
      </c>
      <c r="G752" s="1" t="s">
        <v>24</v>
      </c>
      <c r="H752" s="1" t="s">
        <v>468</v>
      </c>
      <c r="I752" s="1" t="s">
        <v>469</v>
      </c>
      <c r="J752" s="1" t="s">
        <v>27</v>
      </c>
      <c r="K752" s="1" t="s">
        <v>426</v>
      </c>
      <c r="L752" s="1" t="s">
        <v>29</v>
      </c>
      <c r="M752" s="1" t="s">
        <v>43</v>
      </c>
      <c r="N752" s="1" t="s">
        <v>427</v>
      </c>
      <c r="O752">
        <v>2430.08</v>
      </c>
      <c r="P752">
        <v>8</v>
      </c>
      <c r="Q752">
        <v>388.81279999999998</v>
      </c>
      <c r="R752" s="1" t="s">
        <v>4424</v>
      </c>
      <c r="S752">
        <v>2016</v>
      </c>
      <c r="T752" s="1" t="s">
        <v>66</v>
      </c>
    </row>
    <row r="753" spans="1:20" x14ac:dyDescent="0.25">
      <c r="A753" s="1" t="s">
        <v>2487</v>
      </c>
      <c r="B753" s="2">
        <v>42348</v>
      </c>
      <c r="C753" s="2">
        <v>42354</v>
      </c>
      <c r="D753" s="1" t="s">
        <v>37</v>
      </c>
      <c r="E753" s="1" t="s">
        <v>2488</v>
      </c>
      <c r="F753" s="1" t="s">
        <v>2489</v>
      </c>
      <c r="G753" s="1" t="s">
        <v>84</v>
      </c>
      <c r="H753" s="1" t="s">
        <v>468</v>
      </c>
      <c r="I753" s="1" t="s">
        <v>281</v>
      </c>
      <c r="J753" s="1" t="s">
        <v>87</v>
      </c>
      <c r="K753" s="1" t="s">
        <v>1982</v>
      </c>
      <c r="L753" s="1" t="s">
        <v>29</v>
      </c>
      <c r="M753" s="1" t="s">
        <v>43</v>
      </c>
      <c r="N753" s="1" t="s">
        <v>1983</v>
      </c>
      <c r="O753">
        <v>801.96</v>
      </c>
      <c r="P753">
        <v>2</v>
      </c>
      <c r="Q753">
        <v>200.49</v>
      </c>
      <c r="R753" s="1" t="s">
        <v>4426</v>
      </c>
      <c r="S753">
        <v>2015</v>
      </c>
      <c r="T753" s="1" t="s">
        <v>90</v>
      </c>
    </row>
    <row r="754" spans="1:20" x14ac:dyDescent="0.25">
      <c r="A754" s="1" t="s">
        <v>2487</v>
      </c>
      <c r="B754" s="2">
        <v>42348</v>
      </c>
      <c r="C754" s="2">
        <v>42354</v>
      </c>
      <c r="D754" s="1" t="s">
        <v>37</v>
      </c>
      <c r="E754" s="1" t="s">
        <v>2488</v>
      </c>
      <c r="F754" s="1" t="s">
        <v>2489</v>
      </c>
      <c r="G754" s="1" t="s">
        <v>84</v>
      </c>
      <c r="H754" s="1" t="s">
        <v>468</v>
      </c>
      <c r="I754" s="1" t="s">
        <v>281</v>
      </c>
      <c r="J754" s="1" t="s">
        <v>87</v>
      </c>
      <c r="K754" s="1" t="s">
        <v>1270</v>
      </c>
      <c r="L754" s="1" t="s">
        <v>29</v>
      </c>
      <c r="M754" s="1" t="s">
        <v>34</v>
      </c>
      <c r="N754" s="1" t="s">
        <v>1271</v>
      </c>
      <c r="O754">
        <v>191.96</v>
      </c>
      <c r="P754">
        <v>2</v>
      </c>
      <c r="Q754">
        <v>32.633200000000002</v>
      </c>
      <c r="R754" s="1" t="s">
        <v>4426</v>
      </c>
      <c r="S754">
        <v>2015</v>
      </c>
      <c r="T754" s="1" t="s">
        <v>90</v>
      </c>
    </row>
    <row r="755" spans="1:20" x14ac:dyDescent="0.25">
      <c r="A755" s="1" t="s">
        <v>2490</v>
      </c>
      <c r="B755" s="2">
        <v>41891</v>
      </c>
      <c r="C755" s="2">
        <v>41896</v>
      </c>
      <c r="D755" s="1" t="s">
        <v>21</v>
      </c>
      <c r="E755" s="1" t="s">
        <v>1161</v>
      </c>
      <c r="F755" s="1" t="s">
        <v>1162</v>
      </c>
      <c r="G755" s="1" t="s">
        <v>24</v>
      </c>
      <c r="H755" s="1" t="s">
        <v>61</v>
      </c>
      <c r="I755" s="1" t="s">
        <v>62</v>
      </c>
      <c r="J755" s="1" t="s">
        <v>63</v>
      </c>
      <c r="K755" s="1" t="s">
        <v>1339</v>
      </c>
      <c r="L755" s="1" t="s">
        <v>29</v>
      </c>
      <c r="M755" s="1" t="s">
        <v>53</v>
      </c>
      <c r="N755" s="1" t="s">
        <v>1340</v>
      </c>
      <c r="O755">
        <v>17.472000000000001</v>
      </c>
      <c r="P755">
        <v>3</v>
      </c>
      <c r="Q755">
        <v>5.0232000000000001</v>
      </c>
      <c r="R755" s="1" t="s">
        <v>4422</v>
      </c>
      <c r="S755">
        <v>2014</v>
      </c>
      <c r="T755" s="1" t="s">
        <v>72</v>
      </c>
    </row>
    <row r="756" spans="1:20" x14ac:dyDescent="0.25">
      <c r="A756" s="1" t="s">
        <v>2491</v>
      </c>
      <c r="B756" s="2">
        <v>41960</v>
      </c>
      <c r="C756" s="2">
        <v>41967</v>
      </c>
      <c r="D756" s="1" t="s">
        <v>37</v>
      </c>
      <c r="E756" s="1" t="s">
        <v>2492</v>
      </c>
      <c r="F756" s="1" t="s">
        <v>2493</v>
      </c>
      <c r="G756" s="1" t="s">
        <v>24</v>
      </c>
      <c r="H756" s="1" t="s">
        <v>61</v>
      </c>
      <c r="I756" s="1" t="s">
        <v>62</v>
      </c>
      <c r="J756" s="1" t="s">
        <v>63</v>
      </c>
      <c r="K756" s="1" t="s">
        <v>616</v>
      </c>
      <c r="L756" s="1" t="s">
        <v>29</v>
      </c>
      <c r="M756" s="1" t="s">
        <v>34</v>
      </c>
      <c r="N756" s="1" t="s">
        <v>617</v>
      </c>
      <c r="O756">
        <v>657.93</v>
      </c>
      <c r="P756">
        <v>5</v>
      </c>
      <c r="Q756">
        <v>-93.99</v>
      </c>
      <c r="R756" s="1" t="s">
        <v>4421</v>
      </c>
      <c r="S756">
        <v>2014</v>
      </c>
      <c r="T756" s="1" t="s">
        <v>32</v>
      </c>
    </row>
    <row r="757" spans="1:20" x14ac:dyDescent="0.25">
      <c r="A757" s="1" t="s">
        <v>2494</v>
      </c>
      <c r="B757" s="2">
        <v>42968</v>
      </c>
      <c r="C757" s="2">
        <v>42974</v>
      </c>
      <c r="D757" s="1" t="s">
        <v>37</v>
      </c>
      <c r="E757" s="1" t="s">
        <v>2378</v>
      </c>
      <c r="F757" s="1" t="s">
        <v>2379</v>
      </c>
      <c r="G757" s="1" t="s">
        <v>94</v>
      </c>
      <c r="H757" s="1" t="s">
        <v>149</v>
      </c>
      <c r="I757" s="1" t="s">
        <v>1080</v>
      </c>
      <c r="J757" s="1" t="s">
        <v>63</v>
      </c>
      <c r="K757" s="1" t="s">
        <v>1259</v>
      </c>
      <c r="L757" s="1" t="s">
        <v>29</v>
      </c>
      <c r="M757" s="1" t="s">
        <v>53</v>
      </c>
      <c r="N757" s="1" t="s">
        <v>1260</v>
      </c>
      <c r="O757">
        <v>25.16</v>
      </c>
      <c r="P757">
        <v>2</v>
      </c>
      <c r="Q757">
        <v>8.5543999999999993</v>
      </c>
      <c r="R757" s="1" t="s">
        <v>4426</v>
      </c>
      <c r="S757">
        <v>2017</v>
      </c>
      <c r="T757" s="1" t="s">
        <v>245</v>
      </c>
    </row>
    <row r="758" spans="1:20" x14ac:dyDescent="0.25">
      <c r="A758" s="1" t="s">
        <v>2494</v>
      </c>
      <c r="B758" s="2">
        <v>42968</v>
      </c>
      <c r="C758" s="2">
        <v>42974</v>
      </c>
      <c r="D758" s="1" t="s">
        <v>37</v>
      </c>
      <c r="E758" s="1" t="s">
        <v>2378</v>
      </c>
      <c r="F758" s="1" t="s">
        <v>2379</v>
      </c>
      <c r="G758" s="1" t="s">
        <v>94</v>
      </c>
      <c r="H758" s="1" t="s">
        <v>149</v>
      </c>
      <c r="I758" s="1" t="s">
        <v>1080</v>
      </c>
      <c r="J758" s="1" t="s">
        <v>63</v>
      </c>
      <c r="K758" s="1" t="s">
        <v>1183</v>
      </c>
      <c r="L758" s="1" t="s">
        <v>29</v>
      </c>
      <c r="M758" s="1" t="s">
        <v>53</v>
      </c>
      <c r="N758" s="1" t="s">
        <v>1184</v>
      </c>
      <c r="O758">
        <v>91.92</v>
      </c>
      <c r="P758">
        <v>4</v>
      </c>
      <c r="Q758">
        <v>31.252800000000001</v>
      </c>
      <c r="R758" s="1" t="s">
        <v>4426</v>
      </c>
      <c r="S758">
        <v>2017</v>
      </c>
      <c r="T758" s="1" t="s">
        <v>245</v>
      </c>
    </row>
    <row r="759" spans="1:20" x14ac:dyDescent="0.25">
      <c r="A759" s="1" t="s">
        <v>2495</v>
      </c>
      <c r="B759" s="2">
        <v>43058</v>
      </c>
      <c r="C759" s="2">
        <v>43060</v>
      </c>
      <c r="D759" s="1" t="s">
        <v>81</v>
      </c>
      <c r="E759" s="1" t="s">
        <v>2064</v>
      </c>
      <c r="F759" s="1" t="s">
        <v>2065</v>
      </c>
      <c r="G759" s="1" t="s">
        <v>84</v>
      </c>
      <c r="H759" s="1" t="s">
        <v>237</v>
      </c>
      <c r="I759" s="1" t="s">
        <v>86</v>
      </c>
      <c r="J759" s="1" t="s">
        <v>87</v>
      </c>
      <c r="K759" s="1" t="s">
        <v>1245</v>
      </c>
      <c r="L759" s="1" t="s">
        <v>29</v>
      </c>
      <c r="M759" s="1" t="s">
        <v>43</v>
      </c>
      <c r="N759" s="1" t="s">
        <v>1246</v>
      </c>
      <c r="O759">
        <v>718.11599999999999</v>
      </c>
      <c r="P759">
        <v>6</v>
      </c>
      <c r="Q759">
        <v>-71.811599999999999</v>
      </c>
      <c r="R759" s="1" t="s">
        <v>4423</v>
      </c>
      <c r="S759">
        <v>2017</v>
      </c>
      <c r="T759" s="1" t="s">
        <v>32</v>
      </c>
    </row>
    <row r="760" spans="1:20" x14ac:dyDescent="0.25">
      <c r="A760" s="1" t="s">
        <v>2496</v>
      </c>
      <c r="B760" s="2">
        <v>41896</v>
      </c>
      <c r="C760" s="2">
        <v>41901</v>
      </c>
      <c r="D760" s="1" t="s">
        <v>37</v>
      </c>
      <c r="E760" s="1" t="s">
        <v>2497</v>
      </c>
      <c r="F760" s="1" t="s">
        <v>2498</v>
      </c>
      <c r="G760" s="1" t="s">
        <v>24</v>
      </c>
      <c r="H760" s="1" t="s">
        <v>2499</v>
      </c>
      <c r="I760" s="1" t="s">
        <v>658</v>
      </c>
      <c r="J760" s="1" t="s">
        <v>27</v>
      </c>
      <c r="K760" s="1" t="s">
        <v>1509</v>
      </c>
      <c r="L760" s="1" t="s">
        <v>29</v>
      </c>
      <c r="M760" s="1" t="s">
        <v>53</v>
      </c>
      <c r="N760" s="1" t="s">
        <v>1510</v>
      </c>
      <c r="O760">
        <v>142.4</v>
      </c>
      <c r="P760">
        <v>5</v>
      </c>
      <c r="Q760">
        <v>52.688000000000002</v>
      </c>
      <c r="R760" s="1" t="s">
        <v>4422</v>
      </c>
      <c r="S760">
        <v>2014</v>
      </c>
      <c r="T760" s="1" t="s">
        <v>72</v>
      </c>
    </row>
    <row r="761" spans="1:20" x14ac:dyDescent="0.25">
      <c r="A761" s="1" t="s">
        <v>2500</v>
      </c>
      <c r="B761" s="2">
        <v>42874</v>
      </c>
      <c r="C761" s="2">
        <v>42876</v>
      </c>
      <c r="D761" s="1" t="s">
        <v>21</v>
      </c>
      <c r="E761" s="1" t="s">
        <v>1811</v>
      </c>
      <c r="F761" s="1" t="s">
        <v>1812</v>
      </c>
      <c r="G761" s="1" t="s">
        <v>94</v>
      </c>
      <c r="H761" s="1" t="s">
        <v>320</v>
      </c>
      <c r="I761" s="1" t="s">
        <v>50</v>
      </c>
      <c r="J761" s="1" t="s">
        <v>51</v>
      </c>
      <c r="K761" s="1" t="s">
        <v>581</v>
      </c>
      <c r="L761" s="1" t="s">
        <v>29</v>
      </c>
      <c r="M761" s="1" t="s">
        <v>34</v>
      </c>
      <c r="N761" s="1" t="s">
        <v>582</v>
      </c>
      <c r="O761">
        <v>681.40800000000002</v>
      </c>
      <c r="P761">
        <v>12</v>
      </c>
      <c r="Q761">
        <v>42.588000000000001</v>
      </c>
      <c r="R761" s="1" t="s">
        <v>4423</v>
      </c>
      <c r="S761">
        <v>2017</v>
      </c>
      <c r="T761" s="1" t="s">
        <v>153</v>
      </c>
    </row>
    <row r="762" spans="1:20" x14ac:dyDescent="0.25">
      <c r="A762" s="1" t="s">
        <v>2501</v>
      </c>
      <c r="B762" s="2">
        <v>42684</v>
      </c>
      <c r="C762" s="2">
        <v>42688</v>
      </c>
      <c r="D762" s="1" t="s">
        <v>37</v>
      </c>
      <c r="E762" s="1" t="s">
        <v>1231</v>
      </c>
      <c r="F762" s="1" t="s">
        <v>1232</v>
      </c>
      <c r="G762" s="1" t="s">
        <v>94</v>
      </c>
      <c r="H762" s="1" t="s">
        <v>869</v>
      </c>
      <c r="I762" s="1" t="s">
        <v>223</v>
      </c>
      <c r="J762" s="1" t="s">
        <v>63</v>
      </c>
      <c r="K762" s="1" t="s">
        <v>1412</v>
      </c>
      <c r="L762" s="1" t="s">
        <v>29</v>
      </c>
      <c r="M762" s="1" t="s">
        <v>53</v>
      </c>
      <c r="N762" s="1" t="s">
        <v>1413</v>
      </c>
      <c r="O762">
        <v>148.28800000000001</v>
      </c>
      <c r="P762">
        <v>7</v>
      </c>
      <c r="Q762">
        <v>29.657599999999999</v>
      </c>
      <c r="R762" s="1" t="s">
        <v>4424</v>
      </c>
      <c r="S762">
        <v>2016</v>
      </c>
      <c r="T762" s="1" t="s">
        <v>32</v>
      </c>
    </row>
    <row r="763" spans="1:20" x14ac:dyDescent="0.25">
      <c r="A763" s="1" t="s">
        <v>2502</v>
      </c>
      <c r="B763" s="2">
        <v>42075</v>
      </c>
      <c r="C763" s="2">
        <v>42080</v>
      </c>
      <c r="D763" s="1" t="s">
        <v>37</v>
      </c>
      <c r="E763" s="1" t="s">
        <v>2372</v>
      </c>
      <c r="F763" s="1" t="s">
        <v>2373</v>
      </c>
      <c r="G763" s="1" t="s">
        <v>84</v>
      </c>
      <c r="H763" s="1" t="s">
        <v>2503</v>
      </c>
      <c r="I763" s="1" t="s">
        <v>41</v>
      </c>
      <c r="J763" s="1" t="s">
        <v>27</v>
      </c>
      <c r="K763" s="1" t="s">
        <v>144</v>
      </c>
      <c r="L763" s="1" t="s">
        <v>29</v>
      </c>
      <c r="M763" s="1" t="s">
        <v>53</v>
      </c>
      <c r="N763" s="1" t="s">
        <v>145</v>
      </c>
      <c r="O763">
        <v>30.88</v>
      </c>
      <c r="P763">
        <v>4</v>
      </c>
      <c r="Q763">
        <v>3.86</v>
      </c>
      <c r="R763" s="1" t="s">
        <v>4422</v>
      </c>
      <c r="S763">
        <v>2015</v>
      </c>
      <c r="T763" s="1" t="s">
        <v>187</v>
      </c>
    </row>
    <row r="764" spans="1:20" x14ac:dyDescent="0.25">
      <c r="A764" s="1" t="s">
        <v>2502</v>
      </c>
      <c r="B764" s="2">
        <v>42075</v>
      </c>
      <c r="C764" s="2">
        <v>42080</v>
      </c>
      <c r="D764" s="1" t="s">
        <v>37</v>
      </c>
      <c r="E764" s="1" t="s">
        <v>2372</v>
      </c>
      <c r="F764" s="1" t="s">
        <v>2373</v>
      </c>
      <c r="G764" s="1" t="s">
        <v>84</v>
      </c>
      <c r="H764" s="1" t="s">
        <v>2503</v>
      </c>
      <c r="I764" s="1" t="s">
        <v>41</v>
      </c>
      <c r="J764" s="1" t="s">
        <v>27</v>
      </c>
      <c r="K764" s="1" t="s">
        <v>2504</v>
      </c>
      <c r="L764" s="1" t="s">
        <v>29</v>
      </c>
      <c r="M764" s="1" t="s">
        <v>53</v>
      </c>
      <c r="N764" s="1" t="s">
        <v>2505</v>
      </c>
      <c r="O764">
        <v>6.4080000000000004</v>
      </c>
      <c r="P764">
        <v>3</v>
      </c>
      <c r="Q764">
        <v>1.4418</v>
      </c>
      <c r="R764" s="1" t="s">
        <v>4422</v>
      </c>
      <c r="S764">
        <v>2015</v>
      </c>
      <c r="T764" s="1" t="s">
        <v>187</v>
      </c>
    </row>
    <row r="765" spans="1:20" x14ac:dyDescent="0.25">
      <c r="A765" s="1" t="s">
        <v>2506</v>
      </c>
      <c r="B765" s="2">
        <v>43045</v>
      </c>
      <c r="C765" s="2">
        <v>43050</v>
      </c>
      <c r="D765" s="1" t="s">
        <v>37</v>
      </c>
      <c r="E765" s="1" t="s">
        <v>2507</v>
      </c>
      <c r="F765" s="1" t="s">
        <v>2508</v>
      </c>
      <c r="G765" s="1" t="s">
        <v>24</v>
      </c>
      <c r="H765" s="1" t="s">
        <v>61</v>
      </c>
      <c r="I765" s="1" t="s">
        <v>62</v>
      </c>
      <c r="J765" s="1" t="s">
        <v>63</v>
      </c>
      <c r="K765" s="1" t="s">
        <v>1608</v>
      </c>
      <c r="L765" s="1" t="s">
        <v>29</v>
      </c>
      <c r="M765" s="1" t="s">
        <v>34</v>
      </c>
      <c r="N765" s="1" t="s">
        <v>1609</v>
      </c>
      <c r="O765">
        <v>127.372</v>
      </c>
      <c r="P765">
        <v>2</v>
      </c>
      <c r="Q765">
        <v>-30.933199999999999</v>
      </c>
      <c r="R765" s="1" t="s">
        <v>4422</v>
      </c>
      <c r="S765">
        <v>2017</v>
      </c>
      <c r="T765" s="1" t="s">
        <v>32</v>
      </c>
    </row>
    <row r="766" spans="1:20" x14ac:dyDescent="0.25">
      <c r="A766" s="1" t="s">
        <v>2509</v>
      </c>
      <c r="B766" s="2">
        <v>42343</v>
      </c>
      <c r="C766" s="2">
        <v>42347</v>
      </c>
      <c r="D766" s="1" t="s">
        <v>37</v>
      </c>
      <c r="E766" s="1" t="s">
        <v>2510</v>
      </c>
      <c r="F766" s="1" t="s">
        <v>2511</v>
      </c>
      <c r="G766" s="1" t="s">
        <v>84</v>
      </c>
      <c r="H766" s="1" t="s">
        <v>630</v>
      </c>
      <c r="I766" s="1" t="s">
        <v>50</v>
      </c>
      <c r="J766" s="1" t="s">
        <v>51</v>
      </c>
      <c r="K766" s="1" t="s">
        <v>821</v>
      </c>
      <c r="L766" s="1" t="s">
        <v>29</v>
      </c>
      <c r="M766" s="1" t="s">
        <v>53</v>
      </c>
      <c r="N766" s="1" t="s">
        <v>822</v>
      </c>
      <c r="O766">
        <v>44.46</v>
      </c>
      <c r="P766">
        <v>2</v>
      </c>
      <c r="Q766">
        <v>14.671799999999999</v>
      </c>
      <c r="R766" s="1" t="s">
        <v>4424</v>
      </c>
      <c r="S766">
        <v>2015</v>
      </c>
      <c r="T766" s="1" t="s">
        <v>90</v>
      </c>
    </row>
    <row r="767" spans="1:20" x14ac:dyDescent="0.25">
      <c r="A767" s="1" t="s">
        <v>2512</v>
      </c>
      <c r="B767" s="2">
        <v>42194</v>
      </c>
      <c r="C767" s="2">
        <v>42199</v>
      </c>
      <c r="D767" s="1" t="s">
        <v>37</v>
      </c>
      <c r="E767" s="1" t="s">
        <v>1493</v>
      </c>
      <c r="F767" s="1" t="s">
        <v>1494</v>
      </c>
      <c r="G767" s="1" t="s">
        <v>24</v>
      </c>
      <c r="H767" s="1" t="s">
        <v>2513</v>
      </c>
      <c r="I767" s="1" t="s">
        <v>1080</v>
      </c>
      <c r="J767" s="1" t="s">
        <v>63</v>
      </c>
      <c r="K767" s="1" t="s">
        <v>350</v>
      </c>
      <c r="L767" s="1" t="s">
        <v>29</v>
      </c>
      <c r="M767" s="1" t="s">
        <v>53</v>
      </c>
      <c r="N767" s="1" t="s">
        <v>351</v>
      </c>
      <c r="O767">
        <v>181.96</v>
      </c>
      <c r="P767">
        <v>2</v>
      </c>
      <c r="Q767">
        <v>20.015599999999999</v>
      </c>
      <c r="R767" s="1" t="s">
        <v>4422</v>
      </c>
      <c r="S767">
        <v>2015</v>
      </c>
      <c r="T767" s="1" t="s">
        <v>66</v>
      </c>
    </row>
    <row r="768" spans="1:20" x14ac:dyDescent="0.25">
      <c r="A768" s="1" t="s">
        <v>2514</v>
      </c>
      <c r="B768" s="2">
        <v>42307</v>
      </c>
      <c r="C768" s="2">
        <v>42310</v>
      </c>
      <c r="D768" s="1" t="s">
        <v>21</v>
      </c>
      <c r="E768" s="1" t="s">
        <v>1526</v>
      </c>
      <c r="F768" s="1" t="s">
        <v>1527</v>
      </c>
      <c r="G768" s="1" t="s">
        <v>84</v>
      </c>
      <c r="H768" s="1" t="s">
        <v>257</v>
      </c>
      <c r="I768" s="1" t="s">
        <v>172</v>
      </c>
      <c r="J768" s="1" t="s">
        <v>51</v>
      </c>
      <c r="K768" s="1" t="s">
        <v>2515</v>
      </c>
      <c r="L768" s="1" t="s">
        <v>29</v>
      </c>
      <c r="M768" s="1" t="s">
        <v>53</v>
      </c>
      <c r="N768" s="1" t="s">
        <v>2516</v>
      </c>
      <c r="O768">
        <v>15.488</v>
      </c>
      <c r="P768">
        <v>4</v>
      </c>
      <c r="Q768">
        <v>3.6783999999999999</v>
      </c>
      <c r="R768" s="1" t="s">
        <v>4420</v>
      </c>
      <c r="S768">
        <v>2015</v>
      </c>
      <c r="T768" s="1" t="s">
        <v>45</v>
      </c>
    </row>
    <row r="769" spans="1:20" x14ac:dyDescent="0.25">
      <c r="A769" s="1" t="s">
        <v>2517</v>
      </c>
      <c r="B769" s="2">
        <v>42327</v>
      </c>
      <c r="C769" s="2">
        <v>42329</v>
      </c>
      <c r="D769" s="1" t="s">
        <v>21</v>
      </c>
      <c r="E769" s="1" t="s">
        <v>2267</v>
      </c>
      <c r="F769" s="1" t="s">
        <v>2268</v>
      </c>
      <c r="G769" s="1" t="s">
        <v>94</v>
      </c>
      <c r="H769" s="1" t="s">
        <v>183</v>
      </c>
      <c r="I769" s="1" t="s">
        <v>184</v>
      </c>
      <c r="J769" s="1" t="s">
        <v>51</v>
      </c>
      <c r="K769" s="1" t="s">
        <v>2187</v>
      </c>
      <c r="L769" s="1" t="s">
        <v>29</v>
      </c>
      <c r="M769" s="1" t="s">
        <v>53</v>
      </c>
      <c r="N769" s="1" t="s">
        <v>2188</v>
      </c>
      <c r="O769">
        <v>141.96</v>
      </c>
      <c r="P769">
        <v>2</v>
      </c>
      <c r="Q769">
        <v>22.7136</v>
      </c>
      <c r="R769" s="1" t="s">
        <v>4423</v>
      </c>
      <c r="S769">
        <v>2015</v>
      </c>
      <c r="T769" s="1" t="s">
        <v>32</v>
      </c>
    </row>
    <row r="770" spans="1:20" x14ac:dyDescent="0.25">
      <c r="A770" s="1" t="s">
        <v>2518</v>
      </c>
      <c r="B770" s="2">
        <v>43093</v>
      </c>
      <c r="C770" s="2">
        <v>43098</v>
      </c>
      <c r="D770" s="1" t="s">
        <v>37</v>
      </c>
      <c r="E770" s="1" t="s">
        <v>1604</v>
      </c>
      <c r="F770" s="1" t="s">
        <v>1605</v>
      </c>
      <c r="G770" s="1" t="s">
        <v>84</v>
      </c>
      <c r="H770" s="1" t="s">
        <v>885</v>
      </c>
      <c r="I770" s="1" t="s">
        <v>114</v>
      </c>
      <c r="J770" s="1" t="s">
        <v>63</v>
      </c>
      <c r="K770" s="1" t="s">
        <v>958</v>
      </c>
      <c r="L770" s="1" t="s">
        <v>29</v>
      </c>
      <c r="M770" s="1" t="s">
        <v>53</v>
      </c>
      <c r="N770" s="1" t="s">
        <v>959</v>
      </c>
      <c r="O770">
        <v>37.93</v>
      </c>
      <c r="P770">
        <v>1</v>
      </c>
      <c r="Q770">
        <v>6.8273999999999999</v>
      </c>
      <c r="R770" s="1" t="s">
        <v>4422</v>
      </c>
      <c r="S770">
        <v>2017</v>
      </c>
      <c r="T770" s="1" t="s">
        <v>90</v>
      </c>
    </row>
    <row r="771" spans="1:20" x14ac:dyDescent="0.25">
      <c r="A771" s="1" t="s">
        <v>2519</v>
      </c>
      <c r="B771" s="2">
        <v>42378</v>
      </c>
      <c r="C771" s="2">
        <v>42382</v>
      </c>
      <c r="D771" s="1" t="s">
        <v>21</v>
      </c>
      <c r="E771" s="1" t="s">
        <v>2520</v>
      </c>
      <c r="F771" s="1" t="s">
        <v>2521</v>
      </c>
      <c r="G771" s="1" t="s">
        <v>84</v>
      </c>
      <c r="H771" s="1" t="s">
        <v>2522</v>
      </c>
      <c r="I771" s="1" t="s">
        <v>223</v>
      </c>
      <c r="J771" s="1" t="s">
        <v>63</v>
      </c>
      <c r="K771" s="1" t="s">
        <v>2195</v>
      </c>
      <c r="L771" s="1" t="s">
        <v>29</v>
      </c>
      <c r="M771" s="1" t="s">
        <v>53</v>
      </c>
      <c r="N771" s="1" t="s">
        <v>2196</v>
      </c>
      <c r="O771">
        <v>15.167999999999999</v>
      </c>
      <c r="P771">
        <v>2</v>
      </c>
      <c r="Q771">
        <v>3.7919999999999998</v>
      </c>
      <c r="R771" s="1" t="s">
        <v>4424</v>
      </c>
      <c r="S771">
        <v>2016</v>
      </c>
      <c r="T771" s="1" t="s">
        <v>161</v>
      </c>
    </row>
    <row r="772" spans="1:20" x14ac:dyDescent="0.25">
      <c r="A772" s="1" t="s">
        <v>2523</v>
      </c>
      <c r="B772" s="2">
        <v>41966</v>
      </c>
      <c r="C772" s="2">
        <v>41970</v>
      </c>
      <c r="D772" s="1" t="s">
        <v>37</v>
      </c>
      <c r="E772" s="1" t="s">
        <v>2078</v>
      </c>
      <c r="F772" s="1" t="s">
        <v>2079</v>
      </c>
      <c r="G772" s="1" t="s">
        <v>84</v>
      </c>
      <c r="H772" s="1" t="s">
        <v>2524</v>
      </c>
      <c r="I772" s="1" t="s">
        <v>86</v>
      </c>
      <c r="J772" s="1" t="s">
        <v>87</v>
      </c>
      <c r="K772" s="1" t="s">
        <v>918</v>
      </c>
      <c r="L772" s="1" t="s">
        <v>29</v>
      </c>
      <c r="M772" s="1" t="s">
        <v>53</v>
      </c>
      <c r="N772" s="1" t="s">
        <v>308</v>
      </c>
      <c r="O772">
        <v>6.3680000000000003</v>
      </c>
      <c r="P772">
        <v>2</v>
      </c>
      <c r="Q772">
        <v>-2.5472000000000001</v>
      </c>
      <c r="R772" s="1" t="s">
        <v>4424</v>
      </c>
      <c r="S772">
        <v>2014</v>
      </c>
      <c r="T772" s="1" t="s">
        <v>32</v>
      </c>
    </row>
    <row r="773" spans="1:20" x14ac:dyDescent="0.25">
      <c r="A773" s="1" t="s">
        <v>2525</v>
      </c>
      <c r="B773" s="2">
        <v>43023</v>
      </c>
      <c r="C773" s="2">
        <v>43025</v>
      </c>
      <c r="D773" s="1" t="s">
        <v>81</v>
      </c>
      <c r="E773" s="1" t="s">
        <v>2526</v>
      </c>
      <c r="F773" s="1" t="s">
        <v>2527</v>
      </c>
      <c r="G773" s="1" t="s">
        <v>84</v>
      </c>
      <c r="H773" s="1" t="s">
        <v>49</v>
      </c>
      <c r="I773" s="1" t="s">
        <v>50</v>
      </c>
      <c r="J773" s="1" t="s">
        <v>51</v>
      </c>
      <c r="K773" s="1" t="s">
        <v>296</v>
      </c>
      <c r="L773" s="1" t="s">
        <v>29</v>
      </c>
      <c r="M773" s="1" t="s">
        <v>43</v>
      </c>
      <c r="N773" s="1" t="s">
        <v>297</v>
      </c>
      <c r="O773">
        <v>510.24</v>
      </c>
      <c r="P773">
        <v>3</v>
      </c>
      <c r="Q773">
        <v>6.3780000000000001</v>
      </c>
      <c r="R773" s="1" t="s">
        <v>4423</v>
      </c>
      <c r="S773">
        <v>2017</v>
      </c>
      <c r="T773" s="1" t="s">
        <v>45</v>
      </c>
    </row>
    <row r="774" spans="1:20" x14ac:dyDescent="0.25">
      <c r="A774" s="1" t="s">
        <v>2528</v>
      </c>
      <c r="B774" s="2">
        <v>42846</v>
      </c>
      <c r="C774" s="2">
        <v>42849</v>
      </c>
      <c r="D774" s="1" t="s">
        <v>81</v>
      </c>
      <c r="E774" s="1" t="s">
        <v>1459</v>
      </c>
      <c r="F774" s="1" t="s">
        <v>1460</v>
      </c>
      <c r="G774" s="1" t="s">
        <v>24</v>
      </c>
      <c r="H774" s="1" t="s">
        <v>183</v>
      </c>
      <c r="I774" s="1" t="s">
        <v>184</v>
      </c>
      <c r="J774" s="1" t="s">
        <v>51</v>
      </c>
      <c r="K774" s="1" t="s">
        <v>1008</v>
      </c>
      <c r="L774" s="1" t="s">
        <v>29</v>
      </c>
      <c r="M774" s="1" t="s">
        <v>53</v>
      </c>
      <c r="N774" s="1" t="s">
        <v>1009</v>
      </c>
      <c r="O774">
        <v>162.6</v>
      </c>
      <c r="P774">
        <v>3</v>
      </c>
      <c r="Q774">
        <v>34.146000000000001</v>
      </c>
      <c r="R774" s="1" t="s">
        <v>4420</v>
      </c>
      <c r="S774">
        <v>2017</v>
      </c>
      <c r="T774" s="1" t="s">
        <v>107</v>
      </c>
    </row>
    <row r="775" spans="1:20" x14ac:dyDescent="0.25">
      <c r="A775" s="1" t="s">
        <v>2529</v>
      </c>
      <c r="B775" s="2">
        <v>41981</v>
      </c>
      <c r="C775" s="2">
        <v>41983</v>
      </c>
      <c r="D775" s="1" t="s">
        <v>21</v>
      </c>
      <c r="E775" s="1" t="s">
        <v>1797</v>
      </c>
      <c r="F775" s="1" t="s">
        <v>1798</v>
      </c>
      <c r="G775" s="1" t="s">
        <v>24</v>
      </c>
      <c r="H775" s="1" t="s">
        <v>961</v>
      </c>
      <c r="I775" s="1" t="s">
        <v>184</v>
      </c>
      <c r="J775" s="1" t="s">
        <v>51</v>
      </c>
      <c r="K775" s="1" t="s">
        <v>386</v>
      </c>
      <c r="L775" s="1" t="s">
        <v>29</v>
      </c>
      <c r="M775" s="1" t="s">
        <v>34</v>
      </c>
      <c r="N775" s="1" t="s">
        <v>387</v>
      </c>
      <c r="O775">
        <v>603.91999999999996</v>
      </c>
      <c r="P775">
        <v>5</v>
      </c>
      <c r="Q775">
        <v>45.293999999999997</v>
      </c>
      <c r="R775" s="1" t="s">
        <v>4423</v>
      </c>
      <c r="S775">
        <v>2014</v>
      </c>
      <c r="T775" s="1" t="s">
        <v>90</v>
      </c>
    </row>
    <row r="776" spans="1:20" x14ac:dyDescent="0.25">
      <c r="A776" s="1" t="s">
        <v>2530</v>
      </c>
      <c r="B776" s="2">
        <v>42724</v>
      </c>
      <c r="C776" s="2">
        <v>42728</v>
      </c>
      <c r="D776" s="1" t="s">
        <v>37</v>
      </c>
      <c r="E776" s="1" t="s">
        <v>2531</v>
      </c>
      <c r="F776" s="1" t="s">
        <v>2532</v>
      </c>
      <c r="G776" s="1" t="s">
        <v>94</v>
      </c>
      <c r="H776" s="1" t="s">
        <v>468</v>
      </c>
      <c r="I776" s="1" t="s">
        <v>469</v>
      </c>
      <c r="J776" s="1" t="s">
        <v>27</v>
      </c>
      <c r="K776" s="1" t="s">
        <v>371</v>
      </c>
      <c r="L776" s="1" t="s">
        <v>29</v>
      </c>
      <c r="M776" s="1" t="s">
        <v>53</v>
      </c>
      <c r="N776" s="1" t="s">
        <v>372</v>
      </c>
      <c r="O776">
        <v>18.920000000000002</v>
      </c>
      <c r="P776">
        <v>4</v>
      </c>
      <c r="Q776">
        <v>7.3788</v>
      </c>
      <c r="R776" s="1" t="s">
        <v>4424</v>
      </c>
      <c r="S776">
        <v>2016</v>
      </c>
      <c r="T776" s="1" t="s">
        <v>90</v>
      </c>
    </row>
    <row r="777" spans="1:20" x14ac:dyDescent="0.25">
      <c r="A777" s="1" t="s">
        <v>2533</v>
      </c>
      <c r="B777" s="2">
        <v>42800</v>
      </c>
      <c r="C777" s="2">
        <v>42805</v>
      </c>
      <c r="D777" s="1" t="s">
        <v>21</v>
      </c>
      <c r="E777" s="1" t="s">
        <v>2534</v>
      </c>
      <c r="F777" s="1" t="s">
        <v>2535</v>
      </c>
      <c r="G777" s="1" t="s">
        <v>24</v>
      </c>
      <c r="H777" s="1" t="s">
        <v>165</v>
      </c>
      <c r="I777" s="1" t="s">
        <v>114</v>
      </c>
      <c r="J777" s="1" t="s">
        <v>63</v>
      </c>
      <c r="K777" s="1" t="s">
        <v>1171</v>
      </c>
      <c r="L777" s="1" t="s">
        <v>29</v>
      </c>
      <c r="M777" s="1" t="s">
        <v>53</v>
      </c>
      <c r="N777" s="1" t="s">
        <v>1172</v>
      </c>
      <c r="O777">
        <v>71.97</v>
      </c>
      <c r="P777">
        <v>3</v>
      </c>
      <c r="Q777">
        <v>16.553100000000001</v>
      </c>
      <c r="R777" s="1" t="s">
        <v>4422</v>
      </c>
      <c r="S777">
        <v>2017</v>
      </c>
      <c r="T777" s="1" t="s">
        <v>187</v>
      </c>
    </row>
    <row r="778" spans="1:20" x14ac:dyDescent="0.25">
      <c r="A778" s="1" t="s">
        <v>2536</v>
      </c>
      <c r="B778" s="2">
        <v>42636</v>
      </c>
      <c r="C778" s="2">
        <v>42641</v>
      </c>
      <c r="D778" s="1" t="s">
        <v>21</v>
      </c>
      <c r="E778" s="1" t="s">
        <v>1040</v>
      </c>
      <c r="F778" s="1" t="s">
        <v>1041</v>
      </c>
      <c r="G778" s="1" t="s">
        <v>24</v>
      </c>
      <c r="H778" s="1" t="s">
        <v>339</v>
      </c>
      <c r="I778" s="1" t="s">
        <v>658</v>
      </c>
      <c r="J778" s="1" t="s">
        <v>27</v>
      </c>
      <c r="K778" s="1" t="s">
        <v>1738</v>
      </c>
      <c r="L778" s="1" t="s">
        <v>29</v>
      </c>
      <c r="M778" s="1" t="s">
        <v>34</v>
      </c>
      <c r="N778" s="1" t="s">
        <v>1739</v>
      </c>
      <c r="O778">
        <v>368.97</v>
      </c>
      <c r="P778">
        <v>3</v>
      </c>
      <c r="Q778">
        <v>81.173400000000001</v>
      </c>
      <c r="R778" s="1" t="s">
        <v>4422</v>
      </c>
      <c r="S778">
        <v>2016</v>
      </c>
      <c r="T778" s="1" t="s">
        <v>72</v>
      </c>
    </row>
    <row r="779" spans="1:20" x14ac:dyDescent="0.25">
      <c r="A779" s="1" t="s">
        <v>2537</v>
      </c>
      <c r="B779" s="2">
        <v>42974</v>
      </c>
      <c r="C779" s="2">
        <v>42976</v>
      </c>
      <c r="D779" s="1" t="s">
        <v>21</v>
      </c>
      <c r="E779" s="1" t="s">
        <v>324</v>
      </c>
      <c r="F779" s="1" t="s">
        <v>325</v>
      </c>
      <c r="G779" s="1" t="s">
        <v>84</v>
      </c>
      <c r="H779" s="1" t="s">
        <v>2439</v>
      </c>
      <c r="I779" s="1" t="s">
        <v>50</v>
      </c>
      <c r="J779" s="1" t="s">
        <v>51</v>
      </c>
      <c r="K779" s="1" t="s">
        <v>1391</v>
      </c>
      <c r="L779" s="1" t="s">
        <v>29</v>
      </c>
      <c r="M779" s="1" t="s">
        <v>53</v>
      </c>
      <c r="N779" s="1" t="s">
        <v>1392</v>
      </c>
      <c r="O779">
        <v>198.46</v>
      </c>
      <c r="P779">
        <v>2</v>
      </c>
      <c r="Q779">
        <v>99.23</v>
      </c>
      <c r="R779" s="1" t="s">
        <v>4423</v>
      </c>
      <c r="S779">
        <v>2017</v>
      </c>
      <c r="T779" s="1" t="s">
        <v>245</v>
      </c>
    </row>
    <row r="780" spans="1:20" x14ac:dyDescent="0.25">
      <c r="A780" s="1" t="s">
        <v>2537</v>
      </c>
      <c r="B780" s="2">
        <v>42974</v>
      </c>
      <c r="C780" s="2">
        <v>42976</v>
      </c>
      <c r="D780" s="1" t="s">
        <v>21</v>
      </c>
      <c r="E780" s="1" t="s">
        <v>324</v>
      </c>
      <c r="F780" s="1" t="s">
        <v>325</v>
      </c>
      <c r="G780" s="1" t="s">
        <v>84</v>
      </c>
      <c r="H780" s="1" t="s">
        <v>2439</v>
      </c>
      <c r="I780" s="1" t="s">
        <v>50</v>
      </c>
      <c r="J780" s="1" t="s">
        <v>51</v>
      </c>
      <c r="K780" s="1" t="s">
        <v>457</v>
      </c>
      <c r="L780" s="1" t="s">
        <v>29</v>
      </c>
      <c r="M780" s="1" t="s">
        <v>34</v>
      </c>
      <c r="N780" s="1" t="s">
        <v>458</v>
      </c>
      <c r="O780">
        <v>230.28</v>
      </c>
      <c r="P780">
        <v>3</v>
      </c>
      <c r="Q780">
        <v>23.027999999999999</v>
      </c>
      <c r="R780" s="1" t="s">
        <v>4423</v>
      </c>
      <c r="S780">
        <v>2017</v>
      </c>
      <c r="T780" s="1" t="s">
        <v>245</v>
      </c>
    </row>
    <row r="781" spans="1:20" x14ac:dyDescent="0.25">
      <c r="A781" s="1" t="s">
        <v>2538</v>
      </c>
      <c r="B781" s="2">
        <v>42432</v>
      </c>
      <c r="C781" s="2">
        <v>42435</v>
      </c>
      <c r="D781" s="1" t="s">
        <v>81</v>
      </c>
      <c r="E781" s="1" t="s">
        <v>2299</v>
      </c>
      <c r="F781" s="1" t="s">
        <v>2300</v>
      </c>
      <c r="G781" s="1" t="s">
        <v>84</v>
      </c>
      <c r="H781" s="1" t="s">
        <v>2539</v>
      </c>
      <c r="I781" s="1" t="s">
        <v>86</v>
      </c>
      <c r="J781" s="1" t="s">
        <v>87</v>
      </c>
      <c r="K781" s="1" t="s">
        <v>2540</v>
      </c>
      <c r="L781" s="1" t="s">
        <v>29</v>
      </c>
      <c r="M781" s="1" t="s">
        <v>34</v>
      </c>
      <c r="N781" s="1" t="s">
        <v>2541</v>
      </c>
      <c r="O781">
        <v>563.42999999999995</v>
      </c>
      <c r="P781">
        <v>5</v>
      </c>
      <c r="Q781">
        <v>-56.343000000000004</v>
      </c>
      <c r="R781" s="1" t="s">
        <v>4420</v>
      </c>
      <c r="S781">
        <v>2016</v>
      </c>
      <c r="T781" s="1" t="s">
        <v>187</v>
      </c>
    </row>
    <row r="782" spans="1:20" x14ac:dyDescent="0.25">
      <c r="A782" s="1" t="s">
        <v>2542</v>
      </c>
      <c r="B782" s="2">
        <v>42265</v>
      </c>
      <c r="C782" s="2">
        <v>42270</v>
      </c>
      <c r="D782" s="1" t="s">
        <v>37</v>
      </c>
      <c r="E782" s="1" t="s">
        <v>1071</v>
      </c>
      <c r="F782" s="1" t="s">
        <v>1072</v>
      </c>
      <c r="G782" s="1" t="s">
        <v>84</v>
      </c>
      <c r="H782" s="1" t="s">
        <v>49</v>
      </c>
      <c r="I782" s="1" t="s">
        <v>50</v>
      </c>
      <c r="J782" s="1" t="s">
        <v>51</v>
      </c>
      <c r="K782" s="1" t="s">
        <v>1473</v>
      </c>
      <c r="L782" s="1" t="s">
        <v>29</v>
      </c>
      <c r="M782" s="1" t="s">
        <v>53</v>
      </c>
      <c r="N782" s="1" t="s">
        <v>1474</v>
      </c>
      <c r="O782">
        <v>24.4</v>
      </c>
      <c r="P782">
        <v>2</v>
      </c>
      <c r="Q782">
        <v>10.247999999999999</v>
      </c>
      <c r="R782" s="1" t="s">
        <v>4422</v>
      </c>
      <c r="S782">
        <v>2015</v>
      </c>
      <c r="T782" s="1" t="s">
        <v>72</v>
      </c>
    </row>
    <row r="783" spans="1:20" x14ac:dyDescent="0.25">
      <c r="A783" s="1" t="s">
        <v>2543</v>
      </c>
      <c r="B783" s="2">
        <v>42595</v>
      </c>
      <c r="C783" s="2">
        <v>42600</v>
      </c>
      <c r="D783" s="1" t="s">
        <v>21</v>
      </c>
      <c r="E783" s="1" t="s">
        <v>1717</v>
      </c>
      <c r="F783" s="1" t="s">
        <v>1718</v>
      </c>
      <c r="G783" s="1" t="s">
        <v>84</v>
      </c>
      <c r="H783" s="1" t="s">
        <v>2544</v>
      </c>
      <c r="I783" s="1" t="s">
        <v>230</v>
      </c>
      <c r="J783" s="1" t="s">
        <v>87</v>
      </c>
      <c r="K783" s="1" t="s">
        <v>533</v>
      </c>
      <c r="L783" s="1" t="s">
        <v>29</v>
      </c>
      <c r="M783" s="1" t="s">
        <v>30</v>
      </c>
      <c r="N783" s="1" t="s">
        <v>534</v>
      </c>
      <c r="O783">
        <v>241.96</v>
      </c>
      <c r="P783">
        <v>2</v>
      </c>
      <c r="Q783">
        <v>24.196000000000002</v>
      </c>
      <c r="R783" s="1" t="s">
        <v>4422</v>
      </c>
      <c r="S783">
        <v>2016</v>
      </c>
      <c r="T783" s="1" t="s">
        <v>245</v>
      </c>
    </row>
    <row r="784" spans="1:20" x14ac:dyDescent="0.25">
      <c r="A784" s="1" t="s">
        <v>2545</v>
      </c>
      <c r="B784" s="2">
        <v>42450</v>
      </c>
      <c r="C784" s="2">
        <v>42454</v>
      </c>
      <c r="D784" s="1" t="s">
        <v>37</v>
      </c>
      <c r="E784" s="1" t="s">
        <v>2244</v>
      </c>
      <c r="F784" s="1" t="s">
        <v>2245</v>
      </c>
      <c r="G784" s="1" t="s">
        <v>84</v>
      </c>
      <c r="H784" s="1" t="s">
        <v>95</v>
      </c>
      <c r="I784" s="1" t="s">
        <v>86</v>
      </c>
      <c r="J784" s="1" t="s">
        <v>87</v>
      </c>
      <c r="K784" s="1" t="s">
        <v>1558</v>
      </c>
      <c r="L784" s="1" t="s">
        <v>29</v>
      </c>
      <c r="M784" s="1" t="s">
        <v>43</v>
      </c>
      <c r="N784" s="1" t="s">
        <v>1559</v>
      </c>
      <c r="O784">
        <v>99.372</v>
      </c>
      <c r="P784">
        <v>2</v>
      </c>
      <c r="Q784">
        <v>-1.4196</v>
      </c>
      <c r="R784" s="1" t="s">
        <v>4424</v>
      </c>
      <c r="S784">
        <v>2016</v>
      </c>
      <c r="T784" s="1" t="s">
        <v>187</v>
      </c>
    </row>
    <row r="785" spans="1:20" x14ac:dyDescent="0.25">
      <c r="A785" s="1" t="s">
        <v>2546</v>
      </c>
      <c r="B785" s="2">
        <v>41989</v>
      </c>
      <c r="C785" s="2">
        <v>41993</v>
      </c>
      <c r="D785" s="1" t="s">
        <v>21</v>
      </c>
      <c r="E785" s="1" t="s">
        <v>2547</v>
      </c>
      <c r="F785" s="1" t="s">
        <v>2548</v>
      </c>
      <c r="G785" s="1" t="s">
        <v>84</v>
      </c>
      <c r="H785" s="1" t="s">
        <v>2041</v>
      </c>
      <c r="I785" s="1" t="s">
        <v>41</v>
      </c>
      <c r="J785" s="1" t="s">
        <v>27</v>
      </c>
      <c r="K785" s="1" t="s">
        <v>1523</v>
      </c>
      <c r="L785" s="1" t="s">
        <v>29</v>
      </c>
      <c r="M785" s="1" t="s">
        <v>34</v>
      </c>
      <c r="N785" s="1" t="s">
        <v>1524</v>
      </c>
      <c r="O785">
        <v>1013.832</v>
      </c>
      <c r="P785">
        <v>9</v>
      </c>
      <c r="Q785">
        <v>101.3832</v>
      </c>
      <c r="R785" s="1" t="s">
        <v>4424</v>
      </c>
      <c r="S785">
        <v>2014</v>
      </c>
      <c r="T785" s="1" t="s">
        <v>90</v>
      </c>
    </row>
    <row r="786" spans="1:20" x14ac:dyDescent="0.25">
      <c r="A786" s="1" t="s">
        <v>2549</v>
      </c>
      <c r="B786" s="2">
        <v>42721</v>
      </c>
      <c r="C786" s="2">
        <v>42725</v>
      </c>
      <c r="D786" s="1" t="s">
        <v>37</v>
      </c>
      <c r="E786" s="1" t="s">
        <v>2550</v>
      </c>
      <c r="F786" s="1" t="s">
        <v>2551</v>
      </c>
      <c r="G786" s="1" t="s">
        <v>24</v>
      </c>
      <c r="H786" s="1" t="s">
        <v>320</v>
      </c>
      <c r="I786" s="1" t="s">
        <v>50</v>
      </c>
      <c r="J786" s="1" t="s">
        <v>51</v>
      </c>
      <c r="K786" s="1" t="s">
        <v>603</v>
      </c>
      <c r="L786" s="1" t="s">
        <v>29</v>
      </c>
      <c r="M786" s="1" t="s">
        <v>43</v>
      </c>
      <c r="N786" s="1" t="s">
        <v>604</v>
      </c>
      <c r="O786">
        <v>2003.52</v>
      </c>
      <c r="P786">
        <v>6</v>
      </c>
      <c r="Q786">
        <v>-325.572</v>
      </c>
      <c r="R786" s="1" t="s">
        <v>4424</v>
      </c>
      <c r="S786">
        <v>2016</v>
      </c>
      <c r="T786" s="1" t="s">
        <v>90</v>
      </c>
    </row>
    <row r="787" spans="1:20" x14ac:dyDescent="0.25">
      <c r="A787" s="1" t="s">
        <v>2552</v>
      </c>
      <c r="B787" s="2">
        <v>42127</v>
      </c>
      <c r="C787" s="2">
        <v>42132</v>
      </c>
      <c r="D787" s="1" t="s">
        <v>37</v>
      </c>
      <c r="E787" s="1" t="s">
        <v>2221</v>
      </c>
      <c r="F787" s="1" t="s">
        <v>2222</v>
      </c>
      <c r="G787" s="1" t="s">
        <v>94</v>
      </c>
      <c r="H787" s="1" t="s">
        <v>2553</v>
      </c>
      <c r="I787" s="1" t="s">
        <v>50</v>
      </c>
      <c r="J787" s="1" t="s">
        <v>51</v>
      </c>
      <c r="K787" s="1" t="s">
        <v>1844</v>
      </c>
      <c r="L787" s="1" t="s">
        <v>29</v>
      </c>
      <c r="M787" s="1" t="s">
        <v>53</v>
      </c>
      <c r="N787" s="1" t="s">
        <v>1845</v>
      </c>
      <c r="O787">
        <v>665.88</v>
      </c>
      <c r="P787">
        <v>6</v>
      </c>
      <c r="Q787">
        <v>106.5408</v>
      </c>
      <c r="R787" s="1" t="s">
        <v>4422</v>
      </c>
      <c r="S787">
        <v>2015</v>
      </c>
      <c r="T787" s="1" t="s">
        <v>153</v>
      </c>
    </row>
    <row r="788" spans="1:20" x14ac:dyDescent="0.25">
      <c r="A788" s="1" t="s">
        <v>2554</v>
      </c>
      <c r="B788" s="2">
        <v>41666</v>
      </c>
      <c r="C788" s="2">
        <v>41672</v>
      </c>
      <c r="D788" s="1" t="s">
        <v>37</v>
      </c>
      <c r="E788" s="1" t="s">
        <v>2555</v>
      </c>
      <c r="F788" s="1" t="s">
        <v>2556</v>
      </c>
      <c r="G788" s="1" t="s">
        <v>24</v>
      </c>
      <c r="H788" s="1" t="s">
        <v>630</v>
      </c>
      <c r="I788" s="1" t="s">
        <v>50</v>
      </c>
      <c r="J788" s="1" t="s">
        <v>51</v>
      </c>
      <c r="K788" s="1" t="s">
        <v>2557</v>
      </c>
      <c r="L788" s="1" t="s">
        <v>29</v>
      </c>
      <c r="M788" s="1" t="s">
        <v>43</v>
      </c>
      <c r="N788" s="1" t="s">
        <v>2558</v>
      </c>
      <c r="O788">
        <v>333</v>
      </c>
      <c r="P788">
        <v>3</v>
      </c>
      <c r="Q788">
        <v>-16.649999999999999</v>
      </c>
      <c r="R788" s="1" t="s">
        <v>4426</v>
      </c>
      <c r="S788">
        <v>2014</v>
      </c>
      <c r="T788" s="1" t="s">
        <v>161</v>
      </c>
    </row>
    <row r="789" spans="1:20" x14ac:dyDescent="0.25">
      <c r="A789" s="1" t="s">
        <v>2559</v>
      </c>
      <c r="B789" s="2">
        <v>43043</v>
      </c>
      <c r="C789" s="2">
        <v>43044</v>
      </c>
      <c r="D789" s="1" t="s">
        <v>81</v>
      </c>
      <c r="E789" s="1" t="s">
        <v>343</v>
      </c>
      <c r="F789" s="1" t="s">
        <v>344</v>
      </c>
      <c r="G789" s="1" t="s">
        <v>84</v>
      </c>
      <c r="H789" s="1" t="s">
        <v>2560</v>
      </c>
      <c r="I789" s="1" t="s">
        <v>1027</v>
      </c>
      <c r="J789" s="1" t="s">
        <v>27</v>
      </c>
      <c r="K789" s="1" t="s">
        <v>402</v>
      </c>
      <c r="L789" s="1" t="s">
        <v>29</v>
      </c>
      <c r="M789" s="1" t="s">
        <v>43</v>
      </c>
      <c r="N789" s="1" t="s">
        <v>403</v>
      </c>
      <c r="O789">
        <v>523.76400000000001</v>
      </c>
      <c r="P789">
        <v>3</v>
      </c>
      <c r="Q789">
        <v>-192.04679999999999</v>
      </c>
      <c r="R789" s="1" t="s">
        <v>4425</v>
      </c>
      <c r="S789">
        <v>2017</v>
      </c>
      <c r="T789" s="1" t="s">
        <v>32</v>
      </c>
    </row>
    <row r="790" spans="1:20" x14ac:dyDescent="0.25">
      <c r="A790" s="1" t="s">
        <v>2561</v>
      </c>
      <c r="B790" s="2">
        <v>42657</v>
      </c>
      <c r="C790" s="2">
        <v>42663</v>
      </c>
      <c r="D790" s="1" t="s">
        <v>37</v>
      </c>
      <c r="E790" s="1" t="s">
        <v>2562</v>
      </c>
      <c r="F790" s="1" t="s">
        <v>2563</v>
      </c>
      <c r="G790" s="1" t="s">
        <v>24</v>
      </c>
      <c r="H790" s="1" t="s">
        <v>597</v>
      </c>
      <c r="I790" s="1" t="s">
        <v>1027</v>
      </c>
      <c r="J790" s="1" t="s">
        <v>27</v>
      </c>
      <c r="K790" s="1" t="s">
        <v>2564</v>
      </c>
      <c r="L790" s="1" t="s">
        <v>29</v>
      </c>
      <c r="M790" s="1" t="s">
        <v>34</v>
      </c>
      <c r="N790" s="1" t="s">
        <v>2565</v>
      </c>
      <c r="O790">
        <v>102.592</v>
      </c>
      <c r="P790">
        <v>1</v>
      </c>
      <c r="Q790">
        <v>10.2592</v>
      </c>
      <c r="R790" s="1" t="s">
        <v>4426</v>
      </c>
      <c r="S790">
        <v>2016</v>
      </c>
      <c r="T790" s="1" t="s">
        <v>45</v>
      </c>
    </row>
    <row r="791" spans="1:20" x14ac:dyDescent="0.25">
      <c r="A791" s="1" t="s">
        <v>2566</v>
      </c>
      <c r="B791" s="2">
        <v>42320</v>
      </c>
      <c r="C791" s="2">
        <v>42327</v>
      </c>
      <c r="D791" s="1" t="s">
        <v>37</v>
      </c>
      <c r="E791" s="1" t="s">
        <v>2567</v>
      </c>
      <c r="F791" s="1" t="s">
        <v>2568</v>
      </c>
      <c r="G791" s="1" t="s">
        <v>84</v>
      </c>
      <c r="H791" s="1" t="s">
        <v>2503</v>
      </c>
      <c r="I791" s="1" t="s">
        <v>41</v>
      </c>
      <c r="J791" s="1" t="s">
        <v>27</v>
      </c>
      <c r="K791" s="1" t="s">
        <v>2569</v>
      </c>
      <c r="L791" s="1" t="s">
        <v>29</v>
      </c>
      <c r="M791" s="1" t="s">
        <v>34</v>
      </c>
      <c r="N791" s="1" t="s">
        <v>2570</v>
      </c>
      <c r="O791">
        <v>523.91999999999996</v>
      </c>
      <c r="P791">
        <v>5</v>
      </c>
      <c r="Q791">
        <v>-72.039000000000001</v>
      </c>
      <c r="R791" s="1" t="s">
        <v>4421</v>
      </c>
      <c r="S791">
        <v>2015</v>
      </c>
      <c r="T791" s="1" t="s">
        <v>32</v>
      </c>
    </row>
    <row r="792" spans="1:20" x14ac:dyDescent="0.25">
      <c r="A792" s="1" t="s">
        <v>2566</v>
      </c>
      <c r="B792" s="2">
        <v>42320</v>
      </c>
      <c r="C792" s="2">
        <v>42327</v>
      </c>
      <c r="D792" s="1" t="s">
        <v>37</v>
      </c>
      <c r="E792" s="1" t="s">
        <v>2567</v>
      </c>
      <c r="F792" s="1" t="s">
        <v>2568</v>
      </c>
      <c r="G792" s="1" t="s">
        <v>84</v>
      </c>
      <c r="H792" s="1" t="s">
        <v>2503</v>
      </c>
      <c r="I792" s="1" t="s">
        <v>41</v>
      </c>
      <c r="J792" s="1" t="s">
        <v>27</v>
      </c>
      <c r="K792" s="1" t="s">
        <v>290</v>
      </c>
      <c r="L792" s="1" t="s">
        <v>29</v>
      </c>
      <c r="M792" s="1" t="s">
        <v>34</v>
      </c>
      <c r="N792" s="1" t="s">
        <v>291</v>
      </c>
      <c r="O792">
        <v>146.136</v>
      </c>
      <c r="P792">
        <v>3</v>
      </c>
      <c r="Q792">
        <v>16.440300000000001</v>
      </c>
      <c r="R792" s="1" t="s">
        <v>4421</v>
      </c>
      <c r="S792">
        <v>2015</v>
      </c>
      <c r="T792" s="1" t="s">
        <v>32</v>
      </c>
    </row>
    <row r="793" spans="1:20" x14ac:dyDescent="0.25">
      <c r="A793" s="1" t="s">
        <v>2571</v>
      </c>
      <c r="B793" s="2">
        <v>42262</v>
      </c>
      <c r="C793" s="2">
        <v>42266</v>
      </c>
      <c r="D793" s="1" t="s">
        <v>37</v>
      </c>
      <c r="E793" s="1" t="s">
        <v>2226</v>
      </c>
      <c r="F793" s="1" t="s">
        <v>2227</v>
      </c>
      <c r="G793" s="1" t="s">
        <v>24</v>
      </c>
      <c r="H793" s="1" t="s">
        <v>2453</v>
      </c>
      <c r="I793" s="1" t="s">
        <v>1267</v>
      </c>
      <c r="J793" s="1" t="s">
        <v>27</v>
      </c>
      <c r="K793" s="1" t="s">
        <v>1982</v>
      </c>
      <c r="L793" s="1" t="s">
        <v>29</v>
      </c>
      <c r="M793" s="1" t="s">
        <v>43</v>
      </c>
      <c r="N793" s="1" t="s">
        <v>1983</v>
      </c>
      <c r="O793">
        <v>801.96</v>
      </c>
      <c r="P793">
        <v>2</v>
      </c>
      <c r="Q793">
        <v>200.49</v>
      </c>
      <c r="R793" s="1" t="s">
        <v>4424</v>
      </c>
      <c r="S793">
        <v>2015</v>
      </c>
      <c r="T793" s="1" t="s">
        <v>72</v>
      </c>
    </row>
    <row r="794" spans="1:20" x14ac:dyDescent="0.25">
      <c r="A794" s="1" t="s">
        <v>2571</v>
      </c>
      <c r="B794" s="2">
        <v>42262</v>
      </c>
      <c r="C794" s="2">
        <v>42266</v>
      </c>
      <c r="D794" s="1" t="s">
        <v>37</v>
      </c>
      <c r="E794" s="1" t="s">
        <v>2226</v>
      </c>
      <c r="F794" s="1" t="s">
        <v>2227</v>
      </c>
      <c r="G794" s="1" t="s">
        <v>24</v>
      </c>
      <c r="H794" s="1" t="s">
        <v>2453</v>
      </c>
      <c r="I794" s="1" t="s">
        <v>1267</v>
      </c>
      <c r="J794" s="1" t="s">
        <v>27</v>
      </c>
      <c r="K794" s="1" t="s">
        <v>647</v>
      </c>
      <c r="L794" s="1" t="s">
        <v>29</v>
      </c>
      <c r="M794" s="1" t="s">
        <v>34</v>
      </c>
      <c r="N794" s="1" t="s">
        <v>648</v>
      </c>
      <c r="O794">
        <v>1056.8599999999999</v>
      </c>
      <c r="P794">
        <v>7</v>
      </c>
      <c r="Q794">
        <v>306.48939999999999</v>
      </c>
      <c r="R794" s="1" t="s">
        <v>4424</v>
      </c>
      <c r="S794">
        <v>2015</v>
      </c>
      <c r="T794" s="1" t="s">
        <v>72</v>
      </c>
    </row>
    <row r="795" spans="1:20" x14ac:dyDescent="0.25">
      <c r="A795" s="1" t="s">
        <v>2572</v>
      </c>
      <c r="B795" s="2">
        <v>43017</v>
      </c>
      <c r="C795" s="2">
        <v>43022</v>
      </c>
      <c r="D795" s="1" t="s">
        <v>37</v>
      </c>
      <c r="E795" s="1" t="s">
        <v>2145</v>
      </c>
      <c r="F795" s="1" t="s">
        <v>2146</v>
      </c>
      <c r="G795" s="1" t="s">
        <v>24</v>
      </c>
      <c r="H795" s="1" t="s">
        <v>165</v>
      </c>
      <c r="I795" s="1" t="s">
        <v>114</v>
      </c>
      <c r="J795" s="1" t="s">
        <v>63</v>
      </c>
      <c r="K795" s="1" t="s">
        <v>1627</v>
      </c>
      <c r="L795" s="1" t="s">
        <v>29</v>
      </c>
      <c r="M795" s="1" t="s">
        <v>30</v>
      </c>
      <c r="N795" s="1" t="s">
        <v>1628</v>
      </c>
      <c r="O795">
        <v>314.35199999999998</v>
      </c>
      <c r="P795">
        <v>3</v>
      </c>
      <c r="Q795">
        <v>-15.717599999999999</v>
      </c>
      <c r="R795" s="1" t="s">
        <v>4422</v>
      </c>
      <c r="S795">
        <v>2017</v>
      </c>
      <c r="T795" s="1" t="s">
        <v>45</v>
      </c>
    </row>
    <row r="796" spans="1:20" x14ac:dyDescent="0.25">
      <c r="A796" s="1" t="s">
        <v>2573</v>
      </c>
      <c r="B796" s="2">
        <v>42862</v>
      </c>
      <c r="C796" s="2">
        <v>42866</v>
      </c>
      <c r="D796" s="1" t="s">
        <v>37</v>
      </c>
      <c r="E796" s="1" t="s">
        <v>1579</v>
      </c>
      <c r="F796" s="1" t="s">
        <v>1580</v>
      </c>
      <c r="G796" s="1" t="s">
        <v>84</v>
      </c>
      <c r="H796" s="1" t="s">
        <v>280</v>
      </c>
      <c r="I796" s="1" t="s">
        <v>281</v>
      </c>
      <c r="J796" s="1" t="s">
        <v>87</v>
      </c>
      <c r="K796" s="1" t="s">
        <v>373</v>
      </c>
      <c r="L796" s="1" t="s">
        <v>29</v>
      </c>
      <c r="M796" s="1" t="s">
        <v>34</v>
      </c>
      <c r="N796" s="1" t="s">
        <v>374</v>
      </c>
      <c r="O796">
        <v>1458.65</v>
      </c>
      <c r="P796">
        <v>5</v>
      </c>
      <c r="Q796">
        <v>423.00850000000003</v>
      </c>
      <c r="R796" s="1" t="s">
        <v>4424</v>
      </c>
      <c r="S796">
        <v>2017</v>
      </c>
      <c r="T796" s="1" t="s">
        <v>153</v>
      </c>
    </row>
    <row r="797" spans="1:20" x14ac:dyDescent="0.25">
      <c r="A797" s="1" t="s">
        <v>2573</v>
      </c>
      <c r="B797" s="2">
        <v>42862</v>
      </c>
      <c r="C797" s="2">
        <v>42866</v>
      </c>
      <c r="D797" s="1" t="s">
        <v>37</v>
      </c>
      <c r="E797" s="1" t="s">
        <v>1579</v>
      </c>
      <c r="F797" s="1" t="s">
        <v>1580</v>
      </c>
      <c r="G797" s="1" t="s">
        <v>84</v>
      </c>
      <c r="H797" s="1" t="s">
        <v>280</v>
      </c>
      <c r="I797" s="1" t="s">
        <v>281</v>
      </c>
      <c r="J797" s="1" t="s">
        <v>87</v>
      </c>
      <c r="K797" s="1" t="s">
        <v>1999</v>
      </c>
      <c r="L797" s="1" t="s">
        <v>29</v>
      </c>
      <c r="M797" s="1" t="s">
        <v>34</v>
      </c>
      <c r="N797" s="1" t="s">
        <v>2000</v>
      </c>
      <c r="O797">
        <v>26.64</v>
      </c>
      <c r="P797">
        <v>1</v>
      </c>
      <c r="Q797">
        <v>7.4592000000000001</v>
      </c>
      <c r="R797" s="1" t="s">
        <v>4424</v>
      </c>
      <c r="S797">
        <v>2017</v>
      </c>
      <c r="T797" s="1" t="s">
        <v>153</v>
      </c>
    </row>
    <row r="798" spans="1:20" x14ac:dyDescent="0.25">
      <c r="A798" s="1" t="s">
        <v>2573</v>
      </c>
      <c r="B798" s="2">
        <v>42862</v>
      </c>
      <c r="C798" s="2">
        <v>42866</v>
      </c>
      <c r="D798" s="1" t="s">
        <v>37</v>
      </c>
      <c r="E798" s="1" t="s">
        <v>1579</v>
      </c>
      <c r="F798" s="1" t="s">
        <v>1580</v>
      </c>
      <c r="G798" s="1" t="s">
        <v>84</v>
      </c>
      <c r="H798" s="1" t="s">
        <v>280</v>
      </c>
      <c r="I798" s="1" t="s">
        <v>281</v>
      </c>
      <c r="J798" s="1" t="s">
        <v>87</v>
      </c>
      <c r="K798" s="1" t="s">
        <v>571</v>
      </c>
      <c r="L798" s="1" t="s">
        <v>29</v>
      </c>
      <c r="M798" s="1" t="s">
        <v>34</v>
      </c>
      <c r="N798" s="1" t="s">
        <v>572</v>
      </c>
      <c r="O798">
        <v>476.8</v>
      </c>
      <c r="P798">
        <v>2</v>
      </c>
      <c r="Q798">
        <v>119.2</v>
      </c>
      <c r="R798" s="1" t="s">
        <v>4424</v>
      </c>
      <c r="S798">
        <v>2017</v>
      </c>
      <c r="T798" s="1" t="s">
        <v>153</v>
      </c>
    </row>
    <row r="799" spans="1:20" x14ac:dyDescent="0.25">
      <c r="A799" s="1" t="s">
        <v>2574</v>
      </c>
      <c r="B799" s="2">
        <v>42322</v>
      </c>
      <c r="C799" s="2">
        <v>42327</v>
      </c>
      <c r="D799" s="1" t="s">
        <v>37</v>
      </c>
      <c r="E799" s="1" t="s">
        <v>2575</v>
      </c>
      <c r="F799" s="1" t="s">
        <v>2576</v>
      </c>
      <c r="G799" s="1" t="s">
        <v>24</v>
      </c>
      <c r="H799" s="1" t="s">
        <v>732</v>
      </c>
      <c r="I799" s="1" t="s">
        <v>192</v>
      </c>
      <c r="J799" s="1" t="s">
        <v>63</v>
      </c>
      <c r="K799" s="1" t="s">
        <v>300</v>
      </c>
      <c r="L799" s="1" t="s">
        <v>29</v>
      </c>
      <c r="M799" s="1" t="s">
        <v>53</v>
      </c>
      <c r="N799" s="1" t="s">
        <v>2577</v>
      </c>
      <c r="O799">
        <v>76.14</v>
      </c>
      <c r="P799">
        <v>3</v>
      </c>
      <c r="Q799">
        <v>26.649000000000001</v>
      </c>
      <c r="R799" s="1" t="s">
        <v>4422</v>
      </c>
      <c r="S799">
        <v>2015</v>
      </c>
      <c r="T799" s="1" t="s">
        <v>32</v>
      </c>
    </row>
    <row r="800" spans="1:20" x14ac:dyDescent="0.25">
      <c r="A800" s="1" t="s">
        <v>2578</v>
      </c>
      <c r="B800" s="2">
        <v>41967</v>
      </c>
      <c r="C800" s="2">
        <v>41967</v>
      </c>
      <c r="D800" s="1" t="s">
        <v>417</v>
      </c>
      <c r="E800" s="1" t="s">
        <v>2579</v>
      </c>
      <c r="F800" s="1" t="s">
        <v>2580</v>
      </c>
      <c r="G800" s="1" t="s">
        <v>84</v>
      </c>
      <c r="H800" s="1" t="s">
        <v>339</v>
      </c>
      <c r="I800" s="1" t="s">
        <v>223</v>
      </c>
      <c r="J800" s="1" t="s">
        <v>63</v>
      </c>
      <c r="K800" s="1" t="s">
        <v>1297</v>
      </c>
      <c r="L800" s="1" t="s">
        <v>29</v>
      </c>
      <c r="M800" s="1" t="s">
        <v>34</v>
      </c>
      <c r="N800" s="1" t="s">
        <v>1298</v>
      </c>
      <c r="O800">
        <v>611.05799999999999</v>
      </c>
      <c r="P800">
        <v>3</v>
      </c>
      <c r="Q800">
        <v>-34.9176</v>
      </c>
      <c r="R800" s="1" t="s">
        <v>4427</v>
      </c>
      <c r="S800">
        <v>2014</v>
      </c>
      <c r="T800" s="1" t="s">
        <v>32</v>
      </c>
    </row>
    <row r="801" spans="1:20" x14ac:dyDescent="0.25">
      <c r="A801" s="1" t="s">
        <v>2581</v>
      </c>
      <c r="B801" s="2">
        <v>41846</v>
      </c>
      <c r="C801" s="2">
        <v>41853</v>
      </c>
      <c r="D801" s="1" t="s">
        <v>37</v>
      </c>
      <c r="E801" s="1" t="s">
        <v>118</v>
      </c>
      <c r="F801" s="1" t="s">
        <v>119</v>
      </c>
      <c r="G801" s="1" t="s">
        <v>24</v>
      </c>
      <c r="H801" s="1" t="s">
        <v>1330</v>
      </c>
      <c r="I801" s="1" t="s">
        <v>1331</v>
      </c>
      <c r="J801" s="1" t="s">
        <v>51</v>
      </c>
      <c r="K801" s="1" t="s">
        <v>397</v>
      </c>
      <c r="L801" s="1" t="s">
        <v>29</v>
      </c>
      <c r="M801" s="1" t="s">
        <v>34</v>
      </c>
      <c r="N801" s="1" t="s">
        <v>398</v>
      </c>
      <c r="O801">
        <v>674.35199999999998</v>
      </c>
      <c r="P801">
        <v>3</v>
      </c>
      <c r="Q801">
        <v>-109.5822</v>
      </c>
      <c r="R801" s="1" t="s">
        <v>4421</v>
      </c>
      <c r="S801">
        <v>2014</v>
      </c>
      <c r="T801" s="1" t="s">
        <v>66</v>
      </c>
    </row>
    <row r="802" spans="1:20" x14ac:dyDescent="0.25">
      <c r="A802" s="1" t="s">
        <v>2581</v>
      </c>
      <c r="B802" s="2">
        <v>41846</v>
      </c>
      <c r="C802" s="2">
        <v>41853</v>
      </c>
      <c r="D802" s="1" t="s">
        <v>37</v>
      </c>
      <c r="E802" s="1" t="s">
        <v>118</v>
      </c>
      <c r="F802" s="1" t="s">
        <v>119</v>
      </c>
      <c r="G802" s="1" t="s">
        <v>24</v>
      </c>
      <c r="H802" s="1" t="s">
        <v>1330</v>
      </c>
      <c r="I802" s="1" t="s">
        <v>1331</v>
      </c>
      <c r="J802" s="1" t="s">
        <v>51</v>
      </c>
      <c r="K802" s="1" t="s">
        <v>1195</v>
      </c>
      <c r="L802" s="1" t="s">
        <v>29</v>
      </c>
      <c r="M802" s="1" t="s">
        <v>53</v>
      </c>
      <c r="N802" s="1" t="s">
        <v>1196</v>
      </c>
      <c r="O802">
        <v>134.01</v>
      </c>
      <c r="P802">
        <v>9</v>
      </c>
      <c r="Q802">
        <v>36.182699999999997</v>
      </c>
      <c r="R802" s="1" t="s">
        <v>4421</v>
      </c>
      <c r="S802">
        <v>2014</v>
      </c>
      <c r="T802" s="1" t="s">
        <v>66</v>
      </c>
    </row>
    <row r="803" spans="1:20" x14ac:dyDescent="0.25">
      <c r="A803" s="1" t="s">
        <v>2582</v>
      </c>
      <c r="B803" s="2">
        <v>41798</v>
      </c>
      <c r="C803" s="2">
        <v>41802</v>
      </c>
      <c r="D803" s="1" t="s">
        <v>37</v>
      </c>
      <c r="E803" s="1" t="s">
        <v>2583</v>
      </c>
      <c r="F803" s="1" t="s">
        <v>2584</v>
      </c>
      <c r="G803" s="1" t="s">
        <v>84</v>
      </c>
      <c r="H803" s="1" t="s">
        <v>2396</v>
      </c>
      <c r="I803" s="1" t="s">
        <v>133</v>
      </c>
      <c r="J803" s="1" t="s">
        <v>27</v>
      </c>
      <c r="K803" s="1" t="s">
        <v>581</v>
      </c>
      <c r="L803" s="1" t="s">
        <v>29</v>
      </c>
      <c r="M803" s="1" t="s">
        <v>34</v>
      </c>
      <c r="N803" s="1" t="s">
        <v>582</v>
      </c>
      <c r="O803">
        <v>170.352</v>
      </c>
      <c r="P803">
        <v>3</v>
      </c>
      <c r="Q803">
        <v>10.647</v>
      </c>
      <c r="R803" s="1" t="s">
        <v>4424</v>
      </c>
      <c r="S803">
        <v>2014</v>
      </c>
      <c r="T803" s="1" t="s">
        <v>55</v>
      </c>
    </row>
    <row r="804" spans="1:20" x14ac:dyDescent="0.25">
      <c r="A804" s="1" t="s">
        <v>2585</v>
      </c>
      <c r="B804" s="2">
        <v>41940</v>
      </c>
      <c r="C804" s="2">
        <v>41943</v>
      </c>
      <c r="D804" s="1" t="s">
        <v>81</v>
      </c>
      <c r="E804" s="1" t="s">
        <v>1308</v>
      </c>
      <c r="F804" s="1" t="s">
        <v>1309</v>
      </c>
      <c r="G804" s="1" t="s">
        <v>84</v>
      </c>
      <c r="H804" s="1" t="s">
        <v>49</v>
      </c>
      <c r="I804" s="1" t="s">
        <v>50</v>
      </c>
      <c r="J804" s="1" t="s">
        <v>51</v>
      </c>
      <c r="K804" s="1" t="s">
        <v>533</v>
      </c>
      <c r="L804" s="1" t="s">
        <v>29</v>
      </c>
      <c r="M804" s="1" t="s">
        <v>30</v>
      </c>
      <c r="N804" s="1" t="s">
        <v>534</v>
      </c>
      <c r="O804">
        <v>616.99800000000005</v>
      </c>
      <c r="P804">
        <v>6</v>
      </c>
      <c r="Q804">
        <v>-36.293999999999997</v>
      </c>
      <c r="R804" s="1" t="s">
        <v>4420</v>
      </c>
      <c r="S804">
        <v>2014</v>
      </c>
      <c r="T804" s="1" t="s">
        <v>45</v>
      </c>
    </row>
    <row r="805" spans="1:20" x14ac:dyDescent="0.25">
      <c r="A805" s="1" t="s">
        <v>2586</v>
      </c>
      <c r="B805" s="2">
        <v>42268</v>
      </c>
      <c r="C805" s="2">
        <v>42268</v>
      </c>
      <c r="D805" s="1" t="s">
        <v>417</v>
      </c>
      <c r="E805" s="1" t="s">
        <v>2587</v>
      </c>
      <c r="F805" s="1" t="s">
        <v>2588</v>
      </c>
      <c r="G805" s="1" t="s">
        <v>94</v>
      </c>
      <c r="H805" s="1" t="s">
        <v>2389</v>
      </c>
      <c r="I805" s="1" t="s">
        <v>425</v>
      </c>
      <c r="J805" s="1" t="s">
        <v>63</v>
      </c>
      <c r="K805" s="1" t="s">
        <v>173</v>
      </c>
      <c r="L805" s="1" t="s">
        <v>29</v>
      </c>
      <c r="M805" s="1" t="s">
        <v>53</v>
      </c>
      <c r="N805" s="1" t="s">
        <v>174</v>
      </c>
      <c r="O805">
        <v>85.3</v>
      </c>
      <c r="P805">
        <v>2</v>
      </c>
      <c r="Q805">
        <v>14.500999999999999</v>
      </c>
      <c r="R805" s="1" t="s">
        <v>4427</v>
      </c>
      <c r="S805">
        <v>2015</v>
      </c>
      <c r="T805" s="1" t="s">
        <v>72</v>
      </c>
    </row>
    <row r="806" spans="1:20" x14ac:dyDescent="0.25">
      <c r="A806" s="1" t="s">
        <v>2589</v>
      </c>
      <c r="B806" s="2">
        <v>42892</v>
      </c>
      <c r="C806" s="2">
        <v>42896</v>
      </c>
      <c r="D806" s="1" t="s">
        <v>37</v>
      </c>
      <c r="E806" s="1" t="s">
        <v>2590</v>
      </c>
      <c r="F806" s="1" t="s">
        <v>2591</v>
      </c>
      <c r="G806" s="1" t="s">
        <v>94</v>
      </c>
      <c r="H806" s="1" t="s">
        <v>320</v>
      </c>
      <c r="I806" s="1" t="s">
        <v>50</v>
      </c>
      <c r="J806" s="1" t="s">
        <v>51</v>
      </c>
      <c r="K806" s="1" t="s">
        <v>2592</v>
      </c>
      <c r="L806" s="1" t="s">
        <v>29</v>
      </c>
      <c r="M806" s="1" t="s">
        <v>53</v>
      </c>
      <c r="N806" s="1" t="s">
        <v>2593</v>
      </c>
      <c r="O806">
        <v>4.95</v>
      </c>
      <c r="P806">
        <v>1</v>
      </c>
      <c r="Q806">
        <v>2.1779999999999999</v>
      </c>
      <c r="R806" s="1" t="s">
        <v>4424</v>
      </c>
      <c r="S806">
        <v>2017</v>
      </c>
      <c r="T806" s="1" t="s">
        <v>55</v>
      </c>
    </row>
    <row r="807" spans="1:20" x14ac:dyDescent="0.25">
      <c r="A807" s="1" t="s">
        <v>2594</v>
      </c>
      <c r="B807" s="2">
        <v>42783</v>
      </c>
      <c r="C807" s="2">
        <v>42788</v>
      </c>
      <c r="D807" s="1" t="s">
        <v>37</v>
      </c>
      <c r="E807" s="1" t="s">
        <v>1228</v>
      </c>
      <c r="F807" s="1" t="s">
        <v>1229</v>
      </c>
      <c r="G807" s="1" t="s">
        <v>94</v>
      </c>
      <c r="H807" s="1" t="s">
        <v>125</v>
      </c>
      <c r="I807" s="1" t="s">
        <v>126</v>
      </c>
      <c r="J807" s="1" t="s">
        <v>87</v>
      </c>
      <c r="K807" s="1" t="s">
        <v>1068</v>
      </c>
      <c r="L807" s="1" t="s">
        <v>29</v>
      </c>
      <c r="M807" s="1" t="s">
        <v>43</v>
      </c>
      <c r="N807" s="1" t="s">
        <v>1069</v>
      </c>
      <c r="O807">
        <v>480.96</v>
      </c>
      <c r="P807">
        <v>3</v>
      </c>
      <c r="Q807">
        <v>-269.33760000000001</v>
      </c>
      <c r="R807" s="1" t="s">
        <v>4422</v>
      </c>
      <c r="S807">
        <v>2017</v>
      </c>
      <c r="T807" s="1" t="s">
        <v>289</v>
      </c>
    </row>
    <row r="808" spans="1:20" x14ac:dyDescent="0.25">
      <c r="A808" s="1" t="s">
        <v>2595</v>
      </c>
      <c r="B808" s="2">
        <v>42336</v>
      </c>
      <c r="C808" s="2">
        <v>42341</v>
      </c>
      <c r="D808" s="1" t="s">
        <v>37</v>
      </c>
      <c r="E808" s="1" t="s">
        <v>213</v>
      </c>
      <c r="F808" s="1" t="s">
        <v>214</v>
      </c>
      <c r="G808" s="1" t="s">
        <v>24</v>
      </c>
      <c r="H808" s="1" t="s">
        <v>2596</v>
      </c>
      <c r="I808" s="1" t="s">
        <v>126</v>
      </c>
      <c r="J808" s="1" t="s">
        <v>87</v>
      </c>
      <c r="K808" s="1" t="s">
        <v>2597</v>
      </c>
      <c r="L808" s="1" t="s">
        <v>29</v>
      </c>
      <c r="M808" s="1" t="s">
        <v>53</v>
      </c>
      <c r="N808" s="1" t="s">
        <v>2598</v>
      </c>
      <c r="O808">
        <v>151.96</v>
      </c>
      <c r="P808">
        <v>5</v>
      </c>
      <c r="Q808">
        <v>-182.352</v>
      </c>
      <c r="R808" s="1" t="s">
        <v>4422</v>
      </c>
      <c r="S808">
        <v>2015</v>
      </c>
      <c r="T808" s="1" t="s">
        <v>32</v>
      </c>
    </row>
    <row r="809" spans="1:20" x14ac:dyDescent="0.25">
      <c r="A809" s="1" t="s">
        <v>2599</v>
      </c>
      <c r="B809" s="2">
        <v>42300</v>
      </c>
      <c r="C809" s="2">
        <v>42304</v>
      </c>
      <c r="D809" s="1" t="s">
        <v>21</v>
      </c>
      <c r="E809" s="1" t="s">
        <v>2600</v>
      </c>
      <c r="F809" s="1" t="s">
        <v>2601</v>
      </c>
      <c r="G809" s="1" t="s">
        <v>24</v>
      </c>
      <c r="H809" s="1" t="s">
        <v>630</v>
      </c>
      <c r="I809" s="1" t="s">
        <v>50</v>
      </c>
      <c r="J809" s="1" t="s">
        <v>51</v>
      </c>
      <c r="K809" s="1" t="s">
        <v>2325</v>
      </c>
      <c r="L809" s="1" t="s">
        <v>29</v>
      </c>
      <c r="M809" s="1" t="s">
        <v>34</v>
      </c>
      <c r="N809" s="1" t="s">
        <v>2326</v>
      </c>
      <c r="O809">
        <v>240.78399999999999</v>
      </c>
      <c r="P809">
        <v>1</v>
      </c>
      <c r="Q809">
        <v>27.088200000000001</v>
      </c>
      <c r="R809" s="1" t="s">
        <v>4424</v>
      </c>
      <c r="S809">
        <v>2015</v>
      </c>
      <c r="T809" s="1" t="s">
        <v>45</v>
      </c>
    </row>
    <row r="810" spans="1:20" x14ac:dyDescent="0.25">
      <c r="A810" s="1" t="s">
        <v>2599</v>
      </c>
      <c r="B810" s="2">
        <v>42300</v>
      </c>
      <c r="C810" s="2">
        <v>42304</v>
      </c>
      <c r="D810" s="1" t="s">
        <v>21</v>
      </c>
      <c r="E810" s="1" t="s">
        <v>2600</v>
      </c>
      <c r="F810" s="1" t="s">
        <v>2601</v>
      </c>
      <c r="G810" s="1" t="s">
        <v>24</v>
      </c>
      <c r="H810" s="1" t="s">
        <v>630</v>
      </c>
      <c r="I810" s="1" t="s">
        <v>50</v>
      </c>
      <c r="J810" s="1" t="s">
        <v>51</v>
      </c>
      <c r="K810" s="1" t="s">
        <v>1093</v>
      </c>
      <c r="L810" s="1" t="s">
        <v>29</v>
      </c>
      <c r="M810" s="1" t="s">
        <v>34</v>
      </c>
      <c r="N810" s="1" t="s">
        <v>1094</v>
      </c>
      <c r="O810">
        <v>191.96799999999999</v>
      </c>
      <c r="P810">
        <v>7</v>
      </c>
      <c r="Q810">
        <v>16.7972</v>
      </c>
      <c r="R810" s="1" t="s">
        <v>4424</v>
      </c>
      <c r="S810">
        <v>2015</v>
      </c>
      <c r="T810" s="1" t="s">
        <v>45</v>
      </c>
    </row>
    <row r="811" spans="1:20" x14ac:dyDescent="0.25">
      <c r="A811" s="1" t="s">
        <v>2599</v>
      </c>
      <c r="B811" s="2">
        <v>42300</v>
      </c>
      <c r="C811" s="2">
        <v>42304</v>
      </c>
      <c r="D811" s="1" t="s">
        <v>21</v>
      </c>
      <c r="E811" s="1" t="s">
        <v>2600</v>
      </c>
      <c r="F811" s="1" t="s">
        <v>2601</v>
      </c>
      <c r="G811" s="1" t="s">
        <v>24</v>
      </c>
      <c r="H811" s="1" t="s">
        <v>630</v>
      </c>
      <c r="I811" s="1" t="s">
        <v>50</v>
      </c>
      <c r="J811" s="1" t="s">
        <v>51</v>
      </c>
      <c r="K811" s="1" t="s">
        <v>1477</v>
      </c>
      <c r="L811" s="1" t="s">
        <v>29</v>
      </c>
      <c r="M811" s="1" t="s">
        <v>34</v>
      </c>
      <c r="N811" s="1" t="s">
        <v>1478</v>
      </c>
      <c r="O811">
        <v>842.35199999999998</v>
      </c>
      <c r="P811">
        <v>3</v>
      </c>
      <c r="Q811">
        <v>42.117600000000003</v>
      </c>
      <c r="R811" s="1" t="s">
        <v>4424</v>
      </c>
      <c r="S811">
        <v>2015</v>
      </c>
      <c r="T811" s="1" t="s">
        <v>45</v>
      </c>
    </row>
    <row r="812" spans="1:20" x14ac:dyDescent="0.25">
      <c r="A812" s="1" t="s">
        <v>2602</v>
      </c>
      <c r="B812" s="2">
        <v>42170</v>
      </c>
      <c r="C812" s="2">
        <v>42175</v>
      </c>
      <c r="D812" s="1" t="s">
        <v>37</v>
      </c>
      <c r="E812" s="1" t="s">
        <v>2603</v>
      </c>
      <c r="F812" s="1" t="s">
        <v>2604</v>
      </c>
      <c r="G812" s="1" t="s">
        <v>24</v>
      </c>
      <c r="H812" s="1" t="s">
        <v>2024</v>
      </c>
      <c r="I812" s="1" t="s">
        <v>511</v>
      </c>
      <c r="J812" s="1" t="s">
        <v>51</v>
      </c>
      <c r="K812" s="1" t="s">
        <v>2597</v>
      </c>
      <c r="L812" s="1" t="s">
        <v>29</v>
      </c>
      <c r="M812" s="1" t="s">
        <v>53</v>
      </c>
      <c r="N812" s="1" t="s">
        <v>2598</v>
      </c>
      <c r="O812">
        <v>364.70400000000001</v>
      </c>
      <c r="P812">
        <v>6</v>
      </c>
      <c r="Q812">
        <v>-36.470399999999998</v>
      </c>
      <c r="R812" s="1" t="s">
        <v>4422</v>
      </c>
      <c r="S812">
        <v>2015</v>
      </c>
      <c r="T812" s="1" t="s">
        <v>55</v>
      </c>
    </row>
    <row r="813" spans="1:20" x14ac:dyDescent="0.25">
      <c r="A813" s="1" t="s">
        <v>2602</v>
      </c>
      <c r="B813" s="2">
        <v>42170</v>
      </c>
      <c r="C813" s="2">
        <v>42175</v>
      </c>
      <c r="D813" s="1" t="s">
        <v>37</v>
      </c>
      <c r="E813" s="1" t="s">
        <v>2603</v>
      </c>
      <c r="F813" s="1" t="s">
        <v>2604</v>
      </c>
      <c r="G813" s="1" t="s">
        <v>24</v>
      </c>
      <c r="H813" s="1" t="s">
        <v>2024</v>
      </c>
      <c r="I813" s="1" t="s">
        <v>511</v>
      </c>
      <c r="J813" s="1" t="s">
        <v>51</v>
      </c>
      <c r="K813" s="1" t="s">
        <v>2605</v>
      </c>
      <c r="L813" s="1" t="s">
        <v>29</v>
      </c>
      <c r="M813" s="1" t="s">
        <v>53</v>
      </c>
      <c r="N813" s="1" t="s">
        <v>2606</v>
      </c>
      <c r="O813">
        <v>40.256</v>
      </c>
      <c r="P813">
        <v>4</v>
      </c>
      <c r="Q813">
        <v>11.070399999999999</v>
      </c>
      <c r="R813" s="1" t="s">
        <v>4422</v>
      </c>
      <c r="S813">
        <v>2015</v>
      </c>
      <c r="T813" s="1" t="s">
        <v>55</v>
      </c>
    </row>
    <row r="814" spans="1:20" x14ac:dyDescent="0.25">
      <c r="A814" s="1" t="s">
        <v>2607</v>
      </c>
      <c r="B814" s="2">
        <v>42698</v>
      </c>
      <c r="C814" s="2">
        <v>42704</v>
      </c>
      <c r="D814" s="1" t="s">
        <v>37</v>
      </c>
      <c r="E814" s="1" t="s">
        <v>2608</v>
      </c>
      <c r="F814" s="1" t="s">
        <v>2609</v>
      </c>
      <c r="G814" s="1" t="s">
        <v>84</v>
      </c>
      <c r="H814" s="1" t="s">
        <v>49</v>
      </c>
      <c r="I814" s="1" t="s">
        <v>50</v>
      </c>
      <c r="J814" s="1" t="s">
        <v>51</v>
      </c>
      <c r="K814" s="1" t="s">
        <v>842</v>
      </c>
      <c r="L814" s="1" t="s">
        <v>29</v>
      </c>
      <c r="M814" s="1" t="s">
        <v>34</v>
      </c>
      <c r="N814" s="1" t="s">
        <v>843</v>
      </c>
      <c r="O814">
        <v>1684.752</v>
      </c>
      <c r="P814">
        <v>6</v>
      </c>
      <c r="Q814">
        <v>210.59399999999999</v>
      </c>
      <c r="R814" s="1" t="s">
        <v>4426</v>
      </c>
      <c r="S814">
        <v>2016</v>
      </c>
      <c r="T814" s="1" t="s">
        <v>32</v>
      </c>
    </row>
    <row r="815" spans="1:20" x14ac:dyDescent="0.25">
      <c r="A815" s="1" t="s">
        <v>2610</v>
      </c>
      <c r="B815" s="2">
        <v>42099</v>
      </c>
      <c r="C815" s="2">
        <v>42104</v>
      </c>
      <c r="D815" s="1" t="s">
        <v>37</v>
      </c>
      <c r="E815" s="1" t="s">
        <v>2611</v>
      </c>
      <c r="F815" s="1" t="s">
        <v>2612</v>
      </c>
      <c r="G815" s="1" t="s">
        <v>94</v>
      </c>
      <c r="H815" s="1" t="s">
        <v>61</v>
      </c>
      <c r="I815" s="1" t="s">
        <v>62</v>
      </c>
      <c r="J815" s="1" t="s">
        <v>63</v>
      </c>
      <c r="K815" s="1" t="s">
        <v>1822</v>
      </c>
      <c r="L815" s="1" t="s">
        <v>29</v>
      </c>
      <c r="M815" s="1" t="s">
        <v>53</v>
      </c>
      <c r="N815" s="1" t="s">
        <v>1823</v>
      </c>
      <c r="O815">
        <v>547.13599999999997</v>
      </c>
      <c r="P815">
        <v>4</v>
      </c>
      <c r="Q815">
        <v>-68.391999999999996</v>
      </c>
      <c r="R815" s="1" t="s">
        <v>4422</v>
      </c>
      <c r="S815">
        <v>2015</v>
      </c>
      <c r="T815" s="1" t="s">
        <v>107</v>
      </c>
    </row>
    <row r="816" spans="1:20" x14ac:dyDescent="0.25">
      <c r="A816" s="1" t="s">
        <v>2610</v>
      </c>
      <c r="B816" s="2">
        <v>42099</v>
      </c>
      <c r="C816" s="2">
        <v>42104</v>
      </c>
      <c r="D816" s="1" t="s">
        <v>37</v>
      </c>
      <c r="E816" s="1" t="s">
        <v>2611</v>
      </c>
      <c r="F816" s="1" t="s">
        <v>2612</v>
      </c>
      <c r="G816" s="1" t="s">
        <v>94</v>
      </c>
      <c r="H816" s="1" t="s">
        <v>61</v>
      </c>
      <c r="I816" s="1" t="s">
        <v>62</v>
      </c>
      <c r="J816" s="1" t="s">
        <v>63</v>
      </c>
      <c r="K816" s="1" t="s">
        <v>1586</v>
      </c>
      <c r="L816" s="1" t="s">
        <v>29</v>
      </c>
      <c r="M816" s="1" t="s">
        <v>53</v>
      </c>
      <c r="N816" s="1" t="s">
        <v>1587</v>
      </c>
      <c r="O816">
        <v>7.5839999999999996</v>
      </c>
      <c r="P816">
        <v>1</v>
      </c>
      <c r="Q816">
        <v>2.37</v>
      </c>
      <c r="R816" s="1" t="s">
        <v>4422</v>
      </c>
      <c r="S816">
        <v>2015</v>
      </c>
      <c r="T816" s="1" t="s">
        <v>107</v>
      </c>
    </row>
    <row r="817" spans="1:20" x14ac:dyDescent="0.25">
      <c r="A817" s="1" t="s">
        <v>2610</v>
      </c>
      <c r="B817" s="2">
        <v>42099</v>
      </c>
      <c r="C817" s="2">
        <v>42104</v>
      </c>
      <c r="D817" s="1" t="s">
        <v>37</v>
      </c>
      <c r="E817" s="1" t="s">
        <v>2611</v>
      </c>
      <c r="F817" s="1" t="s">
        <v>2612</v>
      </c>
      <c r="G817" s="1" t="s">
        <v>94</v>
      </c>
      <c r="H817" s="1" t="s">
        <v>61</v>
      </c>
      <c r="I817" s="1" t="s">
        <v>62</v>
      </c>
      <c r="J817" s="1" t="s">
        <v>63</v>
      </c>
      <c r="K817" s="1" t="s">
        <v>2613</v>
      </c>
      <c r="L817" s="1" t="s">
        <v>29</v>
      </c>
      <c r="M817" s="1" t="s">
        <v>30</v>
      </c>
      <c r="N817" s="1" t="s">
        <v>2614</v>
      </c>
      <c r="O817">
        <v>352.45</v>
      </c>
      <c r="P817">
        <v>5</v>
      </c>
      <c r="Q817">
        <v>-211.47</v>
      </c>
      <c r="R817" s="1" t="s">
        <v>4422</v>
      </c>
      <c r="S817">
        <v>2015</v>
      </c>
      <c r="T817" s="1" t="s">
        <v>107</v>
      </c>
    </row>
    <row r="818" spans="1:20" x14ac:dyDescent="0.25">
      <c r="A818" s="1" t="s">
        <v>2615</v>
      </c>
      <c r="B818" s="2">
        <v>42996</v>
      </c>
      <c r="C818" s="2">
        <v>43003</v>
      </c>
      <c r="D818" s="1" t="s">
        <v>37</v>
      </c>
      <c r="E818" s="1" t="s">
        <v>2616</v>
      </c>
      <c r="F818" s="1" t="s">
        <v>2617</v>
      </c>
      <c r="G818" s="1" t="s">
        <v>84</v>
      </c>
      <c r="H818" s="1" t="s">
        <v>165</v>
      </c>
      <c r="I818" s="1" t="s">
        <v>114</v>
      </c>
      <c r="J818" s="1" t="s">
        <v>63</v>
      </c>
      <c r="K818" s="1" t="s">
        <v>1090</v>
      </c>
      <c r="L818" s="1" t="s">
        <v>29</v>
      </c>
      <c r="M818" s="1" t="s">
        <v>53</v>
      </c>
      <c r="N818" s="1" t="s">
        <v>1091</v>
      </c>
      <c r="O818">
        <v>9.82</v>
      </c>
      <c r="P818">
        <v>2</v>
      </c>
      <c r="Q818">
        <v>3.2406000000000001</v>
      </c>
      <c r="R818" s="1" t="s">
        <v>4421</v>
      </c>
      <c r="S818">
        <v>2017</v>
      </c>
      <c r="T818" s="1" t="s">
        <v>72</v>
      </c>
    </row>
    <row r="819" spans="1:20" x14ac:dyDescent="0.25">
      <c r="A819" s="1" t="s">
        <v>2618</v>
      </c>
      <c r="B819" s="2">
        <v>42934</v>
      </c>
      <c r="C819" s="2">
        <v>42939</v>
      </c>
      <c r="D819" s="1" t="s">
        <v>37</v>
      </c>
      <c r="E819" s="1" t="s">
        <v>2507</v>
      </c>
      <c r="F819" s="1" t="s">
        <v>2508</v>
      </c>
      <c r="G819" s="1" t="s">
        <v>24</v>
      </c>
      <c r="H819" s="1" t="s">
        <v>510</v>
      </c>
      <c r="I819" s="1" t="s">
        <v>511</v>
      </c>
      <c r="J819" s="1" t="s">
        <v>51</v>
      </c>
      <c r="K819" s="1" t="s">
        <v>1068</v>
      </c>
      <c r="L819" s="1" t="s">
        <v>29</v>
      </c>
      <c r="M819" s="1" t="s">
        <v>43</v>
      </c>
      <c r="N819" s="1" t="s">
        <v>1069</v>
      </c>
      <c r="O819">
        <v>801.6</v>
      </c>
      <c r="P819">
        <v>5</v>
      </c>
      <c r="Q819">
        <v>-448.89600000000002</v>
      </c>
      <c r="R819" s="1" t="s">
        <v>4422</v>
      </c>
      <c r="S819">
        <v>2017</v>
      </c>
      <c r="T819" s="1" t="s">
        <v>66</v>
      </c>
    </row>
    <row r="820" spans="1:20" x14ac:dyDescent="0.25">
      <c r="A820" s="1" t="s">
        <v>2618</v>
      </c>
      <c r="B820" s="2">
        <v>42934</v>
      </c>
      <c r="C820" s="2">
        <v>42939</v>
      </c>
      <c r="D820" s="1" t="s">
        <v>37</v>
      </c>
      <c r="E820" s="1" t="s">
        <v>2507</v>
      </c>
      <c r="F820" s="1" t="s">
        <v>2508</v>
      </c>
      <c r="G820" s="1" t="s">
        <v>24</v>
      </c>
      <c r="H820" s="1" t="s">
        <v>510</v>
      </c>
      <c r="I820" s="1" t="s">
        <v>511</v>
      </c>
      <c r="J820" s="1" t="s">
        <v>51</v>
      </c>
      <c r="K820" s="1" t="s">
        <v>98</v>
      </c>
      <c r="L820" s="1" t="s">
        <v>29</v>
      </c>
      <c r="M820" s="1" t="s">
        <v>34</v>
      </c>
      <c r="N820" s="1" t="s">
        <v>99</v>
      </c>
      <c r="O820">
        <v>161.56800000000001</v>
      </c>
      <c r="P820">
        <v>2</v>
      </c>
      <c r="Q820">
        <v>10.098000000000001</v>
      </c>
      <c r="R820" s="1" t="s">
        <v>4422</v>
      </c>
      <c r="S820">
        <v>2017</v>
      </c>
      <c r="T820" s="1" t="s">
        <v>66</v>
      </c>
    </row>
    <row r="821" spans="1:20" x14ac:dyDescent="0.25">
      <c r="A821" s="1" t="s">
        <v>2618</v>
      </c>
      <c r="B821" s="2">
        <v>42934</v>
      </c>
      <c r="C821" s="2">
        <v>42939</v>
      </c>
      <c r="D821" s="1" t="s">
        <v>37</v>
      </c>
      <c r="E821" s="1" t="s">
        <v>2507</v>
      </c>
      <c r="F821" s="1" t="s">
        <v>2508</v>
      </c>
      <c r="G821" s="1" t="s">
        <v>24</v>
      </c>
      <c r="H821" s="1" t="s">
        <v>510</v>
      </c>
      <c r="I821" s="1" t="s">
        <v>511</v>
      </c>
      <c r="J821" s="1" t="s">
        <v>51</v>
      </c>
      <c r="K821" s="1" t="s">
        <v>134</v>
      </c>
      <c r="L821" s="1" t="s">
        <v>29</v>
      </c>
      <c r="M821" s="1" t="s">
        <v>34</v>
      </c>
      <c r="N821" s="1" t="s">
        <v>135</v>
      </c>
      <c r="O821">
        <v>311.976</v>
      </c>
      <c r="P821">
        <v>3</v>
      </c>
      <c r="Q821">
        <v>-42.896700000000003</v>
      </c>
      <c r="R821" s="1" t="s">
        <v>4422</v>
      </c>
      <c r="S821">
        <v>2017</v>
      </c>
      <c r="T821" s="1" t="s">
        <v>66</v>
      </c>
    </row>
    <row r="822" spans="1:20" x14ac:dyDescent="0.25">
      <c r="A822" s="1" t="s">
        <v>2619</v>
      </c>
      <c r="B822" s="2">
        <v>41899</v>
      </c>
      <c r="C822" s="2">
        <v>41903</v>
      </c>
      <c r="D822" s="1" t="s">
        <v>37</v>
      </c>
      <c r="E822" s="1" t="s">
        <v>1440</v>
      </c>
      <c r="F822" s="1" t="s">
        <v>1441</v>
      </c>
      <c r="G822" s="1" t="s">
        <v>24</v>
      </c>
      <c r="H822" s="1" t="s">
        <v>183</v>
      </c>
      <c r="I822" s="1" t="s">
        <v>184</v>
      </c>
      <c r="J822" s="1" t="s">
        <v>51</v>
      </c>
      <c r="K822" s="1" t="s">
        <v>1980</v>
      </c>
      <c r="L822" s="1" t="s">
        <v>29</v>
      </c>
      <c r="M822" s="1" t="s">
        <v>53</v>
      </c>
      <c r="N822" s="1" t="s">
        <v>1981</v>
      </c>
      <c r="O822">
        <v>35.340000000000003</v>
      </c>
      <c r="P822">
        <v>2</v>
      </c>
      <c r="Q822">
        <v>13.4292</v>
      </c>
      <c r="R822" s="1" t="s">
        <v>4424</v>
      </c>
      <c r="S822">
        <v>2014</v>
      </c>
      <c r="T822" s="1" t="s">
        <v>72</v>
      </c>
    </row>
    <row r="823" spans="1:20" x14ac:dyDescent="0.25">
      <c r="A823" s="1" t="s">
        <v>2620</v>
      </c>
      <c r="B823" s="2">
        <v>42443</v>
      </c>
      <c r="C823" s="2">
        <v>42446</v>
      </c>
      <c r="D823" s="1" t="s">
        <v>81</v>
      </c>
      <c r="E823" s="1" t="s">
        <v>963</v>
      </c>
      <c r="F823" s="1" t="s">
        <v>964</v>
      </c>
      <c r="G823" s="1" t="s">
        <v>24</v>
      </c>
      <c r="H823" s="1" t="s">
        <v>2621</v>
      </c>
      <c r="I823" s="1" t="s">
        <v>86</v>
      </c>
      <c r="J823" s="1" t="s">
        <v>87</v>
      </c>
      <c r="K823" s="1" t="s">
        <v>801</v>
      </c>
      <c r="L823" s="1" t="s">
        <v>29</v>
      </c>
      <c r="M823" s="1" t="s">
        <v>30</v>
      </c>
      <c r="N823" s="1" t="s">
        <v>802</v>
      </c>
      <c r="O823">
        <v>241.33199999999999</v>
      </c>
      <c r="P823">
        <v>5</v>
      </c>
      <c r="Q823">
        <v>-14.196</v>
      </c>
      <c r="R823" s="1" t="s">
        <v>4420</v>
      </c>
      <c r="S823">
        <v>2016</v>
      </c>
      <c r="T823" s="1" t="s">
        <v>187</v>
      </c>
    </row>
    <row r="824" spans="1:20" x14ac:dyDescent="0.25">
      <c r="A824" s="1" t="s">
        <v>2622</v>
      </c>
      <c r="B824" s="2">
        <v>42171</v>
      </c>
      <c r="C824" s="2">
        <v>42175</v>
      </c>
      <c r="D824" s="1" t="s">
        <v>37</v>
      </c>
      <c r="E824" s="1" t="s">
        <v>2575</v>
      </c>
      <c r="F824" s="1" t="s">
        <v>2576</v>
      </c>
      <c r="G824" s="1" t="s">
        <v>24</v>
      </c>
      <c r="H824" s="1" t="s">
        <v>1708</v>
      </c>
      <c r="I824" s="1" t="s">
        <v>86</v>
      </c>
      <c r="J824" s="1" t="s">
        <v>87</v>
      </c>
      <c r="K824" s="1" t="s">
        <v>1132</v>
      </c>
      <c r="L824" s="1" t="s">
        <v>29</v>
      </c>
      <c r="M824" s="1" t="s">
        <v>34</v>
      </c>
      <c r="N824" s="1" t="s">
        <v>1133</v>
      </c>
      <c r="O824">
        <v>197.37200000000001</v>
      </c>
      <c r="P824">
        <v>2</v>
      </c>
      <c r="Q824">
        <v>-25.3764</v>
      </c>
      <c r="R824" s="1" t="s">
        <v>4424</v>
      </c>
      <c r="S824">
        <v>2015</v>
      </c>
      <c r="T824" s="1" t="s">
        <v>55</v>
      </c>
    </row>
    <row r="825" spans="1:20" x14ac:dyDescent="0.25">
      <c r="A825" s="1" t="s">
        <v>2623</v>
      </c>
      <c r="B825" s="2">
        <v>42714</v>
      </c>
      <c r="C825" s="2">
        <v>42714</v>
      </c>
      <c r="D825" s="1" t="s">
        <v>417</v>
      </c>
      <c r="E825" s="1" t="s">
        <v>2624</v>
      </c>
      <c r="F825" s="1" t="s">
        <v>2625</v>
      </c>
      <c r="G825" s="1" t="s">
        <v>24</v>
      </c>
      <c r="H825" s="1" t="s">
        <v>2626</v>
      </c>
      <c r="I825" s="1" t="s">
        <v>104</v>
      </c>
      <c r="J825" s="1" t="s">
        <v>87</v>
      </c>
      <c r="K825" s="1" t="s">
        <v>566</v>
      </c>
      <c r="L825" s="1" t="s">
        <v>29</v>
      </c>
      <c r="M825" s="1" t="s">
        <v>34</v>
      </c>
      <c r="N825" s="1" t="s">
        <v>567</v>
      </c>
      <c r="O825">
        <v>1424.9</v>
      </c>
      <c r="P825">
        <v>5</v>
      </c>
      <c r="Q825">
        <v>356.22500000000002</v>
      </c>
      <c r="R825" s="1" t="s">
        <v>4427</v>
      </c>
      <c r="S825">
        <v>2016</v>
      </c>
      <c r="T825" s="1" t="s">
        <v>90</v>
      </c>
    </row>
    <row r="826" spans="1:20" x14ac:dyDescent="0.25">
      <c r="A826" s="1" t="s">
        <v>2627</v>
      </c>
      <c r="B826" s="2">
        <v>42873</v>
      </c>
      <c r="C826" s="2">
        <v>42878</v>
      </c>
      <c r="D826" s="1" t="s">
        <v>37</v>
      </c>
      <c r="E826" s="1" t="s">
        <v>2628</v>
      </c>
      <c r="F826" s="1" t="s">
        <v>2629</v>
      </c>
      <c r="G826" s="1" t="s">
        <v>24</v>
      </c>
      <c r="H826" s="1" t="s">
        <v>165</v>
      </c>
      <c r="I826" s="1" t="s">
        <v>114</v>
      </c>
      <c r="J826" s="1" t="s">
        <v>63</v>
      </c>
      <c r="K826" s="1" t="s">
        <v>1339</v>
      </c>
      <c r="L826" s="1" t="s">
        <v>29</v>
      </c>
      <c r="M826" s="1" t="s">
        <v>53</v>
      </c>
      <c r="N826" s="1" t="s">
        <v>1340</v>
      </c>
      <c r="O826">
        <v>14.56</v>
      </c>
      <c r="P826">
        <v>2</v>
      </c>
      <c r="Q826">
        <v>6.2607999999999997</v>
      </c>
      <c r="R826" s="1" t="s">
        <v>4422</v>
      </c>
      <c r="S826">
        <v>2017</v>
      </c>
      <c r="T826" s="1" t="s">
        <v>153</v>
      </c>
    </row>
    <row r="827" spans="1:20" x14ac:dyDescent="0.25">
      <c r="A827" s="1" t="s">
        <v>2630</v>
      </c>
      <c r="B827" s="2">
        <v>42692</v>
      </c>
      <c r="C827" s="2">
        <v>42696</v>
      </c>
      <c r="D827" s="1" t="s">
        <v>37</v>
      </c>
      <c r="E827" s="1" t="s">
        <v>92</v>
      </c>
      <c r="F827" s="1" t="s">
        <v>93</v>
      </c>
      <c r="G827" s="1" t="s">
        <v>94</v>
      </c>
      <c r="H827" s="1" t="s">
        <v>1176</v>
      </c>
      <c r="I827" s="1" t="s">
        <v>86</v>
      </c>
      <c r="J827" s="1" t="s">
        <v>87</v>
      </c>
      <c r="K827" s="1" t="s">
        <v>243</v>
      </c>
      <c r="L827" s="1" t="s">
        <v>29</v>
      </c>
      <c r="M827" s="1" t="s">
        <v>34</v>
      </c>
      <c r="N827" s="1" t="s">
        <v>244</v>
      </c>
      <c r="O827">
        <v>255.108</v>
      </c>
      <c r="P827">
        <v>6</v>
      </c>
      <c r="Q827">
        <v>-18.222000000000001</v>
      </c>
      <c r="R827" s="1" t="s">
        <v>4424</v>
      </c>
      <c r="S827">
        <v>2016</v>
      </c>
      <c r="T827" s="1" t="s">
        <v>32</v>
      </c>
    </row>
    <row r="828" spans="1:20" x14ac:dyDescent="0.25">
      <c r="A828" s="1" t="s">
        <v>2631</v>
      </c>
      <c r="B828" s="2">
        <v>41733</v>
      </c>
      <c r="C828" s="2">
        <v>41738</v>
      </c>
      <c r="D828" s="1" t="s">
        <v>37</v>
      </c>
      <c r="E828" s="1" t="s">
        <v>1153</v>
      </c>
      <c r="F828" s="1" t="s">
        <v>1154</v>
      </c>
      <c r="G828" s="1" t="s">
        <v>24</v>
      </c>
      <c r="H828" s="1" t="s">
        <v>280</v>
      </c>
      <c r="I828" s="1" t="s">
        <v>281</v>
      </c>
      <c r="J828" s="1" t="s">
        <v>87</v>
      </c>
      <c r="K828" s="1" t="s">
        <v>611</v>
      </c>
      <c r="L828" s="1" t="s">
        <v>29</v>
      </c>
      <c r="M828" s="1" t="s">
        <v>53</v>
      </c>
      <c r="N828" s="1" t="s">
        <v>612</v>
      </c>
      <c r="O828">
        <v>5.47</v>
      </c>
      <c r="P828">
        <v>1</v>
      </c>
      <c r="Q828">
        <v>2.3521000000000001</v>
      </c>
      <c r="R828" s="1" t="s">
        <v>4422</v>
      </c>
      <c r="S828">
        <v>2014</v>
      </c>
      <c r="T828" s="1" t="s">
        <v>107</v>
      </c>
    </row>
    <row r="829" spans="1:20" x14ac:dyDescent="0.25">
      <c r="A829" s="1" t="s">
        <v>2632</v>
      </c>
      <c r="B829" s="2">
        <v>42547</v>
      </c>
      <c r="C829" s="2">
        <v>42554</v>
      </c>
      <c r="D829" s="1" t="s">
        <v>37</v>
      </c>
      <c r="E829" s="1" t="s">
        <v>2633</v>
      </c>
      <c r="F829" s="1" t="s">
        <v>2634</v>
      </c>
      <c r="G829" s="1" t="s">
        <v>24</v>
      </c>
      <c r="H829" s="1" t="s">
        <v>320</v>
      </c>
      <c r="I829" s="1" t="s">
        <v>50</v>
      </c>
      <c r="J829" s="1" t="s">
        <v>51</v>
      </c>
      <c r="K829" s="1" t="s">
        <v>1709</v>
      </c>
      <c r="L829" s="1" t="s">
        <v>29</v>
      </c>
      <c r="M829" s="1" t="s">
        <v>53</v>
      </c>
      <c r="N829" s="1" t="s">
        <v>1710</v>
      </c>
      <c r="O829">
        <v>22.14</v>
      </c>
      <c r="P829">
        <v>3</v>
      </c>
      <c r="Q829">
        <v>6.4206000000000003</v>
      </c>
      <c r="R829" s="1" t="s">
        <v>4421</v>
      </c>
      <c r="S829">
        <v>2016</v>
      </c>
      <c r="T829" s="1" t="s">
        <v>55</v>
      </c>
    </row>
    <row r="830" spans="1:20" x14ac:dyDescent="0.25">
      <c r="A830" s="1" t="s">
        <v>2635</v>
      </c>
      <c r="B830" s="2">
        <v>42519</v>
      </c>
      <c r="C830" s="2">
        <v>42523</v>
      </c>
      <c r="D830" s="1" t="s">
        <v>37</v>
      </c>
      <c r="E830" s="1" t="s">
        <v>2636</v>
      </c>
      <c r="F830" s="1" t="s">
        <v>2637</v>
      </c>
      <c r="G830" s="1" t="s">
        <v>24</v>
      </c>
      <c r="H830" s="1" t="s">
        <v>2638</v>
      </c>
      <c r="I830" s="1" t="s">
        <v>133</v>
      </c>
      <c r="J830" s="1" t="s">
        <v>27</v>
      </c>
      <c r="K830" s="1" t="s">
        <v>2639</v>
      </c>
      <c r="L830" s="1" t="s">
        <v>29</v>
      </c>
      <c r="M830" s="1" t="s">
        <v>53</v>
      </c>
      <c r="N830" s="1" t="s">
        <v>2640</v>
      </c>
      <c r="O830">
        <v>44.76</v>
      </c>
      <c r="P830">
        <v>3</v>
      </c>
      <c r="Q830">
        <v>14.547000000000001</v>
      </c>
      <c r="R830" s="1" t="s">
        <v>4424</v>
      </c>
      <c r="S830">
        <v>2016</v>
      </c>
      <c r="T830" s="1" t="s">
        <v>153</v>
      </c>
    </row>
    <row r="831" spans="1:20" x14ac:dyDescent="0.25">
      <c r="A831" s="1" t="s">
        <v>2641</v>
      </c>
      <c r="B831" s="2">
        <v>42785</v>
      </c>
      <c r="C831" s="2">
        <v>42786</v>
      </c>
      <c r="D831" s="1" t="s">
        <v>81</v>
      </c>
      <c r="E831" s="1" t="s">
        <v>2642</v>
      </c>
      <c r="F831" s="1" t="s">
        <v>2643</v>
      </c>
      <c r="G831" s="1" t="s">
        <v>94</v>
      </c>
      <c r="H831" s="1" t="s">
        <v>49</v>
      </c>
      <c r="I831" s="1" t="s">
        <v>50</v>
      </c>
      <c r="J831" s="1" t="s">
        <v>51</v>
      </c>
      <c r="K831" s="1" t="s">
        <v>1195</v>
      </c>
      <c r="L831" s="1" t="s">
        <v>29</v>
      </c>
      <c r="M831" s="1" t="s">
        <v>53</v>
      </c>
      <c r="N831" s="1" t="s">
        <v>1196</v>
      </c>
      <c r="O831">
        <v>44.67</v>
      </c>
      <c r="P831">
        <v>3</v>
      </c>
      <c r="Q831">
        <v>12.0609</v>
      </c>
      <c r="R831" s="1" t="s">
        <v>4425</v>
      </c>
      <c r="S831">
        <v>2017</v>
      </c>
      <c r="T831" s="1" t="s">
        <v>289</v>
      </c>
    </row>
    <row r="832" spans="1:20" x14ac:dyDescent="0.25">
      <c r="A832" s="1" t="s">
        <v>2644</v>
      </c>
      <c r="B832" s="2">
        <v>42458</v>
      </c>
      <c r="C832" s="2">
        <v>42462</v>
      </c>
      <c r="D832" s="1" t="s">
        <v>37</v>
      </c>
      <c r="E832" s="1" t="s">
        <v>2645</v>
      </c>
      <c r="F832" s="1" t="s">
        <v>2646</v>
      </c>
      <c r="G832" s="1" t="s">
        <v>24</v>
      </c>
      <c r="H832" s="1" t="s">
        <v>165</v>
      </c>
      <c r="I832" s="1" t="s">
        <v>114</v>
      </c>
      <c r="J832" s="1" t="s">
        <v>63</v>
      </c>
      <c r="K832" s="1" t="s">
        <v>78</v>
      </c>
      <c r="L832" s="1" t="s">
        <v>29</v>
      </c>
      <c r="M832" s="1" t="s">
        <v>53</v>
      </c>
      <c r="N832" s="1" t="s">
        <v>79</v>
      </c>
      <c r="O832">
        <v>414</v>
      </c>
      <c r="P832">
        <v>8</v>
      </c>
      <c r="Q832">
        <v>124.2</v>
      </c>
      <c r="R832" s="1" t="s">
        <v>4424</v>
      </c>
      <c r="S832">
        <v>2016</v>
      </c>
      <c r="T832" s="1" t="s">
        <v>187</v>
      </c>
    </row>
    <row r="833" spans="1:20" x14ac:dyDescent="0.25">
      <c r="A833" s="1" t="s">
        <v>2647</v>
      </c>
      <c r="B833" s="2">
        <v>42665</v>
      </c>
      <c r="C833" s="2">
        <v>42667</v>
      </c>
      <c r="D833" s="1" t="s">
        <v>81</v>
      </c>
      <c r="E833" s="1" t="s">
        <v>2648</v>
      </c>
      <c r="F833" s="1" t="s">
        <v>2649</v>
      </c>
      <c r="G833" s="1" t="s">
        <v>24</v>
      </c>
      <c r="H833" s="1" t="s">
        <v>626</v>
      </c>
      <c r="I833" s="1" t="s">
        <v>707</v>
      </c>
      <c r="J833" s="1" t="s">
        <v>27</v>
      </c>
      <c r="K833" s="1" t="s">
        <v>2650</v>
      </c>
      <c r="L833" s="1" t="s">
        <v>29</v>
      </c>
      <c r="M833" s="1" t="s">
        <v>53</v>
      </c>
      <c r="N833" s="1" t="s">
        <v>2651</v>
      </c>
      <c r="O833">
        <v>39.92</v>
      </c>
      <c r="P833">
        <v>4</v>
      </c>
      <c r="Q833">
        <v>11.1776</v>
      </c>
      <c r="R833" s="1" t="s">
        <v>4423</v>
      </c>
      <c r="S833">
        <v>2016</v>
      </c>
      <c r="T833" s="1" t="s">
        <v>45</v>
      </c>
    </row>
    <row r="834" spans="1:20" x14ac:dyDescent="0.25">
      <c r="A834" s="1" t="s">
        <v>2652</v>
      </c>
      <c r="B834" s="2">
        <v>41996</v>
      </c>
      <c r="C834" s="2">
        <v>42000</v>
      </c>
      <c r="D834" s="1" t="s">
        <v>37</v>
      </c>
      <c r="E834" s="1" t="s">
        <v>2653</v>
      </c>
      <c r="F834" s="1" t="s">
        <v>2654</v>
      </c>
      <c r="G834" s="1" t="s">
        <v>84</v>
      </c>
      <c r="H834" s="1" t="s">
        <v>165</v>
      </c>
      <c r="I834" s="1" t="s">
        <v>114</v>
      </c>
      <c r="J834" s="1" t="s">
        <v>63</v>
      </c>
      <c r="K834" s="1" t="s">
        <v>1240</v>
      </c>
      <c r="L834" s="1" t="s">
        <v>29</v>
      </c>
      <c r="M834" s="1" t="s">
        <v>43</v>
      </c>
      <c r="N834" s="1" t="s">
        <v>1241</v>
      </c>
      <c r="O834">
        <v>53.316000000000003</v>
      </c>
      <c r="P834">
        <v>2</v>
      </c>
      <c r="Q834">
        <v>-19.549199999999999</v>
      </c>
      <c r="R834" s="1" t="s">
        <v>4424</v>
      </c>
      <c r="S834">
        <v>2014</v>
      </c>
      <c r="T834" s="1" t="s">
        <v>90</v>
      </c>
    </row>
    <row r="835" spans="1:20" x14ac:dyDescent="0.25">
      <c r="A835" s="1" t="s">
        <v>2655</v>
      </c>
      <c r="B835" s="2">
        <v>43084</v>
      </c>
      <c r="C835" s="2">
        <v>43089</v>
      </c>
      <c r="D835" s="1" t="s">
        <v>37</v>
      </c>
      <c r="E835" s="1" t="s">
        <v>2656</v>
      </c>
      <c r="F835" s="1" t="s">
        <v>2657</v>
      </c>
      <c r="G835" s="1" t="s">
        <v>94</v>
      </c>
      <c r="H835" s="1" t="s">
        <v>183</v>
      </c>
      <c r="I835" s="1" t="s">
        <v>184</v>
      </c>
      <c r="J835" s="1" t="s">
        <v>51</v>
      </c>
      <c r="K835" s="1" t="s">
        <v>685</v>
      </c>
      <c r="L835" s="1" t="s">
        <v>29</v>
      </c>
      <c r="M835" s="1" t="s">
        <v>53</v>
      </c>
      <c r="N835" s="1" t="s">
        <v>686</v>
      </c>
      <c r="O835">
        <v>22.77</v>
      </c>
      <c r="P835">
        <v>3</v>
      </c>
      <c r="Q835">
        <v>9.7911000000000001</v>
      </c>
      <c r="R835" s="1" t="s">
        <v>4422</v>
      </c>
      <c r="S835">
        <v>2017</v>
      </c>
      <c r="T835" s="1" t="s">
        <v>90</v>
      </c>
    </row>
    <row r="836" spans="1:20" x14ac:dyDescent="0.25">
      <c r="A836" s="1" t="s">
        <v>2658</v>
      </c>
      <c r="B836" s="2">
        <v>42558</v>
      </c>
      <c r="C836" s="2">
        <v>42560</v>
      </c>
      <c r="D836" s="1" t="s">
        <v>21</v>
      </c>
      <c r="E836" s="1" t="s">
        <v>2124</v>
      </c>
      <c r="F836" s="1" t="s">
        <v>2125</v>
      </c>
      <c r="G836" s="1" t="s">
        <v>24</v>
      </c>
      <c r="H836" s="1" t="s">
        <v>49</v>
      </c>
      <c r="I836" s="1" t="s">
        <v>50</v>
      </c>
      <c r="J836" s="1" t="s">
        <v>51</v>
      </c>
      <c r="K836" s="1" t="s">
        <v>108</v>
      </c>
      <c r="L836" s="1" t="s">
        <v>29</v>
      </c>
      <c r="M836" s="1" t="s">
        <v>34</v>
      </c>
      <c r="N836" s="1" t="s">
        <v>109</v>
      </c>
      <c r="O836">
        <v>287.96800000000002</v>
      </c>
      <c r="P836">
        <v>4</v>
      </c>
      <c r="Q836">
        <v>-3.5996000000000001</v>
      </c>
      <c r="R836" s="1" t="s">
        <v>4423</v>
      </c>
      <c r="S836">
        <v>2016</v>
      </c>
      <c r="T836" s="1" t="s">
        <v>66</v>
      </c>
    </row>
    <row r="837" spans="1:20" x14ac:dyDescent="0.25">
      <c r="A837" s="1" t="s">
        <v>2659</v>
      </c>
      <c r="B837" s="2">
        <v>42477</v>
      </c>
      <c r="C837" s="2">
        <v>42481</v>
      </c>
      <c r="D837" s="1" t="s">
        <v>37</v>
      </c>
      <c r="E837" s="1" t="s">
        <v>1322</v>
      </c>
      <c r="F837" s="1" t="s">
        <v>1323</v>
      </c>
      <c r="G837" s="1" t="s">
        <v>24</v>
      </c>
      <c r="H837" s="1" t="s">
        <v>2051</v>
      </c>
      <c r="I837" s="1" t="s">
        <v>50</v>
      </c>
      <c r="J837" s="1" t="s">
        <v>51</v>
      </c>
      <c r="K837" s="1" t="s">
        <v>889</v>
      </c>
      <c r="L837" s="1" t="s">
        <v>29</v>
      </c>
      <c r="M837" s="1" t="s">
        <v>30</v>
      </c>
      <c r="N837" s="1" t="s">
        <v>890</v>
      </c>
      <c r="O837">
        <v>257.49900000000002</v>
      </c>
      <c r="P837">
        <v>3</v>
      </c>
      <c r="Q837">
        <v>24.235199999999999</v>
      </c>
      <c r="R837" s="1" t="s">
        <v>4424</v>
      </c>
      <c r="S837">
        <v>2016</v>
      </c>
      <c r="T837" s="1" t="s">
        <v>107</v>
      </c>
    </row>
    <row r="838" spans="1:20" x14ac:dyDescent="0.25">
      <c r="A838" s="1" t="s">
        <v>2660</v>
      </c>
      <c r="B838" s="2">
        <v>42477</v>
      </c>
      <c r="C838" s="2">
        <v>42482</v>
      </c>
      <c r="D838" s="1" t="s">
        <v>37</v>
      </c>
      <c r="E838" s="1" t="s">
        <v>2661</v>
      </c>
      <c r="F838" s="1" t="s">
        <v>2662</v>
      </c>
      <c r="G838" s="1" t="s">
        <v>84</v>
      </c>
      <c r="H838" s="1" t="s">
        <v>149</v>
      </c>
      <c r="I838" s="1" t="s">
        <v>133</v>
      </c>
      <c r="J838" s="1" t="s">
        <v>27</v>
      </c>
      <c r="K838" s="1" t="s">
        <v>2663</v>
      </c>
      <c r="L838" s="1" t="s">
        <v>29</v>
      </c>
      <c r="M838" s="1" t="s">
        <v>53</v>
      </c>
      <c r="N838" s="1" t="s">
        <v>2664</v>
      </c>
      <c r="O838">
        <v>79.12</v>
      </c>
      <c r="P838">
        <v>5</v>
      </c>
      <c r="Q838">
        <v>13.846</v>
      </c>
      <c r="R838" s="1" t="s">
        <v>4422</v>
      </c>
      <c r="S838">
        <v>2016</v>
      </c>
      <c r="T838" s="1" t="s">
        <v>107</v>
      </c>
    </row>
    <row r="839" spans="1:20" x14ac:dyDescent="0.25">
      <c r="A839" s="1" t="s">
        <v>2665</v>
      </c>
      <c r="B839" s="2">
        <v>41968</v>
      </c>
      <c r="C839" s="2">
        <v>41970</v>
      </c>
      <c r="D839" s="1" t="s">
        <v>21</v>
      </c>
      <c r="E839" s="1" t="s">
        <v>2666</v>
      </c>
      <c r="F839" s="1" t="s">
        <v>2667</v>
      </c>
      <c r="G839" s="1" t="s">
        <v>24</v>
      </c>
      <c r="H839" s="1" t="s">
        <v>2668</v>
      </c>
      <c r="I839" s="1" t="s">
        <v>1636</v>
      </c>
      <c r="J839" s="1" t="s">
        <v>63</v>
      </c>
      <c r="K839" s="1" t="s">
        <v>934</v>
      </c>
      <c r="L839" s="1" t="s">
        <v>29</v>
      </c>
      <c r="M839" s="1" t="s">
        <v>53</v>
      </c>
      <c r="N839" s="1" t="s">
        <v>935</v>
      </c>
      <c r="O839">
        <v>52.96</v>
      </c>
      <c r="P839">
        <v>2</v>
      </c>
      <c r="Q839">
        <v>20.1248</v>
      </c>
      <c r="R839" s="1" t="s">
        <v>4423</v>
      </c>
      <c r="S839">
        <v>2014</v>
      </c>
      <c r="T839" s="1" t="s">
        <v>32</v>
      </c>
    </row>
    <row r="840" spans="1:20" x14ac:dyDescent="0.25">
      <c r="A840" s="1" t="s">
        <v>2669</v>
      </c>
      <c r="B840" s="2">
        <v>42125</v>
      </c>
      <c r="C840" s="2">
        <v>42129</v>
      </c>
      <c r="D840" s="1" t="s">
        <v>37</v>
      </c>
      <c r="E840" s="1" t="s">
        <v>2670</v>
      </c>
      <c r="F840" s="1" t="s">
        <v>2671</v>
      </c>
      <c r="G840" s="1" t="s">
        <v>84</v>
      </c>
      <c r="H840" s="1" t="s">
        <v>295</v>
      </c>
      <c r="I840" s="1" t="s">
        <v>41</v>
      </c>
      <c r="J840" s="1" t="s">
        <v>27</v>
      </c>
      <c r="K840" s="1" t="s">
        <v>934</v>
      </c>
      <c r="L840" s="1" t="s">
        <v>29</v>
      </c>
      <c r="M840" s="1" t="s">
        <v>53</v>
      </c>
      <c r="N840" s="1" t="s">
        <v>935</v>
      </c>
      <c r="O840">
        <v>63.552</v>
      </c>
      <c r="P840">
        <v>3</v>
      </c>
      <c r="Q840">
        <v>14.299200000000001</v>
      </c>
      <c r="R840" s="1" t="s">
        <v>4424</v>
      </c>
      <c r="S840">
        <v>2015</v>
      </c>
      <c r="T840" s="1" t="s">
        <v>153</v>
      </c>
    </row>
    <row r="841" spans="1:20" x14ac:dyDescent="0.25">
      <c r="A841" s="1" t="s">
        <v>2672</v>
      </c>
      <c r="B841" s="2">
        <v>42071</v>
      </c>
      <c r="C841" s="2">
        <v>42075</v>
      </c>
      <c r="D841" s="1" t="s">
        <v>37</v>
      </c>
      <c r="E841" s="1" t="s">
        <v>2673</v>
      </c>
      <c r="F841" s="1" t="s">
        <v>2674</v>
      </c>
      <c r="G841" s="1" t="s">
        <v>24</v>
      </c>
      <c r="H841" s="1" t="s">
        <v>2675</v>
      </c>
      <c r="I841" s="1" t="s">
        <v>230</v>
      </c>
      <c r="J841" s="1" t="s">
        <v>87</v>
      </c>
      <c r="K841" s="1" t="s">
        <v>2391</v>
      </c>
      <c r="L841" s="1" t="s">
        <v>29</v>
      </c>
      <c r="M841" s="1" t="s">
        <v>30</v>
      </c>
      <c r="N841" s="1" t="s">
        <v>2392</v>
      </c>
      <c r="O841">
        <v>512.94000000000005</v>
      </c>
      <c r="P841">
        <v>3</v>
      </c>
      <c r="Q841">
        <v>97.458600000000004</v>
      </c>
      <c r="R841" s="1" t="s">
        <v>4424</v>
      </c>
      <c r="S841">
        <v>2015</v>
      </c>
      <c r="T841" s="1" t="s">
        <v>187</v>
      </c>
    </row>
    <row r="842" spans="1:20" x14ac:dyDescent="0.25">
      <c r="A842" s="1" t="s">
        <v>2672</v>
      </c>
      <c r="B842" s="2">
        <v>42071</v>
      </c>
      <c r="C842" s="2">
        <v>42075</v>
      </c>
      <c r="D842" s="1" t="s">
        <v>37</v>
      </c>
      <c r="E842" s="1" t="s">
        <v>2673</v>
      </c>
      <c r="F842" s="1" t="s">
        <v>2674</v>
      </c>
      <c r="G842" s="1" t="s">
        <v>24</v>
      </c>
      <c r="H842" s="1" t="s">
        <v>2675</v>
      </c>
      <c r="I842" s="1" t="s">
        <v>230</v>
      </c>
      <c r="J842" s="1" t="s">
        <v>87</v>
      </c>
      <c r="K842" s="1" t="s">
        <v>1738</v>
      </c>
      <c r="L842" s="1" t="s">
        <v>29</v>
      </c>
      <c r="M842" s="1" t="s">
        <v>34</v>
      </c>
      <c r="N842" s="1" t="s">
        <v>1739</v>
      </c>
      <c r="O842">
        <v>860.93</v>
      </c>
      <c r="P842">
        <v>7</v>
      </c>
      <c r="Q842">
        <v>189.40459999999999</v>
      </c>
      <c r="R842" s="1" t="s">
        <v>4424</v>
      </c>
      <c r="S842">
        <v>2015</v>
      </c>
      <c r="T842" s="1" t="s">
        <v>187</v>
      </c>
    </row>
    <row r="843" spans="1:20" x14ac:dyDescent="0.25">
      <c r="A843" s="1" t="s">
        <v>2672</v>
      </c>
      <c r="B843" s="2">
        <v>42071</v>
      </c>
      <c r="C843" s="2">
        <v>42075</v>
      </c>
      <c r="D843" s="1" t="s">
        <v>37</v>
      </c>
      <c r="E843" s="1" t="s">
        <v>2673</v>
      </c>
      <c r="F843" s="1" t="s">
        <v>2674</v>
      </c>
      <c r="G843" s="1" t="s">
        <v>24</v>
      </c>
      <c r="H843" s="1" t="s">
        <v>2675</v>
      </c>
      <c r="I843" s="1" t="s">
        <v>230</v>
      </c>
      <c r="J843" s="1" t="s">
        <v>87</v>
      </c>
      <c r="K843" s="1" t="s">
        <v>1787</v>
      </c>
      <c r="L843" s="1" t="s">
        <v>29</v>
      </c>
      <c r="M843" s="1" t="s">
        <v>53</v>
      </c>
      <c r="N843" s="1" t="s">
        <v>1788</v>
      </c>
      <c r="O843">
        <v>373.08</v>
      </c>
      <c r="P843">
        <v>6</v>
      </c>
      <c r="Q843">
        <v>82.077600000000004</v>
      </c>
      <c r="R843" s="1" t="s">
        <v>4424</v>
      </c>
      <c r="S843">
        <v>2015</v>
      </c>
      <c r="T843" s="1" t="s">
        <v>187</v>
      </c>
    </row>
    <row r="844" spans="1:20" x14ac:dyDescent="0.25">
      <c r="A844" s="1" t="s">
        <v>2676</v>
      </c>
      <c r="B844" s="2">
        <v>42202</v>
      </c>
      <c r="C844" s="2">
        <v>42205</v>
      </c>
      <c r="D844" s="1" t="s">
        <v>21</v>
      </c>
      <c r="E844" s="1" t="s">
        <v>460</v>
      </c>
      <c r="F844" s="1" t="s">
        <v>461</v>
      </c>
      <c r="G844" s="1" t="s">
        <v>84</v>
      </c>
      <c r="H844" s="1" t="s">
        <v>2677</v>
      </c>
      <c r="I844" s="1" t="s">
        <v>41</v>
      </c>
      <c r="J844" s="1" t="s">
        <v>27</v>
      </c>
      <c r="K844" s="1" t="s">
        <v>340</v>
      </c>
      <c r="L844" s="1" t="s">
        <v>29</v>
      </c>
      <c r="M844" s="1" t="s">
        <v>30</v>
      </c>
      <c r="N844" s="1" t="s">
        <v>341</v>
      </c>
      <c r="O844">
        <v>231.92</v>
      </c>
      <c r="P844">
        <v>5</v>
      </c>
      <c r="Q844">
        <v>5.798</v>
      </c>
      <c r="R844" s="1" t="s">
        <v>4420</v>
      </c>
      <c r="S844">
        <v>2015</v>
      </c>
      <c r="T844" s="1" t="s">
        <v>66</v>
      </c>
    </row>
    <row r="845" spans="1:20" x14ac:dyDescent="0.25">
      <c r="A845" s="1" t="s">
        <v>2678</v>
      </c>
      <c r="B845" s="2">
        <v>41923</v>
      </c>
      <c r="C845" s="2">
        <v>41928</v>
      </c>
      <c r="D845" s="1" t="s">
        <v>37</v>
      </c>
      <c r="E845" s="1" t="s">
        <v>2422</v>
      </c>
      <c r="F845" s="1" t="s">
        <v>2423</v>
      </c>
      <c r="G845" s="1" t="s">
        <v>94</v>
      </c>
      <c r="H845" s="1" t="s">
        <v>183</v>
      </c>
      <c r="I845" s="1" t="s">
        <v>184</v>
      </c>
      <c r="J845" s="1" t="s">
        <v>51</v>
      </c>
      <c r="K845" s="1" t="s">
        <v>1487</v>
      </c>
      <c r="L845" s="1" t="s">
        <v>29</v>
      </c>
      <c r="M845" s="1" t="s">
        <v>53</v>
      </c>
      <c r="N845" s="1" t="s">
        <v>1488</v>
      </c>
      <c r="O845">
        <v>63.47</v>
      </c>
      <c r="P845">
        <v>11</v>
      </c>
      <c r="Q845">
        <v>19.041</v>
      </c>
      <c r="R845" s="1" t="s">
        <v>4422</v>
      </c>
      <c r="S845">
        <v>2014</v>
      </c>
      <c r="T845" s="1" t="s">
        <v>45</v>
      </c>
    </row>
    <row r="846" spans="1:20" x14ac:dyDescent="0.25">
      <c r="A846" s="1" t="s">
        <v>2679</v>
      </c>
      <c r="B846" s="2">
        <v>42432</v>
      </c>
      <c r="C846" s="2">
        <v>42437</v>
      </c>
      <c r="D846" s="1" t="s">
        <v>37</v>
      </c>
      <c r="E846" s="1" t="s">
        <v>1143</v>
      </c>
      <c r="F846" s="1" t="s">
        <v>1144</v>
      </c>
      <c r="G846" s="1" t="s">
        <v>24</v>
      </c>
      <c r="H846" s="1" t="s">
        <v>237</v>
      </c>
      <c r="I846" s="1" t="s">
        <v>86</v>
      </c>
      <c r="J846" s="1" t="s">
        <v>87</v>
      </c>
      <c r="K846" s="1" t="s">
        <v>426</v>
      </c>
      <c r="L846" s="1" t="s">
        <v>29</v>
      </c>
      <c r="M846" s="1" t="s">
        <v>43</v>
      </c>
      <c r="N846" s="1" t="s">
        <v>427</v>
      </c>
      <c r="O846">
        <v>637.89599999999996</v>
      </c>
      <c r="P846">
        <v>3</v>
      </c>
      <c r="Q846">
        <v>-127.5792</v>
      </c>
      <c r="R846" s="1" t="s">
        <v>4422</v>
      </c>
      <c r="S846">
        <v>2016</v>
      </c>
      <c r="T846" s="1" t="s">
        <v>187</v>
      </c>
    </row>
    <row r="847" spans="1:20" x14ac:dyDescent="0.25">
      <c r="A847" s="1" t="s">
        <v>2680</v>
      </c>
      <c r="B847" s="2">
        <v>42736</v>
      </c>
      <c r="C847" s="2">
        <v>42740</v>
      </c>
      <c r="D847" s="1" t="s">
        <v>37</v>
      </c>
      <c r="E847" s="1" t="s">
        <v>189</v>
      </c>
      <c r="F847" s="1" t="s">
        <v>190</v>
      </c>
      <c r="G847" s="1" t="s">
        <v>24</v>
      </c>
      <c r="H847" s="1" t="s">
        <v>49</v>
      </c>
      <c r="I847" s="1" t="s">
        <v>50</v>
      </c>
      <c r="J847" s="1" t="s">
        <v>51</v>
      </c>
      <c r="K847" s="1" t="s">
        <v>2681</v>
      </c>
      <c r="L847" s="1" t="s">
        <v>29</v>
      </c>
      <c r="M847" s="1" t="s">
        <v>53</v>
      </c>
      <c r="N847" s="1" t="s">
        <v>2682</v>
      </c>
      <c r="O847">
        <v>474.43</v>
      </c>
      <c r="P847">
        <v>11</v>
      </c>
      <c r="Q847">
        <v>199.26060000000001</v>
      </c>
      <c r="R847" s="1" t="s">
        <v>4424</v>
      </c>
      <c r="S847">
        <v>2017</v>
      </c>
      <c r="T847" s="1" t="s">
        <v>161</v>
      </c>
    </row>
    <row r="848" spans="1:20" x14ac:dyDescent="0.25">
      <c r="A848" s="1" t="s">
        <v>2683</v>
      </c>
      <c r="B848" s="2">
        <v>41812</v>
      </c>
      <c r="C848" s="2">
        <v>41817</v>
      </c>
      <c r="D848" s="1" t="s">
        <v>37</v>
      </c>
      <c r="E848" s="1" t="s">
        <v>2684</v>
      </c>
      <c r="F848" s="1" t="s">
        <v>2685</v>
      </c>
      <c r="G848" s="1" t="s">
        <v>24</v>
      </c>
      <c r="H848" s="1" t="s">
        <v>1137</v>
      </c>
      <c r="I848" s="1" t="s">
        <v>62</v>
      </c>
      <c r="J848" s="1" t="s">
        <v>63</v>
      </c>
      <c r="K848" s="1" t="s">
        <v>247</v>
      </c>
      <c r="L848" s="1" t="s">
        <v>29</v>
      </c>
      <c r="M848" s="1" t="s">
        <v>34</v>
      </c>
      <c r="N848" s="1" t="s">
        <v>248</v>
      </c>
      <c r="O848">
        <v>170.05799999999999</v>
      </c>
      <c r="P848">
        <v>3</v>
      </c>
      <c r="Q848">
        <v>-4.8587999999999996</v>
      </c>
      <c r="R848" s="1" t="s">
        <v>4422</v>
      </c>
      <c r="S848">
        <v>2014</v>
      </c>
      <c r="T848" s="1" t="s">
        <v>55</v>
      </c>
    </row>
    <row r="849" spans="1:20" x14ac:dyDescent="0.25">
      <c r="A849" s="1" t="s">
        <v>2683</v>
      </c>
      <c r="B849" s="2">
        <v>41812</v>
      </c>
      <c r="C849" s="2">
        <v>41817</v>
      </c>
      <c r="D849" s="1" t="s">
        <v>37</v>
      </c>
      <c r="E849" s="1" t="s">
        <v>2684</v>
      </c>
      <c r="F849" s="1" t="s">
        <v>2685</v>
      </c>
      <c r="G849" s="1" t="s">
        <v>24</v>
      </c>
      <c r="H849" s="1" t="s">
        <v>1137</v>
      </c>
      <c r="I849" s="1" t="s">
        <v>62</v>
      </c>
      <c r="J849" s="1" t="s">
        <v>63</v>
      </c>
      <c r="K849" s="1" t="s">
        <v>33</v>
      </c>
      <c r="L849" s="1" t="s">
        <v>29</v>
      </c>
      <c r="M849" s="1" t="s">
        <v>34</v>
      </c>
      <c r="N849" s="1" t="s">
        <v>35</v>
      </c>
      <c r="O849">
        <v>853.93</v>
      </c>
      <c r="P849">
        <v>5</v>
      </c>
      <c r="Q849">
        <v>0</v>
      </c>
      <c r="R849" s="1" t="s">
        <v>4422</v>
      </c>
      <c r="S849">
        <v>2014</v>
      </c>
      <c r="T849" s="1" t="s">
        <v>55</v>
      </c>
    </row>
    <row r="850" spans="1:20" x14ac:dyDescent="0.25">
      <c r="A850" s="1" t="s">
        <v>2686</v>
      </c>
      <c r="B850" s="2">
        <v>43035</v>
      </c>
      <c r="C850" s="2">
        <v>43036</v>
      </c>
      <c r="D850" s="1" t="s">
        <v>81</v>
      </c>
      <c r="E850" s="1" t="s">
        <v>2687</v>
      </c>
      <c r="F850" s="1" t="s">
        <v>2688</v>
      </c>
      <c r="G850" s="1" t="s">
        <v>84</v>
      </c>
      <c r="H850" s="1" t="s">
        <v>320</v>
      </c>
      <c r="I850" s="1" t="s">
        <v>50</v>
      </c>
      <c r="J850" s="1" t="s">
        <v>51</v>
      </c>
      <c r="K850" s="1" t="s">
        <v>1627</v>
      </c>
      <c r="L850" s="1" t="s">
        <v>29</v>
      </c>
      <c r="M850" s="1" t="s">
        <v>30</v>
      </c>
      <c r="N850" s="1" t="s">
        <v>1628</v>
      </c>
      <c r="O850">
        <v>556.66499999999996</v>
      </c>
      <c r="P850">
        <v>5</v>
      </c>
      <c r="Q850">
        <v>6.5490000000000004</v>
      </c>
      <c r="R850" s="1" t="s">
        <v>4425</v>
      </c>
      <c r="S850">
        <v>2017</v>
      </c>
      <c r="T850" s="1" t="s">
        <v>45</v>
      </c>
    </row>
    <row r="851" spans="1:20" x14ac:dyDescent="0.25">
      <c r="A851" s="1" t="s">
        <v>2689</v>
      </c>
      <c r="B851" s="2">
        <v>43093</v>
      </c>
      <c r="C851" s="2">
        <v>43097</v>
      </c>
      <c r="D851" s="1" t="s">
        <v>37</v>
      </c>
      <c r="E851" s="1" t="s">
        <v>2296</v>
      </c>
      <c r="F851" s="1" t="s">
        <v>2297</v>
      </c>
      <c r="G851" s="1" t="s">
        <v>24</v>
      </c>
      <c r="H851" s="1" t="s">
        <v>1396</v>
      </c>
      <c r="I851" s="1" t="s">
        <v>1397</v>
      </c>
      <c r="J851" s="1" t="s">
        <v>27</v>
      </c>
      <c r="K851" s="1" t="s">
        <v>1883</v>
      </c>
      <c r="L851" s="1" t="s">
        <v>29</v>
      </c>
      <c r="M851" s="1" t="s">
        <v>34</v>
      </c>
      <c r="N851" s="1" t="s">
        <v>1884</v>
      </c>
      <c r="O851">
        <v>232.88</v>
      </c>
      <c r="P851">
        <v>4</v>
      </c>
      <c r="Q851">
        <v>60.5488</v>
      </c>
      <c r="R851" s="1" t="s">
        <v>4424</v>
      </c>
      <c r="S851">
        <v>2017</v>
      </c>
      <c r="T851" s="1" t="s">
        <v>90</v>
      </c>
    </row>
    <row r="852" spans="1:20" x14ac:dyDescent="0.25">
      <c r="A852" s="1" t="s">
        <v>2690</v>
      </c>
      <c r="B852" s="2">
        <v>42002</v>
      </c>
      <c r="C852" s="2">
        <v>42006</v>
      </c>
      <c r="D852" s="1" t="s">
        <v>37</v>
      </c>
      <c r="E852" s="1" t="s">
        <v>778</v>
      </c>
      <c r="F852" s="1" t="s">
        <v>779</v>
      </c>
      <c r="G852" s="1" t="s">
        <v>84</v>
      </c>
      <c r="H852" s="1" t="s">
        <v>320</v>
      </c>
      <c r="I852" s="1" t="s">
        <v>50</v>
      </c>
      <c r="J852" s="1" t="s">
        <v>51</v>
      </c>
      <c r="K852" s="1" t="s">
        <v>2228</v>
      </c>
      <c r="L852" s="1" t="s">
        <v>29</v>
      </c>
      <c r="M852" s="1" t="s">
        <v>53</v>
      </c>
      <c r="N852" s="1" t="s">
        <v>2229</v>
      </c>
      <c r="O852">
        <v>24.9</v>
      </c>
      <c r="P852">
        <v>5</v>
      </c>
      <c r="Q852">
        <v>8.2170000000000005</v>
      </c>
      <c r="R852" s="1" t="s">
        <v>4424</v>
      </c>
      <c r="S852">
        <v>2014</v>
      </c>
      <c r="T852" s="1" t="s">
        <v>90</v>
      </c>
    </row>
    <row r="853" spans="1:20" x14ac:dyDescent="0.25">
      <c r="A853" s="1" t="s">
        <v>2690</v>
      </c>
      <c r="B853" s="2">
        <v>42002</v>
      </c>
      <c r="C853" s="2">
        <v>42006</v>
      </c>
      <c r="D853" s="1" t="s">
        <v>37</v>
      </c>
      <c r="E853" s="1" t="s">
        <v>778</v>
      </c>
      <c r="F853" s="1" t="s">
        <v>779</v>
      </c>
      <c r="G853" s="1" t="s">
        <v>84</v>
      </c>
      <c r="H853" s="1" t="s">
        <v>320</v>
      </c>
      <c r="I853" s="1" t="s">
        <v>50</v>
      </c>
      <c r="J853" s="1" t="s">
        <v>51</v>
      </c>
      <c r="K853" s="1" t="s">
        <v>2400</v>
      </c>
      <c r="L853" s="1" t="s">
        <v>29</v>
      </c>
      <c r="M853" s="1" t="s">
        <v>53</v>
      </c>
      <c r="N853" s="1" t="s">
        <v>2401</v>
      </c>
      <c r="O853">
        <v>70.56</v>
      </c>
      <c r="P853">
        <v>6</v>
      </c>
      <c r="Q853">
        <v>23.990400000000001</v>
      </c>
      <c r="R853" s="1" t="s">
        <v>4424</v>
      </c>
      <c r="S853">
        <v>2014</v>
      </c>
      <c r="T853" s="1" t="s">
        <v>90</v>
      </c>
    </row>
    <row r="854" spans="1:20" x14ac:dyDescent="0.25">
      <c r="A854" s="1" t="s">
        <v>2691</v>
      </c>
      <c r="B854" s="2">
        <v>42180</v>
      </c>
      <c r="C854" s="2">
        <v>42185</v>
      </c>
      <c r="D854" s="1" t="s">
        <v>37</v>
      </c>
      <c r="E854" s="1" t="s">
        <v>2202</v>
      </c>
      <c r="F854" s="1" t="s">
        <v>2203</v>
      </c>
      <c r="G854" s="1" t="s">
        <v>24</v>
      </c>
      <c r="H854" s="1" t="s">
        <v>320</v>
      </c>
      <c r="I854" s="1" t="s">
        <v>50</v>
      </c>
      <c r="J854" s="1" t="s">
        <v>51</v>
      </c>
      <c r="K854" s="1" t="s">
        <v>631</v>
      </c>
      <c r="L854" s="1" t="s">
        <v>29</v>
      </c>
      <c r="M854" s="1" t="s">
        <v>53</v>
      </c>
      <c r="N854" s="1" t="s">
        <v>632</v>
      </c>
      <c r="O854">
        <v>204.85</v>
      </c>
      <c r="P854">
        <v>5</v>
      </c>
      <c r="Q854">
        <v>57.357999999999997</v>
      </c>
      <c r="R854" s="1" t="s">
        <v>4422</v>
      </c>
      <c r="S854">
        <v>2015</v>
      </c>
      <c r="T854" s="1" t="s">
        <v>55</v>
      </c>
    </row>
    <row r="855" spans="1:20" x14ac:dyDescent="0.25">
      <c r="A855" s="1" t="s">
        <v>2692</v>
      </c>
      <c r="B855" s="2">
        <v>42910</v>
      </c>
      <c r="C855" s="2">
        <v>42912</v>
      </c>
      <c r="D855" s="1" t="s">
        <v>21</v>
      </c>
      <c r="E855" s="1" t="s">
        <v>2693</v>
      </c>
      <c r="F855" s="1" t="s">
        <v>2694</v>
      </c>
      <c r="G855" s="1" t="s">
        <v>24</v>
      </c>
      <c r="H855" s="1" t="s">
        <v>165</v>
      </c>
      <c r="I855" s="1" t="s">
        <v>114</v>
      </c>
      <c r="J855" s="1" t="s">
        <v>63</v>
      </c>
      <c r="K855" s="1" t="s">
        <v>911</v>
      </c>
      <c r="L855" s="1" t="s">
        <v>29</v>
      </c>
      <c r="M855" s="1" t="s">
        <v>53</v>
      </c>
      <c r="N855" s="1" t="s">
        <v>912</v>
      </c>
      <c r="O855">
        <v>276.69</v>
      </c>
      <c r="P855">
        <v>3</v>
      </c>
      <c r="Q855">
        <v>49.804200000000002</v>
      </c>
      <c r="R855" s="1" t="s">
        <v>4423</v>
      </c>
      <c r="S855">
        <v>2017</v>
      </c>
      <c r="T855" s="1" t="s">
        <v>55</v>
      </c>
    </row>
    <row r="856" spans="1:20" x14ac:dyDescent="0.25">
      <c r="A856" s="1" t="s">
        <v>2692</v>
      </c>
      <c r="B856" s="2">
        <v>42910</v>
      </c>
      <c r="C856" s="2">
        <v>42912</v>
      </c>
      <c r="D856" s="1" t="s">
        <v>21</v>
      </c>
      <c r="E856" s="1" t="s">
        <v>2693</v>
      </c>
      <c r="F856" s="1" t="s">
        <v>2694</v>
      </c>
      <c r="G856" s="1" t="s">
        <v>24</v>
      </c>
      <c r="H856" s="1" t="s">
        <v>165</v>
      </c>
      <c r="I856" s="1" t="s">
        <v>114</v>
      </c>
      <c r="J856" s="1" t="s">
        <v>63</v>
      </c>
      <c r="K856" s="1" t="s">
        <v>348</v>
      </c>
      <c r="L856" s="1" t="s">
        <v>29</v>
      </c>
      <c r="M856" s="1" t="s">
        <v>34</v>
      </c>
      <c r="N856" s="1" t="s">
        <v>349</v>
      </c>
      <c r="O856">
        <v>172.76400000000001</v>
      </c>
      <c r="P856">
        <v>2</v>
      </c>
      <c r="Q856">
        <v>32.633200000000002</v>
      </c>
      <c r="R856" s="1" t="s">
        <v>4423</v>
      </c>
      <c r="S856">
        <v>2017</v>
      </c>
      <c r="T856" s="1" t="s">
        <v>55</v>
      </c>
    </row>
    <row r="857" spans="1:20" x14ac:dyDescent="0.25">
      <c r="A857" s="1" t="s">
        <v>2695</v>
      </c>
      <c r="B857" s="2">
        <v>41911</v>
      </c>
      <c r="C857" s="2">
        <v>41915</v>
      </c>
      <c r="D857" s="1" t="s">
        <v>37</v>
      </c>
      <c r="E857" s="1" t="s">
        <v>2336</v>
      </c>
      <c r="F857" s="1" t="s">
        <v>2337</v>
      </c>
      <c r="G857" s="1" t="s">
        <v>84</v>
      </c>
      <c r="H857" s="1" t="s">
        <v>61</v>
      </c>
      <c r="I857" s="1" t="s">
        <v>62</v>
      </c>
      <c r="J857" s="1" t="s">
        <v>63</v>
      </c>
      <c r="K857" s="1" t="s">
        <v>1552</v>
      </c>
      <c r="L857" s="1" t="s">
        <v>29</v>
      </c>
      <c r="M857" s="1" t="s">
        <v>43</v>
      </c>
      <c r="N857" s="1" t="s">
        <v>1553</v>
      </c>
      <c r="O857">
        <v>409.27199999999999</v>
      </c>
      <c r="P857">
        <v>2</v>
      </c>
      <c r="Q857">
        <v>-81.854399999999998</v>
      </c>
      <c r="R857" s="1" t="s">
        <v>4424</v>
      </c>
      <c r="S857">
        <v>2014</v>
      </c>
      <c r="T857" s="1" t="s">
        <v>72</v>
      </c>
    </row>
    <row r="858" spans="1:20" x14ac:dyDescent="0.25">
      <c r="A858" s="1" t="s">
        <v>2695</v>
      </c>
      <c r="B858" s="2">
        <v>41911</v>
      </c>
      <c r="C858" s="2">
        <v>41915</v>
      </c>
      <c r="D858" s="1" t="s">
        <v>37</v>
      </c>
      <c r="E858" s="1" t="s">
        <v>2336</v>
      </c>
      <c r="F858" s="1" t="s">
        <v>2337</v>
      </c>
      <c r="G858" s="1" t="s">
        <v>84</v>
      </c>
      <c r="H858" s="1" t="s">
        <v>61</v>
      </c>
      <c r="I858" s="1" t="s">
        <v>62</v>
      </c>
      <c r="J858" s="1" t="s">
        <v>63</v>
      </c>
      <c r="K858" s="1" t="s">
        <v>1031</v>
      </c>
      <c r="L858" s="1" t="s">
        <v>29</v>
      </c>
      <c r="M858" s="1" t="s">
        <v>43</v>
      </c>
      <c r="N858" s="1" t="s">
        <v>1032</v>
      </c>
      <c r="O858">
        <v>67.176000000000002</v>
      </c>
      <c r="P858">
        <v>1</v>
      </c>
      <c r="Q858">
        <v>-20.152799999999999</v>
      </c>
      <c r="R858" s="1" t="s">
        <v>4424</v>
      </c>
      <c r="S858">
        <v>2014</v>
      </c>
      <c r="T858" s="1" t="s">
        <v>72</v>
      </c>
    </row>
    <row r="859" spans="1:20" x14ac:dyDescent="0.25">
      <c r="A859" s="1" t="s">
        <v>2696</v>
      </c>
      <c r="B859" s="2">
        <v>42328</v>
      </c>
      <c r="C859" s="2">
        <v>42332</v>
      </c>
      <c r="D859" s="1" t="s">
        <v>37</v>
      </c>
      <c r="E859" s="1" t="s">
        <v>213</v>
      </c>
      <c r="F859" s="1" t="s">
        <v>214</v>
      </c>
      <c r="G859" s="1" t="s">
        <v>24</v>
      </c>
      <c r="H859" s="1" t="s">
        <v>1461</v>
      </c>
      <c r="I859" s="1" t="s">
        <v>50</v>
      </c>
      <c r="J859" s="1" t="s">
        <v>51</v>
      </c>
      <c r="K859" s="1" t="s">
        <v>571</v>
      </c>
      <c r="L859" s="1" t="s">
        <v>29</v>
      </c>
      <c r="M859" s="1" t="s">
        <v>34</v>
      </c>
      <c r="N859" s="1" t="s">
        <v>572</v>
      </c>
      <c r="O859">
        <v>572.16</v>
      </c>
      <c r="P859">
        <v>3</v>
      </c>
      <c r="Q859">
        <v>35.76</v>
      </c>
      <c r="R859" s="1" t="s">
        <v>4424</v>
      </c>
      <c r="S859">
        <v>2015</v>
      </c>
      <c r="T859" s="1" t="s">
        <v>32</v>
      </c>
    </row>
    <row r="860" spans="1:20" x14ac:dyDescent="0.25">
      <c r="A860" s="1" t="s">
        <v>2697</v>
      </c>
      <c r="B860" s="2">
        <v>42610</v>
      </c>
      <c r="C860" s="2">
        <v>42613</v>
      </c>
      <c r="D860" s="1" t="s">
        <v>81</v>
      </c>
      <c r="E860" s="1" t="s">
        <v>2289</v>
      </c>
      <c r="F860" s="1" t="s">
        <v>2290</v>
      </c>
      <c r="G860" s="1" t="s">
        <v>24</v>
      </c>
      <c r="H860" s="1" t="s">
        <v>1730</v>
      </c>
      <c r="I860" s="1" t="s">
        <v>86</v>
      </c>
      <c r="J860" s="1" t="s">
        <v>87</v>
      </c>
      <c r="K860" s="1" t="s">
        <v>1467</v>
      </c>
      <c r="L860" s="1" t="s">
        <v>29</v>
      </c>
      <c r="M860" s="1" t="s">
        <v>30</v>
      </c>
      <c r="N860" s="1" t="s">
        <v>1468</v>
      </c>
      <c r="O860">
        <v>156.37280000000001</v>
      </c>
      <c r="P860">
        <v>2</v>
      </c>
      <c r="Q860">
        <v>-52.890799999999999</v>
      </c>
      <c r="R860" s="1" t="s">
        <v>4420</v>
      </c>
      <c r="S860">
        <v>2016</v>
      </c>
      <c r="T860" s="1" t="s">
        <v>245</v>
      </c>
    </row>
    <row r="861" spans="1:20" x14ac:dyDescent="0.25">
      <c r="A861" s="1" t="s">
        <v>2698</v>
      </c>
      <c r="B861" s="2">
        <v>43054</v>
      </c>
      <c r="C861" s="2">
        <v>43059</v>
      </c>
      <c r="D861" s="1" t="s">
        <v>37</v>
      </c>
      <c r="E861" s="1" t="s">
        <v>2673</v>
      </c>
      <c r="F861" s="1" t="s">
        <v>2674</v>
      </c>
      <c r="G861" s="1" t="s">
        <v>24</v>
      </c>
      <c r="H861" s="1" t="s">
        <v>2699</v>
      </c>
      <c r="I861" s="1" t="s">
        <v>41</v>
      </c>
      <c r="J861" s="1" t="s">
        <v>27</v>
      </c>
      <c r="K861" s="1" t="s">
        <v>696</v>
      </c>
      <c r="L861" s="1" t="s">
        <v>29</v>
      </c>
      <c r="M861" s="1" t="s">
        <v>53</v>
      </c>
      <c r="N861" s="1" t="s">
        <v>697</v>
      </c>
      <c r="O861">
        <v>220.06399999999999</v>
      </c>
      <c r="P861">
        <v>4</v>
      </c>
      <c r="Q861">
        <v>55.015999999999998</v>
      </c>
      <c r="R861" s="1" t="s">
        <v>4422</v>
      </c>
      <c r="S861">
        <v>2017</v>
      </c>
      <c r="T861" s="1" t="s">
        <v>32</v>
      </c>
    </row>
    <row r="862" spans="1:20" x14ac:dyDescent="0.25">
      <c r="A862" s="1" t="s">
        <v>2698</v>
      </c>
      <c r="B862" s="2">
        <v>43054</v>
      </c>
      <c r="C862" s="2">
        <v>43059</v>
      </c>
      <c r="D862" s="1" t="s">
        <v>37</v>
      </c>
      <c r="E862" s="1" t="s">
        <v>2673</v>
      </c>
      <c r="F862" s="1" t="s">
        <v>2674</v>
      </c>
      <c r="G862" s="1" t="s">
        <v>24</v>
      </c>
      <c r="H862" s="1" t="s">
        <v>2699</v>
      </c>
      <c r="I862" s="1" t="s">
        <v>41</v>
      </c>
      <c r="J862" s="1" t="s">
        <v>27</v>
      </c>
      <c r="K862" s="1" t="s">
        <v>1382</v>
      </c>
      <c r="L862" s="1" t="s">
        <v>29</v>
      </c>
      <c r="M862" s="1" t="s">
        <v>53</v>
      </c>
      <c r="N862" s="1" t="s">
        <v>1383</v>
      </c>
      <c r="O862">
        <v>339.13600000000002</v>
      </c>
      <c r="P862">
        <v>4</v>
      </c>
      <c r="Q862">
        <v>0</v>
      </c>
      <c r="R862" s="1" t="s">
        <v>4422</v>
      </c>
      <c r="S862">
        <v>2017</v>
      </c>
      <c r="T862" s="1" t="s">
        <v>32</v>
      </c>
    </row>
    <row r="863" spans="1:20" x14ac:dyDescent="0.25">
      <c r="A863" s="1" t="s">
        <v>2700</v>
      </c>
      <c r="B863" s="2">
        <v>41870</v>
      </c>
      <c r="C863" s="2">
        <v>41877</v>
      </c>
      <c r="D863" s="1" t="s">
        <v>37</v>
      </c>
      <c r="E863" s="1" t="s">
        <v>2701</v>
      </c>
      <c r="F863" s="1" t="s">
        <v>2702</v>
      </c>
      <c r="G863" s="1" t="s">
        <v>24</v>
      </c>
      <c r="H863" s="1" t="s">
        <v>1048</v>
      </c>
      <c r="I863" s="1" t="s">
        <v>1049</v>
      </c>
      <c r="J863" s="1" t="s">
        <v>27</v>
      </c>
      <c r="K863" s="1" t="s">
        <v>2703</v>
      </c>
      <c r="L863" s="1" t="s">
        <v>29</v>
      </c>
      <c r="M863" s="1" t="s">
        <v>30</v>
      </c>
      <c r="N863" s="1" t="s">
        <v>2704</v>
      </c>
      <c r="O863">
        <v>638.82000000000005</v>
      </c>
      <c r="P863">
        <v>9</v>
      </c>
      <c r="Q863">
        <v>172.48140000000001</v>
      </c>
      <c r="R863" s="1" t="s">
        <v>4421</v>
      </c>
      <c r="S863">
        <v>2014</v>
      </c>
      <c r="T863" s="1" t="s">
        <v>245</v>
      </c>
    </row>
    <row r="864" spans="1:20" x14ac:dyDescent="0.25">
      <c r="A864" s="1" t="s">
        <v>2705</v>
      </c>
      <c r="B864" s="2">
        <v>43090</v>
      </c>
      <c r="C864" s="2">
        <v>43090</v>
      </c>
      <c r="D864" s="1" t="s">
        <v>417</v>
      </c>
      <c r="E864" s="1" t="s">
        <v>662</v>
      </c>
      <c r="F864" s="1" t="s">
        <v>663</v>
      </c>
      <c r="G864" s="1" t="s">
        <v>94</v>
      </c>
      <c r="H864" s="1" t="s">
        <v>2706</v>
      </c>
      <c r="I864" s="1" t="s">
        <v>832</v>
      </c>
      <c r="J864" s="1" t="s">
        <v>87</v>
      </c>
      <c r="K864" s="1" t="s">
        <v>918</v>
      </c>
      <c r="L864" s="1" t="s">
        <v>29</v>
      </c>
      <c r="M864" s="1" t="s">
        <v>53</v>
      </c>
      <c r="N864" s="1" t="s">
        <v>308</v>
      </c>
      <c r="O864">
        <v>15.92</v>
      </c>
      <c r="P864">
        <v>2</v>
      </c>
      <c r="Q864">
        <v>7.0048000000000004</v>
      </c>
      <c r="R864" s="1" t="s">
        <v>4427</v>
      </c>
      <c r="S864">
        <v>2017</v>
      </c>
      <c r="T864" s="1" t="s">
        <v>90</v>
      </c>
    </row>
    <row r="865" spans="1:20" x14ac:dyDescent="0.25">
      <c r="A865" s="1" t="s">
        <v>2707</v>
      </c>
      <c r="B865" s="2">
        <v>42254</v>
      </c>
      <c r="C865" s="2">
        <v>42254</v>
      </c>
      <c r="D865" s="1" t="s">
        <v>417</v>
      </c>
      <c r="E865" s="1" t="s">
        <v>1394</v>
      </c>
      <c r="F865" s="1" t="s">
        <v>1395</v>
      </c>
      <c r="G865" s="1" t="s">
        <v>24</v>
      </c>
      <c r="H865" s="1" t="s">
        <v>165</v>
      </c>
      <c r="I865" s="1" t="s">
        <v>114</v>
      </c>
      <c r="J865" s="1" t="s">
        <v>63</v>
      </c>
      <c r="K865" s="1" t="s">
        <v>2277</v>
      </c>
      <c r="L865" s="1" t="s">
        <v>29</v>
      </c>
      <c r="M865" s="1" t="s">
        <v>43</v>
      </c>
      <c r="N865" s="1" t="s">
        <v>2278</v>
      </c>
      <c r="O865">
        <v>27.414000000000001</v>
      </c>
      <c r="P865">
        <v>3</v>
      </c>
      <c r="Q865">
        <v>-14.1639</v>
      </c>
      <c r="R865" s="1" t="s">
        <v>4427</v>
      </c>
      <c r="S865">
        <v>2015</v>
      </c>
      <c r="T865" s="1" t="s">
        <v>72</v>
      </c>
    </row>
    <row r="866" spans="1:20" x14ac:dyDescent="0.25">
      <c r="A866" s="1" t="s">
        <v>2708</v>
      </c>
      <c r="B866" s="2">
        <v>42363</v>
      </c>
      <c r="C866" s="2">
        <v>42370</v>
      </c>
      <c r="D866" s="1" t="s">
        <v>37</v>
      </c>
      <c r="E866" s="1" t="s">
        <v>2709</v>
      </c>
      <c r="F866" s="1" t="s">
        <v>2710</v>
      </c>
      <c r="G866" s="1" t="s">
        <v>84</v>
      </c>
      <c r="H866" s="1" t="s">
        <v>280</v>
      </c>
      <c r="I866" s="1" t="s">
        <v>281</v>
      </c>
      <c r="J866" s="1" t="s">
        <v>87</v>
      </c>
      <c r="K866" s="1" t="s">
        <v>2711</v>
      </c>
      <c r="L866" s="1" t="s">
        <v>29</v>
      </c>
      <c r="M866" s="1" t="s">
        <v>30</v>
      </c>
      <c r="N866" s="1" t="s">
        <v>2712</v>
      </c>
      <c r="O866">
        <v>160.97999999999999</v>
      </c>
      <c r="P866">
        <v>1</v>
      </c>
      <c r="Q866">
        <v>20.927399999999999</v>
      </c>
      <c r="R866" s="1" t="s">
        <v>4421</v>
      </c>
      <c r="S866">
        <v>2015</v>
      </c>
      <c r="T866" s="1" t="s">
        <v>90</v>
      </c>
    </row>
    <row r="867" spans="1:20" x14ac:dyDescent="0.25">
      <c r="A867" s="1" t="s">
        <v>2713</v>
      </c>
      <c r="B867" s="2">
        <v>42943</v>
      </c>
      <c r="C867" s="2">
        <v>42947</v>
      </c>
      <c r="D867" s="1" t="s">
        <v>21</v>
      </c>
      <c r="E867" s="1" t="s">
        <v>2714</v>
      </c>
      <c r="F867" s="1" t="s">
        <v>2715</v>
      </c>
      <c r="G867" s="1" t="s">
        <v>24</v>
      </c>
      <c r="H867" s="1" t="s">
        <v>597</v>
      </c>
      <c r="I867" s="1" t="s">
        <v>41</v>
      </c>
      <c r="J867" s="1" t="s">
        <v>27</v>
      </c>
      <c r="K867" s="1" t="s">
        <v>958</v>
      </c>
      <c r="L867" s="1" t="s">
        <v>29</v>
      </c>
      <c r="M867" s="1" t="s">
        <v>53</v>
      </c>
      <c r="N867" s="1" t="s">
        <v>959</v>
      </c>
      <c r="O867">
        <v>91.031999999999996</v>
      </c>
      <c r="P867">
        <v>3</v>
      </c>
      <c r="Q867">
        <v>-2.2757999999999998</v>
      </c>
      <c r="R867" s="1" t="s">
        <v>4424</v>
      </c>
      <c r="S867">
        <v>2017</v>
      </c>
      <c r="T867" s="1" t="s">
        <v>66</v>
      </c>
    </row>
    <row r="868" spans="1:20" x14ac:dyDescent="0.25">
      <c r="A868" s="1" t="s">
        <v>2716</v>
      </c>
      <c r="B868" s="2">
        <v>43070</v>
      </c>
      <c r="C868" s="2">
        <v>43073</v>
      </c>
      <c r="D868" s="1" t="s">
        <v>81</v>
      </c>
      <c r="E868" s="1" t="s">
        <v>699</v>
      </c>
      <c r="F868" s="1" t="s">
        <v>700</v>
      </c>
      <c r="G868" s="1" t="s">
        <v>24</v>
      </c>
      <c r="H868" s="1" t="s">
        <v>61</v>
      </c>
      <c r="I868" s="1" t="s">
        <v>62</v>
      </c>
      <c r="J868" s="1" t="s">
        <v>63</v>
      </c>
      <c r="K868" s="1" t="s">
        <v>2663</v>
      </c>
      <c r="L868" s="1" t="s">
        <v>29</v>
      </c>
      <c r="M868" s="1" t="s">
        <v>53</v>
      </c>
      <c r="N868" s="1" t="s">
        <v>2664</v>
      </c>
      <c r="O868">
        <v>79.12</v>
      </c>
      <c r="P868">
        <v>5</v>
      </c>
      <c r="Q868">
        <v>13.846</v>
      </c>
      <c r="R868" s="1" t="s">
        <v>4420</v>
      </c>
      <c r="S868">
        <v>2017</v>
      </c>
      <c r="T868" s="1" t="s">
        <v>90</v>
      </c>
    </row>
    <row r="869" spans="1:20" x14ac:dyDescent="0.25">
      <c r="A869" s="1" t="s">
        <v>2717</v>
      </c>
      <c r="B869" s="2">
        <v>42765</v>
      </c>
      <c r="C869" s="2">
        <v>42772</v>
      </c>
      <c r="D869" s="1" t="s">
        <v>37</v>
      </c>
      <c r="E869" s="1" t="s">
        <v>675</v>
      </c>
      <c r="F869" s="1" t="s">
        <v>676</v>
      </c>
      <c r="G869" s="1" t="s">
        <v>94</v>
      </c>
      <c r="H869" s="1" t="s">
        <v>320</v>
      </c>
      <c r="I869" s="1" t="s">
        <v>50</v>
      </c>
      <c r="J869" s="1" t="s">
        <v>51</v>
      </c>
      <c r="K869" s="1" t="s">
        <v>151</v>
      </c>
      <c r="L869" s="1" t="s">
        <v>29</v>
      </c>
      <c r="M869" s="1" t="s">
        <v>34</v>
      </c>
      <c r="N869" s="1" t="s">
        <v>152</v>
      </c>
      <c r="O869">
        <v>120.78400000000001</v>
      </c>
      <c r="P869">
        <v>1</v>
      </c>
      <c r="Q869">
        <v>-13.588200000000001</v>
      </c>
      <c r="R869" s="1" t="s">
        <v>4421</v>
      </c>
      <c r="S869">
        <v>2017</v>
      </c>
      <c r="T869" s="1" t="s">
        <v>161</v>
      </c>
    </row>
    <row r="870" spans="1:20" x14ac:dyDescent="0.25">
      <c r="A870" s="1" t="s">
        <v>2718</v>
      </c>
      <c r="B870" s="2">
        <v>42336</v>
      </c>
      <c r="C870" s="2">
        <v>42342</v>
      </c>
      <c r="D870" s="1" t="s">
        <v>37</v>
      </c>
      <c r="E870" s="1" t="s">
        <v>2289</v>
      </c>
      <c r="F870" s="1" t="s">
        <v>2290</v>
      </c>
      <c r="G870" s="1" t="s">
        <v>24</v>
      </c>
      <c r="H870" s="1" t="s">
        <v>2719</v>
      </c>
      <c r="I870" s="1" t="s">
        <v>114</v>
      </c>
      <c r="J870" s="1" t="s">
        <v>63</v>
      </c>
      <c r="K870" s="1" t="s">
        <v>300</v>
      </c>
      <c r="L870" s="1" t="s">
        <v>29</v>
      </c>
      <c r="M870" s="1" t="s">
        <v>53</v>
      </c>
      <c r="N870" s="1" t="s">
        <v>301</v>
      </c>
      <c r="O870">
        <v>322.58999999999997</v>
      </c>
      <c r="P870">
        <v>3</v>
      </c>
      <c r="Q870">
        <v>64.518000000000001</v>
      </c>
      <c r="R870" s="1" t="s">
        <v>4426</v>
      </c>
      <c r="S870">
        <v>2015</v>
      </c>
      <c r="T870" s="1" t="s">
        <v>32</v>
      </c>
    </row>
    <row r="871" spans="1:20" x14ac:dyDescent="0.25">
      <c r="A871" s="1" t="s">
        <v>2720</v>
      </c>
      <c r="B871" s="2">
        <v>41923</v>
      </c>
      <c r="C871" s="2">
        <v>41925</v>
      </c>
      <c r="D871" s="1" t="s">
        <v>81</v>
      </c>
      <c r="E871" s="1" t="s">
        <v>327</v>
      </c>
      <c r="F871" s="1" t="s">
        <v>328</v>
      </c>
      <c r="G871" s="1" t="s">
        <v>24</v>
      </c>
      <c r="H871" s="1" t="s">
        <v>1176</v>
      </c>
      <c r="I871" s="1" t="s">
        <v>50</v>
      </c>
      <c r="J871" s="1" t="s">
        <v>51</v>
      </c>
      <c r="K871" s="1" t="s">
        <v>2721</v>
      </c>
      <c r="L871" s="1" t="s">
        <v>29</v>
      </c>
      <c r="M871" s="1" t="s">
        <v>34</v>
      </c>
      <c r="N871" s="1" t="s">
        <v>2722</v>
      </c>
      <c r="O871">
        <v>433.56799999999998</v>
      </c>
      <c r="P871">
        <v>2</v>
      </c>
      <c r="Q871">
        <v>-65.035200000000003</v>
      </c>
      <c r="R871" s="1" t="s">
        <v>4423</v>
      </c>
      <c r="S871">
        <v>2014</v>
      </c>
      <c r="T871" s="1" t="s">
        <v>45</v>
      </c>
    </row>
    <row r="872" spans="1:20" x14ac:dyDescent="0.25">
      <c r="A872" s="1" t="s">
        <v>2723</v>
      </c>
      <c r="B872" s="2">
        <v>42709</v>
      </c>
      <c r="C872" s="2">
        <v>42711</v>
      </c>
      <c r="D872" s="1" t="s">
        <v>81</v>
      </c>
      <c r="E872" s="1" t="s">
        <v>1994</v>
      </c>
      <c r="F872" s="1" t="s">
        <v>1995</v>
      </c>
      <c r="G872" s="1" t="s">
        <v>84</v>
      </c>
      <c r="H872" s="1" t="s">
        <v>229</v>
      </c>
      <c r="I872" s="1" t="s">
        <v>425</v>
      </c>
      <c r="J872" s="1" t="s">
        <v>63</v>
      </c>
      <c r="K872" s="1" t="s">
        <v>2724</v>
      </c>
      <c r="L872" s="1" t="s">
        <v>29</v>
      </c>
      <c r="M872" s="1" t="s">
        <v>30</v>
      </c>
      <c r="N872" s="1" t="s">
        <v>2725</v>
      </c>
      <c r="O872">
        <v>81.94</v>
      </c>
      <c r="P872">
        <v>1</v>
      </c>
      <c r="Q872">
        <v>20.484999999999999</v>
      </c>
      <c r="R872" s="1" t="s">
        <v>4423</v>
      </c>
      <c r="S872">
        <v>2016</v>
      </c>
      <c r="T872" s="1" t="s">
        <v>90</v>
      </c>
    </row>
    <row r="873" spans="1:20" x14ac:dyDescent="0.25">
      <c r="A873" s="1" t="s">
        <v>2726</v>
      </c>
      <c r="B873" s="2">
        <v>42324</v>
      </c>
      <c r="C873" s="2">
        <v>42328</v>
      </c>
      <c r="D873" s="1" t="s">
        <v>37</v>
      </c>
      <c r="E873" s="1" t="s">
        <v>261</v>
      </c>
      <c r="F873" s="1" t="s">
        <v>262</v>
      </c>
      <c r="G873" s="1" t="s">
        <v>84</v>
      </c>
      <c r="H873" s="1" t="s">
        <v>2727</v>
      </c>
      <c r="I873" s="1" t="s">
        <v>2271</v>
      </c>
      <c r="J873" s="1" t="s">
        <v>51</v>
      </c>
      <c r="K873" s="1" t="s">
        <v>42</v>
      </c>
      <c r="L873" s="1" t="s">
        <v>29</v>
      </c>
      <c r="M873" s="1" t="s">
        <v>43</v>
      </c>
      <c r="N873" s="1" t="s">
        <v>44</v>
      </c>
      <c r="O873">
        <v>696.42</v>
      </c>
      <c r="P873">
        <v>2</v>
      </c>
      <c r="Q873">
        <v>160.17660000000001</v>
      </c>
      <c r="R873" s="1" t="s">
        <v>4424</v>
      </c>
      <c r="S873">
        <v>2015</v>
      </c>
      <c r="T873" s="1" t="s">
        <v>32</v>
      </c>
    </row>
    <row r="874" spans="1:20" x14ac:dyDescent="0.25">
      <c r="A874" s="1" t="s">
        <v>2728</v>
      </c>
      <c r="B874" s="2">
        <v>42468</v>
      </c>
      <c r="C874" s="2">
        <v>42474</v>
      </c>
      <c r="D874" s="1" t="s">
        <v>37</v>
      </c>
      <c r="E874" s="1" t="s">
        <v>1645</v>
      </c>
      <c r="F874" s="1" t="s">
        <v>1646</v>
      </c>
      <c r="G874" s="1" t="s">
        <v>24</v>
      </c>
      <c r="H874" s="1" t="s">
        <v>49</v>
      </c>
      <c r="I874" s="1" t="s">
        <v>50</v>
      </c>
      <c r="J874" s="1" t="s">
        <v>51</v>
      </c>
      <c r="K874" s="1" t="s">
        <v>793</v>
      </c>
      <c r="L874" s="1" t="s">
        <v>29</v>
      </c>
      <c r="M874" s="1" t="s">
        <v>53</v>
      </c>
      <c r="N874" s="1" t="s">
        <v>794</v>
      </c>
      <c r="O874">
        <v>24.7</v>
      </c>
      <c r="P874">
        <v>5</v>
      </c>
      <c r="Q874">
        <v>10.374000000000001</v>
      </c>
      <c r="R874" s="1" t="s">
        <v>4426</v>
      </c>
      <c r="S874">
        <v>2016</v>
      </c>
      <c r="T874" s="1" t="s">
        <v>107</v>
      </c>
    </row>
    <row r="875" spans="1:20" x14ac:dyDescent="0.25">
      <c r="A875" s="1" t="s">
        <v>2729</v>
      </c>
      <c r="B875" s="2">
        <v>41943</v>
      </c>
      <c r="C875" s="2">
        <v>41945</v>
      </c>
      <c r="D875" s="1" t="s">
        <v>21</v>
      </c>
      <c r="E875" s="1" t="s">
        <v>1630</v>
      </c>
      <c r="F875" s="1" t="s">
        <v>1631</v>
      </c>
      <c r="G875" s="1" t="s">
        <v>24</v>
      </c>
      <c r="H875" s="1" t="s">
        <v>2730</v>
      </c>
      <c r="I875" s="1" t="s">
        <v>1636</v>
      </c>
      <c r="J875" s="1" t="s">
        <v>63</v>
      </c>
      <c r="K875" s="1" t="s">
        <v>1709</v>
      </c>
      <c r="L875" s="1" t="s">
        <v>29</v>
      </c>
      <c r="M875" s="1" t="s">
        <v>53</v>
      </c>
      <c r="N875" s="1" t="s">
        <v>1710</v>
      </c>
      <c r="O875">
        <v>14.76</v>
      </c>
      <c r="P875">
        <v>2</v>
      </c>
      <c r="Q875">
        <v>4.2804000000000002</v>
      </c>
      <c r="R875" s="1" t="s">
        <v>4423</v>
      </c>
      <c r="S875">
        <v>2014</v>
      </c>
      <c r="T875" s="1" t="s">
        <v>45</v>
      </c>
    </row>
    <row r="876" spans="1:20" x14ac:dyDescent="0.25">
      <c r="A876" s="1" t="s">
        <v>2729</v>
      </c>
      <c r="B876" s="2">
        <v>41943</v>
      </c>
      <c r="C876" s="2">
        <v>41945</v>
      </c>
      <c r="D876" s="1" t="s">
        <v>21</v>
      </c>
      <c r="E876" s="1" t="s">
        <v>1630</v>
      </c>
      <c r="F876" s="1" t="s">
        <v>1631</v>
      </c>
      <c r="G876" s="1" t="s">
        <v>24</v>
      </c>
      <c r="H876" s="1" t="s">
        <v>2730</v>
      </c>
      <c r="I876" s="1" t="s">
        <v>1636</v>
      </c>
      <c r="J876" s="1" t="s">
        <v>63</v>
      </c>
      <c r="K876" s="1" t="s">
        <v>414</v>
      </c>
      <c r="L876" s="1" t="s">
        <v>29</v>
      </c>
      <c r="M876" s="1" t="s">
        <v>53</v>
      </c>
      <c r="N876" s="1" t="s">
        <v>415</v>
      </c>
      <c r="O876">
        <v>17.670000000000002</v>
      </c>
      <c r="P876">
        <v>3</v>
      </c>
      <c r="Q876">
        <v>7.7747999999999999</v>
      </c>
      <c r="R876" s="1" t="s">
        <v>4423</v>
      </c>
      <c r="S876">
        <v>2014</v>
      </c>
      <c r="T876" s="1" t="s">
        <v>45</v>
      </c>
    </row>
    <row r="877" spans="1:20" x14ac:dyDescent="0.25">
      <c r="A877" s="1" t="s">
        <v>2729</v>
      </c>
      <c r="B877" s="2">
        <v>41943</v>
      </c>
      <c r="C877" s="2">
        <v>41945</v>
      </c>
      <c r="D877" s="1" t="s">
        <v>21</v>
      </c>
      <c r="E877" s="1" t="s">
        <v>1630</v>
      </c>
      <c r="F877" s="1" t="s">
        <v>1631</v>
      </c>
      <c r="G877" s="1" t="s">
        <v>24</v>
      </c>
      <c r="H877" s="1" t="s">
        <v>2730</v>
      </c>
      <c r="I877" s="1" t="s">
        <v>1636</v>
      </c>
      <c r="J877" s="1" t="s">
        <v>63</v>
      </c>
      <c r="K877" s="1" t="s">
        <v>2264</v>
      </c>
      <c r="L877" s="1" t="s">
        <v>29</v>
      </c>
      <c r="M877" s="1" t="s">
        <v>34</v>
      </c>
      <c r="N877" s="1" t="s">
        <v>2265</v>
      </c>
      <c r="O877">
        <v>1604.9</v>
      </c>
      <c r="P877">
        <v>5</v>
      </c>
      <c r="Q877">
        <v>481.47</v>
      </c>
      <c r="R877" s="1" t="s">
        <v>4423</v>
      </c>
      <c r="S877">
        <v>2014</v>
      </c>
      <c r="T877" s="1" t="s">
        <v>45</v>
      </c>
    </row>
    <row r="878" spans="1:20" x14ac:dyDescent="0.25">
      <c r="A878" s="1" t="s">
        <v>2729</v>
      </c>
      <c r="B878" s="2">
        <v>41943</v>
      </c>
      <c r="C878" s="2">
        <v>41945</v>
      </c>
      <c r="D878" s="1" t="s">
        <v>21</v>
      </c>
      <c r="E878" s="1" t="s">
        <v>1630</v>
      </c>
      <c r="F878" s="1" t="s">
        <v>1631</v>
      </c>
      <c r="G878" s="1" t="s">
        <v>24</v>
      </c>
      <c r="H878" s="1" t="s">
        <v>2730</v>
      </c>
      <c r="I878" s="1" t="s">
        <v>1636</v>
      </c>
      <c r="J878" s="1" t="s">
        <v>63</v>
      </c>
      <c r="K878" s="1" t="s">
        <v>1714</v>
      </c>
      <c r="L878" s="1" t="s">
        <v>29</v>
      </c>
      <c r="M878" s="1" t="s">
        <v>43</v>
      </c>
      <c r="N878" s="1" t="s">
        <v>1715</v>
      </c>
      <c r="O878">
        <v>385.68599999999998</v>
      </c>
      <c r="P878">
        <v>1</v>
      </c>
      <c r="Q878">
        <v>-60.607799999999997</v>
      </c>
      <c r="R878" s="1" t="s">
        <v>4423</v>
      </c>
      <c r="S878">
        <v>2014</v>
      </c>
      <c r="T878" s="1" t="s">
        <v>45</v>
      </c>
    </row>
    <row r="879" spans="1:20" x14ac:dyDescent="0.25">
      <c r="A879" s="1" t="s">
        <v>2731</v>
      </c>
      <c r="B879" s="2">
        <v>42826</v>
      </c>
      <c r="C879" s="2">
        <v>42828</v>
      </c>
      <c r="D879" s="1" t="s">
        <v>81</v>
      </c>
      <c r="E879" s="1" t="s">
        <v>2732</v>
      </c>
      <c r="F879" s="1" t="s">
        <v>2733</v>
      </c>
      <c r="G879" s="1" t="s">
        <v>84</v>
      </c>
      <c r="H879" s="1" t="s">
        <v>320</v>
      </c>
      <c r="I879" s="1" t="s">
        <v>50</v>
      </c>
      <c r="J879" s="1" t="s">
        <v>51</v>
      </c>
      <c r="K879" s="1" t="s">
        <v>2734</v>
      </c>
      <c r="L879" s="1" t="s">
        <v>29</v>
      </c>
      <c r="M879" s="1" t="s">
        <v>30</v>
      </c>
      <c r="N879" s="1" t="s">
        <v>2735</v>
      </c>
      <c r="O879">
        <v>482.66399999999999</v>
      </c>
      <c r="P879">
        <v>8</v>
      </c>
      <c r="Q879">
        <v>85.176000000000002</v>
      </c>
      <c r="R879" s="1" t="s">
        <v>4423</v>
      </c>
      <c r="S879">
        <v>2017</v>
      </c>
      <c r="T879" s="1" t="s">
        <v>107</v>
      </c>
    </row>
    <row r="880" spans="1:20" x14ac:dyDescent="0.25">
      <c r="A880" s="1" t="s">
        <v>2736</v>
      </c>
      <c r="B880" s="2">
        <v>42897</v>
      </c>
      <c r="C880" s="2">
        <v>42899</v>
      </c>
      <c r="D880" s="1" t="s">
        <v>21</v>
      </c>
      <c r="E880" s="1" t="s">
        <v>2010</v>
      </c>
      <c r="F880" s="1" t="s">
        <v>2011</v>
      </c>
      <c r="G880" s="1" t="s">
        <v>24</v>
      </c>
      <c r="H880" s="1" t="s">
        <v>183</v>
      </c>
      <c r="I880" s="1" t="s">
        <v>184</v>
      </c>
      <c r="J880" s="1" t="s">
        <v>51</v>
      </c>
      <c r="K880" s="1" t="s">
        <v>851</v>
      </c>
      <c r="L880" s="1" t="s">
        <v>29</v>
      </c>
      <c r="M880" s="1" t="s">
        <v>30</v>
      </c>
      <c r="N880" s="1" t="s">
        <v>852</v>
      </c>
      <c r="O880">
        <v>174.42</v>
      </c>
      <c r="P880">
        <v>3</v>
      </c>
      <c r="Q880">
        <v>41.860799999999998</v>
      </c>
      <c r="R880" s="1" t="s">
        <v>4423</v>
      </c>
      <c r="S880">
        <v>2017</v>
      </c>
      <c r="T880" s="1" t="s">
        <v>55</v>
      </c>
    </row>
    <row r="881" spans="1:20" x14ac:dyDescent="0.25">
      <c r="A881" s="1" t="s">
        <v>2737</v>
      </c>
      <c r="B881" s="2">
        <v>41986</v>
      </c>
      <c r="C881" s="2">
        <v>41990</v>
      </c>
      <c r="D881" s="1" t="s">
        <v>37</v>
      </c>
      <c r="E881" s="1" t="s">
        <v>614</v>
      </c>
      <c r="F881" s="1" t="s">
        <v>615</v>
      </c>
      <c r="G881" s="1" t="s">
        <v>84</v>
      </c>
      <c r="H881" s="1" t="s">
        <v>125</v>
      </c>
      <c r="I881" s="1" t="s">
        <v>126</v>
      </c>
      <c r="J881" s="1" t="s">
        <v>87</v>
      </c>
      <c r="K881" s="1" t="s">
        <v>2738</v>
      </c>
      <c r="L881" s="1" t="s">
        <v>29</v>
      </c>
      <c r="M881" s="1" t="s">
        <v>53</v>
      </c>
      <c r="N881" s="1" t="s">
        <v>2739</v>
      </c>
      <c r="O881">
        <v>94.427999999999997</v>
      </c>
      <c r="P881">
        <v>3</v>
      </c>
      <c r="Q881">
        <v>-42.492600000000003</v>
      </c>
      <c r="R881" s="1" t="s">
        <v>4424</v>
      </c>
      <c r="S881">
        <v>2014</v>
      </c>
      <c r="T881" s="1" t="s">
        <v>90</v>
      </c>
    </row>
    <row r="882" spans="1:20" x14ac:dyDescent="0.25">
      <c r="A882" s="1" t="s">
        <v>2740</v>
      </c>
      <c r="B882" s="2">
        <v>42009</v>
      </c>
      <c r="C882" s="2">
        <v>42014</v>
      </c>
      <c r="D882" s="1" t="s">
        <v>37</v>
      </c>
      <c r="E882" s="1" t="s">
        <v>2741</v>
      </c>
      <c r="F882" s="1" t="s">
        <v>2742</v>
      </c>
      <c r="G882" s="1" t="s">
        <v>94</v>
      </c>
      <c r="H882" s="1" t="s">
        <v>183</v>
      </c>
      <c r="I882" s="1" t="s">
        <v>184</v>
      </c>
      <c r="J882" s="1" t="s">
        <v>51</v>
      </c>
      <c r="K882" s="1" t="s">
        <v>479</v>
      </c>
      <c r="L882" s="1" t="s">
        <v>29</v>
      </c>
      <c r="M882" s="1" t="s">
        <v>34</v>
      </c>
      <c r="N882" s="1" t="s">
        <v>480</v>
      </c>
      <c r="O882">
        <v>61.584000000000003</v>
      </c>
      <c r="P882">
        <v>1</v>
      </c>
      <c r="Q882">
        <v>-6.9282000000000004</v>
      </c>
      <c r="R882" s="1" t="s">
        <v>4422</v>
      </c>
      <c r="S882">
        <v>2015</v>
      </c>
      <c r="T882" s="1" t="s">
        <v>161</v>
      </c>
    </row>
    <row r="883" spans="1:20" x14ac:dyDescent="0.25">
      <c r="A883" s="1" t="s">
        <v>2743</v>
      </c>
      <c r="B883" s="2">
        <v>42921</v>
      </c>
      <c r="C883" s="2">
        <v>42926</v>
      </c>
      <c r="D883" s="1" t="s">
        <v>37</v>
      </c>
      <c r="E883" s="1" t="s">
        <v>1096</v>
      </c>
      <c r="F883" s="1" t="s">
        <v>1097</v>
      </c>
      <c r="G883" s="1" t="s">
        <v>84</v>
      </c>
      <c r="H883" s="1" t="s">
        <v>1730</v>
      </c>
      <c r="I883" s="1" t="s">
        <v>86</v>
      </c>
      <c r="J883" s="1" t="s">
        <v>87</v>
      </c>
      <c r="K883" s="1" t="s">
        <v>911</v>
      </c>
      <c r="L883" s="1" t="s">
        <v>29</v>
      </c>
      <c r="M883" s="1" t="s">
        <v>53</v>
      </c>
      <c r="N883" s="1" t="s">
        <v>912</v>
      </c>
      <c r="O883">
        <v>332.02800000000002</v>
      </c>
      <c r="P883">
        <v>9</v>
      </c>
      <c r="Q883">
        <v>-348.62939999999998</v>
      </c>
      <c r="R883" s="1" t="s">
        <v>4422</v>
      </c>
      <c r="S883">
        <v>2017</v>
      </c>
      <c r="T883" s="1" t="s">
        <v>66</v>
      </c>
    </row>
    <row r="884" spans="1:20" x14ac:dyDescent="0.25">
      <c r="A884" s="1" t="s">
        <v>2744</v>
      </c>
      <c r="B884" s="2">
        <v>43067</v>
      </c>
      <c r="C884" s="2">
        <v>43073</v>
      </c>
      <c r="D884" s="1" t="s">
        <v>37</v>
      </c>
      <c r="E884" s="1" t="s">
        <v>207</v>
      </c>
      <c r="F884" s="1" t="s">
        <v>208</v>
      </c>
      <c r="G884" s="1" t="s">
        <v>94</v>
      </c>
      <c r="H884" s="1" t="s">
        <v>2745</v>
      </c>
      <c r="I884" s="1" t="s">
        <v>1080</v>
      </c>
      <c r="J884" s="1" t="s">
        <v>63</v>
      </c>
      <c r="K884" s="1" t="s">
        <v>305</v>
      </c>
      <c r="L884" s="1" t="s">
        <v>29</v>
      </c>
      <c r="M884" s="1" t="s">
        <v>53</v>
      </c>
      <c r="N884" s="1" t="s">
        <v>306</v>
      </c>
      <c r="O884">
        <v>1049.2</v>
      </c>
      <c r="P884">
        <v>5</v>
      </c>
      <c r="Q884">
        <v>272.79199999999997</v>
      </c>
      <c r="R884" s="1" t="s">
        <v>4426</v>
      </c>
      <c r="S884">
        <v>2017</v>
      </c>
      <c r="T884" s="1" t="s">
        <v>32</v>
      </c>
    </row>
    <row r="885" spans="1:20" x14ac:dyDescent="0.25">
      <c r="A885" s="1" t="s">
        <v>2744</v>
      </c>
      <c r="B885" s="2">
        <v>43067</v>
      </c>
      <c r="C885" s="2">
        <v>43073</v>
      </c>
      <c r="D885" s="1" t="s">
        <v>37</v>
      </c>
      <c r="E885" s="1" t="s">
        <v>207</v>
      </c>
      <c r="F885" s="1" t="s">
        <v>208</v>
      </c>
      <c r="G885" s="1" t="s">
        <v>94</v>
      </c>
      <c r="H885" s="1" t="s">
        <v>2745</v>
      </c>
      <c r="I885" s="1" t="s">
        <v>1080</v>
      </c>
      <c r="J885" s="1" t="s">
        <v>63</v>
      </c>
      <c r="K885" s="1" t="s">
        <v>1302</v>
      </c>
      <c r="L885" s="1" t="s">
        <v>29</v>
      </c>
      <c r="M885" s="1" t="s">
        <v>53</v>
      </c>
      <c r="N885" s="1" t="s">
        <v>1303</v>
      </c>
      <c r="O885">
        <v>20.9</v>
      </c>
      <c r="P885">
        <v>5</v>
      </c>
      <c r="Q885">
        <v>7.524</v>
      </c>
      <c r="R885" s="1" t="s">
        <v>4426</v>
      </c>
      <c r="S885">
        <v>2017</v>
      </c>
      <c r="T885" s="1" t="s">
        <v>32</v>
      </c>
    </row>
    <row r="886" spans="1:20" x14ac:dyDescent="0.25">
      <c r="A886" s="1" t="s">
        <v>2746</v>
      </c>
      <c r="B886" s="2">
        <v>42705</v>
      </c>
      <c r="C886" s="2">
        <v>42709</v>
      </c>
      <c r="D886" s="1" t="s">
        <v>21</v>
      </c>
      <c r="E886" s="1" t="s">
        <v>2747</v>
      </c>
      <c r="F886" s="1" t="s">
        <v>2748</v>
      </c>
      <c r="G886" s="1" t="s">
        <v>24</v>
      </c>
      <c r="H886" s="1" t="s">
        <v>1571</v>
      </c>
      <c r="I886" s="1" t="s">
        <v>421</v>
      </c>
      <c r="J886" s="1" t="s">
        <v>63</v>
      </c>
      <c r="K886" s="1" t="s">
        <v>616</v>
      </c>
      <c r="L886" s="1" t="s">
        <v>29</v>
      </c>
      <c r="M886" s="1" t="s">
        <v>34</v>
      </c>
      <c r="N886" s="1" t="s">
        <v>617</v>
      </c>
      <c r="O886">
        <v>751.92</v>
      </c>
      <c r="P886">
        <v>4</v>
      </c>
      <c r="Q886">
        <v>150.38399999999999</v>
      </c>
      <c r="R886" s="1" t="s">
        <v>4424</v>
      </c>
      <c r="S886">
        <v>2016</v>
      </c>
      <c r="T886" s="1" t="s">
        <v>90</v>
      </c>
    </row>
    <row r="887" spans="1:20" x14ac:dyDescent="0.25">
      <c r="A887" s="1" t="s">
        <v>2749</v>
      </c>
      <c r="B887" s="2">
        <v>41901</v>
      </c>
      <c r="C887" s="2">
        <v>41901</v>
      </c>
      <c r="D887" s="1" t="s">
        <v>417</v>
      </c>
      <c r="E887" s="1" t="s">
        <v>2750</v>
      </c>
      <c r="F887" s="1" t="s">
        <v>2751</v>
      </c>
      <c r="G887" s="1" t="s">
        <v>84</v>
      </c>
      <c r="H887" s="1" t="s">
        <v>165</v>
      </c>
      <c r="I887" s="1" t="s">
        <v>114</v>
      </c>
      <c r="J887" s="1" t="s">
        <v>63</v>
      </c>
      <c r="K887" s="1" t="s">
        <v>1523</v>
      </c>
      <c r="L887" s="1" t="s">
        <v>29</v>
      </c>
      <c r="M887" s="1" t="s">
        <v>34</v>
      </c>
      <c r="N887" s="1" t="s">
        <v>1524</v>
      </c>
      <c r="O887">
        <v>887.10299999999995</v>
      </c>
      <c r="P887">
        <v>7</v>
      </c>
      <c r="Q887">
        <v>177.42060000000001</v>
      </c>
      <c r="R887" s="1" t="s">
        <v>4427</v>
      </c>
      <c r="S887">
        <v>2014</v>
      </c>
      <c r="T887" s="1" t="s">
        <v>72</v>
      </c>
    </row>
    <row r="888" spans="1:20" x14ac:dyDescent="0.25">
      <c r="A888" s="1" t="s">
        <v>2752</v>
      </c>
      <c r="B888" s="2">
        <v>43021</v>
      </c>
      <c r="C888" s="2">
        <v>43024</v>
      </c>
      <c r="D888" s="1" t="s">
        <v>81</v>
      </c>
      <c r="E888" s="1" t="s">
        <v>1419</v>
      </c>
      <c r="F888" s="1" t="s">
        <v>1420</v>
      </c>
      <c r="G888" s="1" t="s">
        <v>24</v>
      </c>
      <c r="H888" s="1" t="s">
        <v>2719</v>
      </c>
      <c r="I888" s="1" t="s">
        <v>126</v>
      </c>
      <c r="J888" s="1" t="s">
        <v>87</v>
      </c>
      <c r="K888" s="1" t="s">
        <v>886</v>
      </c>
      <c r="L888" s="1" t="s">
        <v>29</v>
      </c>
      <c r="M888" s="1" t="s">
        <v>53</v>
      </c>
      <c r="N888" s="1" t="s">
        <v>887</v>
      </c>
      <c r="O888">
        <v>10.476000000000001</v>
      </c>
      <c r="P888">
        <v>3</v>
      </c>
      <c r="Q888">
        <v>-6.8094000000000001</v>
      </c>
      <c r="R888" s="1" t="s">
        <v>4420</v>
      </c>
      <c r="S888">
        <v>2017</v>
      </c>
      <c r="T888" s="1" t="s">
        <v>45</v>
      </c>
    </row>
    <row r="889" spans="1:20" x14ac:dyDescent="0.25">
      <c r="A889" s="1" t="s">
        <v>2753</v>
      </c>
      <c r="B889" s="2">
        <v>42443</v>
      </c>
      <c r="C889" s="2">
        <v>42445</v>
      </c>
      <c r="D889" s="1" t="s">
        <v>81</v>
      </c>
      <c r="E889" s="1" t="s">
        <v>2616</v>
      </c>
      <c r="F889" s="1" t="s">
        <v>2617</v>
      </c>
      <c r="G889" s="1" t="s">
        <v>84</v>
      </c>
      <c r="H889" s="1" t="s">
        <v>183</v>
      </c>
      <c r="I889" s="1" t="s">
        <v>184</v>
      </c>
      <c r="J889" s="1" t="s">
        <v>51</v>
      </c>
      <c r="K889" s="1" t="s">
        <v>1019</v>
      </c>
      <c r="L889" s="1" t="s">
        <v>29</v>
      </c>
      <c r="M889" s="1" t="s">
        <v>34</v>
      </c>
      <c r="N889" s="1" t="s">
        <v>1020</v>
      </c>
      <c r="O889">
        <v>196.78399999999999</v>
      </c>
      <c r="P889">
        <v>2</v>
      </c>
      <c r="Q889">
        <v>-22.138200000000001</v>
      </c>
      <c r="R889" s="1" t="s">
        <v>4423</v>
      </c>
      <c r="S889">
        <v>2016</v>
      </c>
      <c r="T889" s="1" t="s">
        <v>187</v>
      </c>
    </row>
    <row r="890" spans="1:20" x14ac:dyDescent="0.25">
      <c r="A890" s="1" t="s">
        <v>2754</v>
      </c>
      <c r="B890" s="2">
        <v>42679</v>
      </c>
      <c r="C890" s="2">
        <v>42683</v>
      </c>
      <c r="D890" s="1" t="s">
        <v>37</v>
      </c>
      <c r="E890" s="1" t="s">
        <v>2054</v>
      </c>
      <c r="F890" s="1" t="s">
        <v>2055</v>
      </c>
      <c r="G890" s="1" t="s">
        <v>24</v>
      </c>
      <c r="H890" s="1" t="s">
        <v>95</v>
      </c>
      <c r="I890" s="1" t="s">
        <v>86</v>
      </c>
      <c r="J890" s="1" t="s">
        <v>87</v>
      </c>
      <c r="K890" s="1" t="s">
        <v>722</v>
      </c>
      <c r="L890" s="1" t="s">
        <v>29</v>
      </c>
      <c r="M890" s="1" t="s">
        <v>43</v>
      </c>
      <c r="N890" s="1" t="s">
        <v>723</v>
      </c>
      <c r="O890">
        <v>863.12800000000004</v>
      </c>
      <c r="P890">
        <v>8</v>
      </c>
      <c r="Q890">
        <v>-160.29519999999999</v>
      </c>
      <c r="R890" s="1" t="s">
        <v>4424</v>
      </c>
      <c r="S890">
        <v>2016</v>
      </c>
      <c r="T890" s="1" t="s">
        <v>32</v>
      </c>
    </row>
    <row r="891" spans="1:20" x14ac:dyDescent="0.25">
      <c r="A891" s="1" t="s">
        <v>2754</v>
      </c>
      <c r="B891" s="2">
        <v>42679</v>
      </c>
      <c r="C891" s="2">
        <v>42683</v>
      </c>
      <c r="D891" s="1" t="s">
        <v>37</v>
      </c>
      <c r="E891" s="1" t="s">
        <v>2054</v>
      </c>
      <c r="F891" s="1" t="s">
        <v>2055</v>
      </c>
      <c r="G891" s="1" t="s">
        <v>24</v>
      </c>
      <c r="H891" s="1" t="s">
        <v>95</v>
      </c>
      <c r="I891" s="1" t="s">
        <v>86</v>
      </c>
      <c r="J891" s="1" t="s">
        <v>87</v>
      </c>
      <c r="K891" s="1" t="s">
        <v>1860</v>
      </c>
      <c r="L891" s="1" t="s">
        <v>29</v>
      </c>
      <c r="M891" s="1" t="s">
        <v>30</v>
      </c>
      <c r="N891" s="1" t="s">
        <v>1861</v>
      </c>
      <c r="O891">
        <v>956.66480000000001</v>
      </c>
      <c r="P891">
        <v>7</v>
      </c>
      <c r="Q891">
        <v>-225.0976</v>
      </c>
      <c r="R891" s="1" t="s">
        <v>4424</v>
      </c>
      <c r="S891">
        <v>2016</v>
      </c>
      <c r="T891" s="1" t="s">
        <v>32</v>
      </c>
    </row>
    <row r="892" spans="1:20" x14ac:dyDescent="0.25">
      <c r="A892" s="1" t="s">
        <v>2755</v>
      </c>
      <c r="B892" s="2">
        <v>42911</v>
      </c>
      <c r="C892" s="2">
        <v>42915</v>
      </c>
      <c r="D892" s="1" t="s">
        <v>21</v>
      </c>
      <c r="E892" s="1" t="s">
        <v>1630</v>
      </c>
      <c r="F892" s="1" t="s">
        <v>1631</v>
      </c>
      <c r="G892" s="1" t="s">
        <v>24</v>
      </c>
      <c r="H892" s="1" t="s">
        <v>183</v>
      </c>
      <c r="I892" s="1" t="s">
        <v>184</v>
      </c>
      <c r="J892" s="1" t="s">
        <v>51</v>
      </c>
      <c r="K892" s="1" t="s">
        <v>690</v>
      </c>
      <c r="L892" s="1" t="s">
        <v>29</v>
      </c>
      <c r="M892" s="1" t="s">
        <v>43</v>
      </c>
      <c r="N892" s="1" t="s">
        <v>691</v>
      </c>
      <c r="O892">
        <v>871.4</v>
      </c>
      <c r="P892">
        <v>4</v>
      </c>
      <c r="Q892">
        <v>148.13800000000001</v>
      </c>
      <c r="R892" s="1" t="s">
        <v>4424</v>
      </c>
      <c r="S892">
        <v>2017</v>
      </c>
      <c r="T892" s="1" t="s">
        <v>55</v>
      </c>
    </row>
    <row r="893" spans="1:20" x14ac:dyDescent="0.25">
      <c r="A893" s="1" t="s">
        <v>2756</v>
      </c>
      <c r="B893" s="2">
        <v>42334</v>
      </c>
      <c r="C893" s="2">
        <v>42338</v>
      </c>
      <c r="D893" s="1" t="s">
        <v>37</v>
      </c>
      <c r="E893" s="1" t="s">
        <v>2757</v>
      </c>
      <c r="F893" s="1" t="s">
        <v>2758</v>
      </c>
      <c r="G893" s="1" t="s">
        <v>84</v>
      </c>
      <c r="H893" s="1" t="s">
        <v>468</v>
      </c>
      <c r="I893" s="1" t="s">
        <v>133</v>
      </c>
      <c r="J893" s="1" t="s">
        <v>27</v>
      </c>
      <c r="K893" s="1" t="s">
        <v>2738</v>
      </c>
      <c r="L893" s="1" t="s">
        <v>29</v>
      </c>
      <c r="M893" s="1" t="s">
        <v>53</v>
      </c>
      <c r="N893" s="1" t="s">
        <v>2739</v>
      </c>
      <c r="O893">
        <v>692.47199999999998</v>
      </c>
      <c r="P893">
        <v>11</v>
      </c>
      <c r="Q893">
        <v>190.4298</v>
      </c>
      <c r="R893" s="1" t="s">
        <v>4424</v>
      </c>
      <c r="S893">
        <v>2015</v>
      </c>
      <c r="T893" s="1" t="s">
        <v>32</v>
      </c>
    </row>
    <row r="894" spans="1:20" x14ac:dyDescent="0.25">
      <c r="A894" s="1" t="s">
        <v>2759</v>
      </c>
      <c r="B894" s="2">
        <v>42698</v>
      </c>
      <c r="C894" s="2">
        <v>42701</v>
      </c>
      <c r="D894" s="1" t="s">
        <v>21</v>
      </c>
      <c r="E894" s="1" t="s">
        <v>975</v>
      </c>
      <c r="F894" s="1" t="s">
        <v>976</v>
      </c>
      <c r="G894" s="1" t="s">
        <v>84</v>
      </c>
      <c r="H894" s="1" t="s">
        <v>2745</v>
      </c>
      <c r="I894" s="1" t="s">
        <v>1080</v>
      </c>
      <c r="J894" s="1" t="s">
        <v>63</v>
      </c>
      <c r="K894" s="1" t="s">
        <v>870</v>
      </c>
      <c r="L894" s="1" t="s">
        <v>29</v>
      </c>
      <c r="M894" s="1" t="s">
        <v>53</v>
      </c>
      <c r="N894" s="1" t="s">
        <v>871</v>
      </c>
      <c r="O894">
        <v>207.76</v>
      </c>
      <c r="P894">
        <v>4</v>
      </c>
      <c r="Q894">
        <v>85.181600000000003</v>
      </c>
      <c r="R894" s="1" t="s">
        <v>4420</v>
      </c>
      <c r="S894">
        <v>2016</v>
      </c>
      <c r="T894" s="1" t="s">
        <v>32</v>
      </c>
    </row>
    <row r="895" spans="1:20" x14ac:dyDescent="0.25">
      <c r="A895" s="1" t="s">
        <v>2760</v>
      </c>
      <c r="B895" s="2">
        <v>42476</v>
      </c>
      <c r="C895" s="2">
        <v>42480</v>
      </c>
      <c r="D895" s="1" t="s">
        <v>37</v>
      </c>
      <c r="E895" s="1" t="s">
        <v>2750</v>
      </c>
      <c r="F895" s="1" t="s">
        <v>2751</v>
      </c>
      <c r="G895" s="1" t="s">
        <v>84</v>
      </c>
      <c r="H895" s="1" t="s">
        <v>2051</v>
      </c>
      <c r="I895" s="1" t="s">
        <v>354</v>
      </c>
      <c r="J895" s="1" t="s">
        <v>63</v>
      </c>
      <c r="K895" s="1" t="s">
        <v>2228</v>
      </c>
      <c r="L895" s="1" t="s">
        <v>29</v>
      </c>
      <c r="M895" s="1" t="s">
        <v>53</v>
      </c>
      <c r="N895" s="1" t="s">
        <v>2229</v>
      </c>
      <c r="O895">
        <v>9.9600000000000009</v>
      </c>
      <c r="P895">
        <v>2</v>
      </c>
      <c r="Q895">
        <v>3.2867999999999999</v>
      </c>
      <c r="R895" s="1" t="s">
        <v>4424</v>
      </c>
      <c r="S895">
        <v>2016</v>
      </c>
      <c r="T895" s="1" t="s">
        <v>107</v>
      </c>
    </row>
    <row r="896" spans="1:20" x14ac:dyDescent="0.25">
      <c r="A896" s="1" t="s">
        <v>2761</v>
      </c>
      <c r="B896" s="2">
        <v>41957</v>
      </c>
      <c r="C896" s="2">
        <v>41961</v>
      </c>
      <c r="D896" s="1" t="s">
        <v>37</v>
      </c>
      <c r="E896" s="1" t="s">
        <v>2762</v>
      </c>
      <c r="F896" s="1" t="s">
        <v>2763</v>
      </c>
      <c r="G896" s="1" t="s">
        <v>94</v>
      </c>
      <c r="H896" s="1" t="s">
        <v>165</v>
      </c>
      <c r="I896" s="1" t="s">
        <v>114</v>
      </c>
      <c r="J896" s="1" t="s">
        <v>63</v>
      </c>
      <c r="K896" s="1" t="s">
        <v>2209</v>
      </c>
      <c r="L896" s="1" t="s">
        <v>29</v>
      </c>
      <c r="M896" s="1" t="s">
        <v>34</v>
      </c>
      <c r="N896" s="1" t="s">
        <v>2210</v>
      </c>
      <c r="O896">
        <v>69.263999999999996</v>
      </c>
      <c r="P896">
        <v>2</v>
      </c>
      <c r="Q896">
        <v>14.622400000000001</v>
      </c>
      <c r="R896" s="1" t="s">
        <v>4424</v>
      </c>
      <c r="S896">
        <v>2014</v>
      </c>
      <c r="T896" s="1" t="s">
        <v>32</v>
      </c>
    </row>
    <row r="897" spans="1:20" x14ac:dyDescent="0.25">
      <c r="A897" s="1" t="s">
        <v>2764</v>
      </c>
      <c r="B897" s="2">
        <v>42329</v>
      </c>
      <c r="C897" s="2">
        <v>42334</v>
      </c>
      <c r="D897" s="1" t="s">
        <v>21</v>
      </c>
      <c r="E897" s="1" t="s">
        <v>2765</v>
      </c>
      <c r="F897" s="1" t="s">
        <v>2766</v>
      </c>
      <c r="G897" s="1" t="s">
        <v>84</v>
      </c>
      <c r="H897" s="1" t="s">
        <v>2767</v>
      </c>
      <c r="I897" s="1" t="s">
        <v>86</v>
      </c>
      <c r="J897" s="1" t="s">
        <v>87</v>
      </c>
      <c r="K897" s="1" t="s">
        <v>1437</v>
      </c>
      <c r="L897" s="1" t="s">
        <v>29</v>
      </c>
      <c r="M897" s="1" t="s">
        <v>30</v>
      </c>
      <c r="N897" s="1" t="s">
        <v>1438</v>
      </c>
      <c r="O897">
        <v>246.1328</v>
      </c>
      <c r="P897">
        <v>2</v>
      </c>
      <c r="Q897">
        <v>-76.011600000000001</v>
      </c>
      <c r="R897" s="1" t="s">
        <v>4422</v>
      </c>
      <c r="S897">
        <v>2015</v>
      </c>
      <c r="T897" s="1" t="s">
        <v>32</v>
      </c>
    </row>
    <row r="898" spans="1:20" x14ac:dyDescent="0.25">
      <c r="A898" s="1" t="s">
        <v>2768</v>
      </c>
      <c r="B898" s="2">
        <v>43078</v>
      </c>
      <c r="C898" s="2">
        <v>43082</v>
      </c>
      <c r="D898" s="1" t="s">
        <v>21</v>
      </c>
      <c r="E898" s="1" t="s">
        <v>1314</v>
      </c>
      <c r="F898" s="1" t="s">
        <v>1315</v>
      </c>
      <c r="G898" s="1" t="s">
        <v>94</v>
      </c>
      <c r="H898" s="1" t="s">
        <v>49</v>
      </c>
      <c r="I898" s="1" t="s">
        <v>50</v>
      </c>
      <c r="J898" s="1" t="s">
        <v>51</v>
      </c>
      <c r="K898" s="1" t="s">
        <v>282</v>
      </c>
      <c r="L898" s="1" t="s">
        <v>29</v>
      </c>
      <c r="M898" s="1" t="s">
        <v>43</v>
      </c>
      <c r="N898" s="1" t="s">
        <v>283</v>
      </c>
      <c r="O898">
        <v>896.32799999999997</v>
      </c>
      <c r="P898">
        <v>9</v>
      </c>
      <c r="Q898">
        <v>22.408200000000001</v>
      </c>
      <c r="R898" s="1" t="s">
        <v>4424</v>
      </c>
      <c r="S898">
        <v>2017</v>
      </c>
      <c r="T898" s="1" t="s">
        <v>90</v>
      </c>
    </row>
    <row r="899" spans="1:20" x14ac:dyDescent="0.25">
      <c r="A899" s="1" t="s">
        <v>2769</v>
      </c>
      <c r="B899" s="2">
        <v>43030</v>
      </c>
      <c r="C899" s="2">
        <v>43035</v>
      </c>
      <c r="D899" s="1" t="s">
        <v>37</v>
      </c>
      <c r="E899" s="1" t="s">
        <v>2347</v>
      </c>
      <c r="F899" s="1" t="s">
        <v>2348</v>
      </c>
      <c r="G899" s="1" t="s">
        <v>84</v>
      </c>
      <c r="H899" s="1" t="s">
        <v>1507</v>
      </c>
      <c r="I899" s="1" t="s">
        <v>1508</v>
      </c>
      <c r="J899" s="1" t="s">
        <v>51</v>
      </c>
      <c r="K899" s="1" t="s">
        <v>309</v>
      </c>
      <c r="L899" s="1" t="s">
        <v>29</v>
      </c>
      <c r="M899" s="1" t="s">
        <v>43</v>
      </c>
      <c r="N899" s="1" t="s">
        <v>310</v>
      </c>
      <c r="O899">
        <v>177.22499999999999</v>
      </c>
      <c r="P899">
        <v>5</v>
      </c>
      <c r="Q899">
        <v>-120.51300000000001</v>
      </c>
      <c r="R899" s="1" t="s">
        <v>4422</v>
      </c>
      <c r="S899">
        <v>2017</v>
      </c>
      <c r="T899" s="1" t="s">
        <v>45</v>
      </c>
    </row>
    <row r="900" spans="1:20" x14ac:dyDescent="0.25">
      <c r="A900" s="1" t="s">
        <v>2770</v>
      </c>
      <c r="B900" s="2">
        <v>42919</v>
      </c>
      <c r="C900" s="2">
        <v>42926</v>
      </c>
      <c r="D900" s="1" t="s">
        <v>37</v>
      </c>
      <c r="E900" s="1" t="s">
        <v>1291</v>
      </c>
      <c r="F900" s="1" t="s">
        <v>1292</v>
      </c>
      <c r="G900" s="1" t="s">
        <v>24</v>
      </c>
      <c r="H900" s="1" t="s">
        <v>2771</v>
      </c>
      <c r="I900" s="1" t="s">
        <v>50</v>
      </c>
      <c r="J900" s="1" t="s">
        <v>51</v>
      </c>
      <c r="K900" s="1" t="s">
        <v>2681</v>
      </c>
      <c r="L900" s="1" t="s">
        <v>29</v>
      </c>
      <c r="M900" s="1" t="s">
        <v>53</v>
      </c>
      <c r="N900" s="1" t="s">
        <v>2682</v>
      </c>
      <c r="O900">
        <v>129.38999999999999</v>
      </c>
      <c r="P900">
        <v>3</v>
      </c>
      <c r="Q900">
        <v>54.343800000000002</v>
      </c>
      <c r="R900" s="1" t="s">
        <v>4421</v>
      </c>
      <c r="S900">
        <v>2017</v>
      </c>
      <c r="T900" s="1" t="s">
        <v>66</v>
      </c>
    </row>
    <row r="901" spans="1:20" x14ac:dyDescent="0.25">
      <c r="A901" s="1" t="s">
        <v>2772</v>
      </c>
      <c r="B901" s="2">
        <v>42970</v>
      </c>
      <c r="C901" s="2">
        <v>42973</v>
      </c>
      <c r="D901" s="1" t="s">
        <v>21</v>
      </c>
      <c r="E901" s="1" t="s">
        <v>395</v>
      </c>
      <c r="F901" s="1" t="s">
        <v>396</v>
      </c>
      <c r="G901" s="1" t="s">
        <v>24</v>
      </c>
      <c r="H901" s="1" t="s">
        <v>2331</v>
      </c>
      <c r="I901" s="1" t="s">
        <v>41</v>
      </c>
      <c r="J901" s="1" t="s">
        <v>27</v>
      </c>
      <c r="K901" s="1" t="s">
        <v>1062</v>
      </c>
      <c r="L901" s="1" t="s">
        <v>29</v>
      </c>
      <c r="M901" s="1" t="s">
        <v>53</v>
      </c>
      <c r="N901" s="1" t="s">
        <v>1063</v>
      </c>
      <c r="O901">
        <v>2.7839999999999998</v>
      </c>
      <c r="P901">
        <v>2</v>
      </c>
      <c r="Q901">
        <v>0.41760000000000003</v>
      </c>
      <c r="R901" s="1" t="s">
        <v>4420</v>
      </c>
      <c r="S901">
        <v>2017</v>
      </c>
      <c r="T901" s="1" t="s">
        <v>245</v>
      </c>
    </row>
    <row r="902" spans="1:20" x14ac:dyDescent="0.25">
      <c r="A902" s="1" t="s">
        <v>2773</v>
      </c>
      <c r="B902" s="2">
        <v>41938</v>
      </c>
      <c r="C902" s="2">
        <v>41942</v>
      </c>
      <c r="D902" s="1" t="s">
        <v>21</v>
      </c>
      <c r="E902" s="1" t="s">
        <v>2774</v>
      </c>
      <c r="F902" s="1" t="s">
        <v>2775</v>
      </c>
      <c r="G902" s="1" t="s">
        <v>24</v>
      </c>
      <c r="H902" s="1" t="s">
        <v>183</v>
      </c>
      <c r="I902" s="1" t="s">
        <v>184</v>
      </c>
      <c r="J902" s="1" t="s">
        <v>51</v>
      </c>
      <c r="K902" s="1" t="s">
        <v>576</v>
      </c>
      <c r="L902" s="1" t="s">
        <v>29</v>
      </c>
      <c r="M902" s="1" t="s">
        <v>53</v>
      </c>
      <c r="N902" s="1" t="s">
        <v>577</v>
      </c>
      <c r="O902">
        <v>63.92</v>
      </c>
      <c r="P902">
        <v>4</v>
      </c>
      <c r="Q902">
        <v>3.1960000000000002</v>
      </c>
      <c r="R902" s="1" t="s">
        <v>4424</v>
      </c>
      <c r="S902">
        <v>2014</v>
      </c>
      <c r="T902" s="1" t="s">
        <v>45</v>
      </c>
    </row>
    <row r="903" spans="1:20" x14ac:dyDescent="0.25">
      <c r="A903" s="1" t="s">
        <v>2776</v>
      </c>
      <c r="B903" s="2">
        <v>41947</v>
      </c>
      <c r="C903" s="2">
        <v>41954</v>
      </c>
      <c r="D903" s="1" t="s">
        <v>37</v>
      </c>
      <c r="E903" s="1" t="s">
        <v>1721</v>
      </c>
      <c r="F903" s="1" t="s">
        <v>1722</v>
      </c>
      <c r="G903" s="1" t="s">
        <v>24</v>
      </c>
      <c r="H903" s="1" t="s">
        <v>49</v>
      </c>
      <c r="I903" s="1" t="s">
        <v>50</v>
      </c>
      <c r="J903" s="1" t="s">
        <v>51</v>
      </c>
      <c r="K903" s="1" t="s">
        <v>445</v>
      </c>
      <c r="L903" s="1" t="s">
        <v>29</v>
      </c>
      <c r="M903" s="1" t="s">
        <v>43</v>
      </c>
      <c r="N903" s="1" t="s">
        <v>446</v>
      </c>
      <c r="O903">
        <v>573.72799999999995</v>
      </c>
      <c r="P903">
        <v>4</v>
      </c>
      <c r="Q903">
        <v>-64.544399999999996</v>
      </c>
      <c r="R903" s="1" t="s">
        <v>4421</v>
      </c>
      <c r="S903">
        <v>2014</v>
      </c>
      <c r="T903" s="1" t="s">
        <v>32</v>
      </c>
    </row>
    <row r="904" spans="1:20" x14ac:dyDescent="0.25">
      <c r="A904" s="1" t="s">
        <v>2777</v>
      </c>
      <c r="B904" s="2">
        <v>43076</v>
      </c>
      <c r="C904" s="2">
        <v>43080</v>
      </c>
      <c r="D904" s="1" t="s">
        <v>37</v>
      </c>
      <c r="E904" s="1" t="s">
        <v>1435</v>
      </c>
      <c r="F904" s="1" t="s">
        <v>1436</v>
      </c>
      <c r="G904" s="1" t="s">
        <v>24</v>
      </c>
      <c r="H904" s="1" t="s">
        <v>626</v>
      </c>
      <c r="I904" s="1" t="s">
        <v>707</v>
      </c>
      <c r="J904" s="1" t="s">
        <v>27</v>
      </c>
      <c r="K904" s="1" t="s">
        <v>2778</v>
      </c>
      <c r="L904" s="1" t="s">
        <v>29</v>
      </c>
      <c r="M904" s="1" t="s">
        <v>53</v>
      </c>
      <c r="N904" s="1" t="s">
        <v>2779</v>
      </c>
      <c r="O904">
        <v>82.38</v>
      </c>
      <c r="P904">
        <v>6</v>
      </c>
      <c r="Q904">
        <v>25.537800000000001</v>
      </c>
      <c r="R904" s="1" t="s">
        <v>4424</v>
      </c>
      <c r="S904">
        <v>2017</v>
      </c>
      <c r="T904" s="1" t="s">
        <v>90</v>
      </c>
    </row>
    <row r="905" spans="1:20" x14ac:dyDescent="0.25">
      <c r="A905" s="1" t="s">
        <v>2780</v>
      </c>
      <c r="B905" s="2">
        <v>42358</v>
      </c>
      <c r="C905" s="2">
        <v>42362</v>
      </c>
      <c r="D905" s="1" t="s">
        <v>37</v>
      </c>
      <c r="E905" s="1" t="s">
        <v>2781</v>
      </c>
      <c r="F905" s="1" t="s">
        <v>2782</v>
      </c>
      <c r="G905" s="1" t="s">
        <v>24</v>
      </c>
      <c r="H905" s="1" t="s">
        <v>2783</v>
      </c>
      <c r="I905" s="1" t="s">
        <v>511</v>
      </c>
      <c r="J905" s="1" t="s">
        <v>51</v>
      </c>
      <c r="K905" s="1" t="s">
        <v>1442</v>
      </c>
      <c r="L905" s="1" t="s">
        <v>29</v>
      </c>
      <c r="M905" s="1" t="s">
        <v>53</v>
      </c>
      <c r="N905" s="1" t="s">
        <v>1443</v>
      </c>
      <c r="O905">
        <v>14.368</v>
      </c>
      <c r="P905">
        <v>2</v>
      </c>
      <c r="Q905">
        <v>3.9512</v>
      </c>
      <c r="R905" s="1" t="s">
        <v>4424</v>
      </c>
      <c r="S905">
        <v>2015</v>
      </c>
      <c r="T905" s="1" t="s">
        <v>90</v>
      </c>
    </row>
    <row r="906" spans="1:20" x14ac:dyDescent="0.25">
      <c r="A906" s="1" t="s">
        <v>2784</v>
      </c>
      <c r="B906" s="2">
        <v>42631</v>
      </c>
      <c r="C906" s="2">
        <v>42638</v>
      </c>
      <c r="D906" s="1" t="s">
        <v>37</v>
      </c>
      <c r="E906" s="1" t="s">
        <v>1675</v>
      </c>
      <c r="F906" s="1" t="s">
        <v>1676</v>
      </c>
      <c r="G906" s="1" t="s">
        <v>24</v>
      </c>
      <c r="H906" s="1" t="s">
        <v>2785</v>
      </c>
      <c r="I906" s="1" t="s">
        <v>114</v>
      </c>
      <c r="J906" s="1" t="s">
        <v>63</v>
      </c>
      <c r="K906" s="1" t="s">
        <v>842</v>
      </c>
      <c r="L906" s="1" t="s">
        <v>29</v>
      </c>
      <c r="M906" s="1" t="s">
        <v>34</v>
      </c>
      <c r="N906" s="1" t="s">
        <v>843</v>
      </c>
      <c r="O906">
        <v>631.78200000000004</v>
      </c>
      <c r="P906">
        <v>2</v>
      </c>
      <c r="Q906">
        <v>140.39599999999999</v>
      </c>
      <c r="R906" s="1" t="s">
        <v>4421</v>
      </c>
      <c r="S906">
        <v>2016</v>
      </c>
      <c r="T906" s="1" t="s">
        <v>72</v>
      </c>
    </row>
    <row r="907" spans="1:20" x14ac:dyDescent="0.25">
      <c r="A907" s="1" t="s">
        <v>2784</v>
      </c>
      <c r="B907" s="2">
        <v>42631</v>
      </c>
      <c r="C907" s="2">
        <v>42638</v>
      </c>
      <c r="D907" s="1" t="s">
        <v>37</v>
      </c>
      <c r="E907" s="1" t="s">
        <v>1675</v>
      </c>
      <c r="F907" s="1" t="s">
        <v>1676</v>
      </c>
      <c r="G907" s="1" t="s">
        <v>24</v>
      </c>
      <c r="H907" s="1" t="s">
        <v>2785</v>
      </c>
      <c r="I907" s="1" t="s">
        <v>114</v>
      </c>
      <c r="J907" s="1" t="s">
        <v>63</v>
      </c>
      <c r="K907" s="1" t="s">
        <v>2786</v>
      </c>
      <c r="L907" s="1" t="s">
        <v>29</v>
      </c>
      <c r="M907" s="1" t="s">
        <v>53</v>
      </c>
      <c r="N907" s="1" t="s">
        <v>2787</v>
      </c>
      <c r="O907">
        <v>60.72</v>
      </c>
      <c r="P907">
        <v>3</v>
      </c>
      <c r="Q907">
        <v>26.1096</v>
      </c>
      <c r="R907" s="1" t="s">
        <v>4421</v>
      </c>
      <c r="S907">
        <v>2016</v>
      </c>
      <c r="T907" s="1" t="s">
        <v>72</v>
      </c>
    </row>
    <row r="908" spans="1:20" x14ac:dyDescent="0.25">
      <c r="A908" s="1" t="s">
        <v>2788</v>
      </c>
      <c r="B908" s="2">
        <v>43080</v>
      </c>
      <c r="C908" s="2">
        <v>43080</v>
      </c>
      <c r="D908" s="1" t="s">
        <v>417</v>
      </c>
      <c r="E908" s="1" t="s">
        <v>2789</v>
      </c>
      <c r="F908" s="1" t="s">
        <v>2790</v>
      </c>
      <c r="G908" s="1" t="s">
        <v>24</v>
      </c>
      <c r="H908" s="1" t="s">
        <v>171</v>
      </c>
      <c r="I908" s="1" t="s">
        <v>126</v>
      </c>
      <c r="J908" s="1" t="s">
        <v>87</v>
      </c>
      <c r="K908" s="1" t="s">
        <v>781</v>
      </c>
      <c r="L908" s="1" t="s">
        <v>29</v>
      </c>
      <c r="M908" s="1" t="s">
        <v>53</v>
      </c>
      <c r="N908" s="1" t="s">
        <v>782</v>
      </c>
      <c r="O908">
        <v>77.72</v>
      </c>
      <c r="P908">
        <v>1</v>
      </c>
      <c r="Q908">
        <v>-66.061999999999998</v>
      </c>
      <c r="R908" s="1" t="s">
        <v>4427</v>
      </c>
      <c r="S908">
        <v>2017</v>
      </c>
      <c r="T908" s="1" t="s">
        <v>90</v>
      </c>
    </row>
    <row r="909" spans="1:20" x14ac:dyDescent="0.25">
      <c r="A909" s="1" t="s">
        <v>2788</v>
      </c>
      <c r="B909" s="2">
        <v>43080</v>
      </c>
      <c r="C909" s="2">
        <v>43080</v>
      </c>
      <c r="D909" s="1" t="s">
        <v>417</v>
      </c>
      <c r="E909" s="1" t="s">
        <v>2789</v>
      </c>
      <c r="F909" s="1" t="s">
        <v>2790</v>
      </c>
      <c r="G909" s="1" t="s">
        <v>24</v>
      </c>
      <c r="H909" s="1" t="s">
        <v>171</v>
      </c>
      <c r="I909" s="1" t="s">
        <v>126</v>
      </c>
      <c r="J909" s="1" t="s">
        <v>87</v>
      </c>
      <c r="K909" s="1" t="s">
        <v>1086</v>
      </c>
      <c r="L909" s="1" t="s">
        <v>29</v>
      </c>
      <c r="M909" s="1" t="s">
        <v>34</v>
      </c>
      <c r="N909" s="1" t="s">
        <v>1087</v>
      </c>
      <c r="O909">
        <v>520.46400000000006</v>
      </c>
      <c r="P909">
        <v>2</v>
      </c>
      <c r="Q909">
        <v>-14.8704</v>
      </c>
      <c r="R909" s="1" t="s">
        <v>4427</v>
      </c>
      <c r="S909">
        <v>2017</v>
      </c>
      <c r="T909" s="1" t="s">
        <v>90</v>
      </c>
    </row>
    <row r="910" spans="1:20" x14ac:dyDescent="0.25">
      <c r="A910" s="1" t="s">
        <v>2791</v>
      </c>
      <c r="B910" s="2">
        <v>41754</v>
      </c>
      <c r="C910" s="2">
        <v>41759</v>
      </c>
      <c r="D910" s="1" t="s">
        <v>37</v>
      </c>
      <c r="E910" s="1" t="s">
        <v>1257</v>
      </c>
      <c r="F910" s="1" t="s">
        <v>1258</v>
      </c>
      <c r="G910" s="1" t="s">
        <v>94</v>
      </c>
      <c r="H910" s="1" t="s">
        <v>2792</v>
      </c>
      <c r="I910" s="1" t="s">
        <v>50</v>
      </c>
      <c r="J910" s="1" t="s">
        <v>51</v>
      </c>
      <c r="K910" s="1" t="s">
        <v>136</v>
      </c>
      <c r="L910" s="1" t="s">
        <v>29</v>
      </c>
      <c r="M910" s="1" t="s">
        <v>53</v>
      </c>
      <c r="N910" s="1" t="s">
        <v>137</v>
      </c>
      <c r="O910">
        <v>303.25</v>
      </c>
      <c r="P910">
        <v>5</v>
      </c>
      <c r="Q910">
        <v>63.682499999999997</v>
      </c>
      <c r="R910" s="1" t="s">
        <v>4422</v>
      </c>
      <c r="S910">
        <v>2014</v>
      </c>
      <c r="T910" s="1" t="s">
        <v>107</v>
      </c>
    </row>
    <row r="911" spans="1:20" x14ac:dyDescent="0.25">
      <c r="A911" s="1" t="s">
        <v>2791</v>
      </c>
      <c r="B911" s="2">
        <v>41754</v>
      </c>
      <c r="C911" s="2">
        <v>41759</v>
      </c>
      <c r="D911" s="1" t="s">
        <v>37</v>
      </c>
      <c r="E911" s="1" t="s">
        <v>1257</v>
      </c>
      <c r="F911" s="1" t="s">
        <v>1258</v>
      </c>
      <c r="G911" s="1" t="s">
        <v>94</v>
      </c>
      <c r="H911" s="1" t="s">
        <v>2792</v>
      </c>
      <c r="I911" s="1" t="s">
        <v>50</v>
      </c>
      <c r="J911" s="1" t="s">
        <v>51</v>
      </c>
      <c r="K911" s="1" t="s">
        <v>1086</v>
      </c>
      <c r="L911" s="1" t="s">
        <v>29</v>
      </c>
      <c r="M911" s="1" t="s">
        <v>34</v>
      </c>
      <c r="N911" s="1" t="s">
        <v>1087</v>
      </c>
      <c r="O911">
        <v>1487.04</v>
      </c>
      <c r="P911">
        <v>5</v>
      </c>
      <c r="Q911">
        <v>148.70400000000001</v>
      </c>
      <c r="R911" s="1" t="s">
        <v>4422</v>
      </c>
      <c r="S911">
        <v>2014</v>
      </c>
      <c r="T911" s="1" t="s">
        <v>107</v>
      </c>
    </row>
    <row r="912" spans="1:20" x14ac:dyDescent="0.25">
      <c r="A912" s="1" t="s">
        <v>2793</v>
      </c>
      <c r="B912" s="2">
        <v>42302</v>
      </c>
      <c r="C912" s="2">
        <v>42307</v>
      </c>
      <c r="D912" s="1" t="s">
        <v>37</v>
      </c>
      <c r="E912" s="1" t="s">
        <v>1706</v>
      </c>
      <c r="F912" s="1" t="s">
        <v>1707</v>
      </c>
      <c r="G912" s="1" t="s">
        <v>24</v>
      </c>
      <c r="H912" s="1" t="s">
        <v>320</v>
      </c>
      <c r="I912" s="1" t="s">
        <v>50</v>
      </c>
      <c r="J912" s="1" t="s">
        <v>51</v>
      </c>
      <c r="K912" s="1" t="s">
        <v>538</v>
      </c>
      <c r="L912" s="1" t="s">
        <v>29</v>
      </c>
      <c r="M912" s="1" t="s">
        <v>43</v>
      </c>
      <c r="N912" s="1" t="s">
        <v>539</v>
      </c>
      <c r="O912">
        <v>253.17599999999999</v>
      </c>
      <c r="P912">
        <v>3</v>
      </c>
      <c r="Q912">
        <v>-31.646999999999998</v>
      </c>
      <c r="R912" s="1" t="s">
        <v>4422</v>
      </c>
      <c r="S912">
        <v>2015</v>
      </c>
      <c r="T912" s="1" t="s">
        <v>45</v>
      </c>
    </row>
    <row r="913" spans="1:20" x14ac:dyDescent="0.25">
      <c r="A913" s="1" t="s">
        <v>2794</v>
      </c>
      <c r="B913" s="2">
        <v>42205</v>
      </c>
      <c r="C913" s="2">
        <v>42212</v>
      </c>
      <c r="D913" s="1" t="s">
        <v>37</v>
      </c>
      <c r="E913" s="1" t="s">
        <v>1040</v>
      </c>
      <c r="F913" s="1" t="s">
        <v>1041</v>
      </c>
      <c r="G913" s="1" t="s">
        <v>24</v>
      </c>
      <c r="H913" s="1" t="s">
        <v>2153</v>
      </c>
      <c r="I913" s="1" t="s">
        <v>126</v>
      </c>
      <c r="J913" s="1" t="s">
        <v>87</v>
      </c>
      <c r="K913" s="1" t="s">
        <v>2795</v>
      </c>
      <c r="L913" s="1" t="s">
        <v>29</v>
      </c>
      <c r="M913" s="1" t="s">
        <v>30</v>
      </c>
      <c r="N913" s="1" t="s">
        <v>2796</v>
      </c>
      <c r="O913">
        <v>384.94400000000002</v>
      </c>
      <c r="P913">
        <v>4</v>
      </c>
      <c r="Q913">
        <v>-126.4816</v>
      </c>
      <c r="R913" s="1" t="s">
        <v>4421</v>
      </c>
      <c r="S913">
        <v>2015</v>
      </c>
      <c r="T913" s="1" t="s">
        <v>66</v>
      </c>
    </row>
    <row r="914" spans="1:20" x14ac:dyDescent="0.25">
      <c r="A914" s="1" t="s">
        <v>2794</v>
      </c>
      <c r="B914" s="2">
        <v>42205</v>
      </c>
      <c r="C914" s="2">
        <v>42212</v>
      </c>
      <c r="D914" s="1" t="s">
        <v>37</v>
      </c>
      <c r="E914" s="1" t="s">
        <v>1040</v>
      </c>
      <c r="F914" s="1" t="s">
        <v>1041</v>
      </c>
      <c r="G914" s="1" t="s">
        <v>24</v>
      </c>
      <c r="H914" s="1" t="s">
        <v>2153</v>
      </c>
      <c r="I914" s="1" t="s">
        <v>126</v>
      </c>
      <c r="J914" s="1" t="s">
        <v>87</v>
      </c>
      <c r="K914" s="1" t="s">
        <v>96</v>
      </c>
      <c r="L914" s="1" t="s">
        <v>29</v>
      </c>
      <c r="M914" s="1" t="s">
        <v>30</v>
      </c>
      <c r="N914" s="1" t="s">
        <v>97</v>
      </c>
      <c r="O914">
        <v>913.43</v>
      </c>
      <c r="P914">
        <v>5</v>
      </c>
      <c r="Q914">
        <v>-52.195999999999998</v>
      </c>
      <c r="R914" s="1" t="s">
        <v>4421</v>
      </c>
      <c r="S914">
        <v>2015</v>
      </c>
      <c r="T914" s="1" t="s">
        <v>66</v>
      </c>
    </row>
    <row r="915" spans="1:20" x14ac:dyDescent="0.25">
      <c r="A915" s="1" t="s">
        <v>2797</v>
      </c>
      <c r="B915" s="2">
        <v>43059</v>
      </c>
      <c r="C915" s="2">
        <v>43061</v>
      </c>
      <c r="D915" s="1" t="s">
        <v>81</v>
      </c>
      <c r="E915" s="1" t="s">
        <v>815</v>
      </c>
      <c r="F915" s="1" t="s">
        <v>816</v>
      </c>
      <c r="G915" s="1" t="s">
        <v>24</v>
      </c>
      <c r="H915" s="1" t="s">
        <v>165</v>
      </c>
      <c r="I915" s="1" t="s">
        <v>114</v>
      </c>
      <c r="J915" s="1" t="s">
        <v>63</v>
      </c>
      <c r="K915" s="1" t="s">
        <v>1467</v>
      </c>
      <c r="L915" s="1" t="s">
        <v>29</v>
      </c>
      <c r="M915" s="1" t="s">
        <v>30</v>
      </c>
      <c r="N915" s="1" t="s">
        <v>1468</v>
      </c>
      <c r="O915">
        <v>183.96799999999999</v>
      </c>
      <c r="P915">
        <v>2</v>
      </c>
      <c r="Q915">
        <v>-25.2956</v>
      </c>
      <c r="R915" s="1" t="s">
        <v>4423</v>
      </c>
      <c r="S915">
        <v>2017</v>
      </c>
      <c r="T915" s="1" t="s">
        <v>32</v>
      </c>
    </row>
    <row r="916" spans="1:20" x14ac:dyDescent="0.25">
      <c r="A916" s="1" t="s">
        <v>2798</v>
      </c>
      <c r="B916" s="2">
        <v>41827</v>
      </c>
      <c r="C916" s="2">
        <v>41831</v>
      </c>
      <c r="D916" s="1" t="s">
        <v>37</v>
      </c>
      <c r="E916" s="1" t="s">
        <v>2799</v>
      </c>
      <c r="F916" s="1" t="s">
        <v>2800</v>
      </c>
      <c r="G916" s="1" t="s">
        <v>24</v>
      </c>
      <c r="H916" s="1" t="s">
        <v>61</v>
      </c>
      <c r="I916" s="1" t="s">
        <v>62</v>
      </c>
      <c r="J916" s="1" t="s">
        <v>63</v>
      </c>
      <c r="K916" s="1" t="s">
        <v>1019</v>
      </c>
      <c r="L916" s="1" t="s">
        <v>29</v>
      </c>
      <c r="M916" s="1" t="s">
        <v>34</v>
      </c>
      <c r="N916" s="1" t="s">
        <v>1020</v>
      </c>
      <c r="O916">
        <v>172.18600000000001</v>
      </c>
      <c r="P916">
        <v>2</v>
      </c>
      <c r="Q916">
        <v>-46.736199999999997</v>
      </c>
      <c r="R916" s="1" t="s">
        <v>4424</v>
      </c>
      <c r="S916">
        <v>2014</v>
      </c>
      <c r="T916" s="1" t="s">
        <v>66</v>
      </c>
    </row>
    <row r="917" spans="1:20" x14ac:dyDescent="0.25">
      <c r="A917" s="1" t="s">
        <v>2798</v>
      </c>
      <c r="B917" s="2">
        <v>41827</v>
      </c>
      <c r="C917" s="2">
        <v>41831</v>
      </c>
      <c r="D917" s="1" t="s">
        <v>37</v>
      </c>
      <c r="E917" s="1" t="s">
        <v>2799</v>
      </c>
      <c r="F917" s="1" t="s">
        <v>2800</v>
      </c>
      <c r="G917" s="1" t="s">
        <v>24</v>
      </c>
      <c r="H917" s="1" t="s">
        <v>61</v>
      </c>
      <c r="I917" s="1" t="s">
        <v>62</v>
      </c>
      <c r="J917" s="1" t="s">
        <v>63</v>
      </c>
      <c r="K917" s="1" t="s">
        <v>598</v>
      </c>
      <c r="L917" s="1" t="s">
        <v>29</v>
      </c>
      <c r="M917" s="1" t="s">
        <v>53</v>
      </c>
      <c r="N917" s="1" t="s">
        <v>599</v>
      </c>
      <c r="O917">
        <v>69.007999999999996</v>
      </c>
      <c r="P917">
        <v>2</v>
      </c>
      <c r="Q917">
        <v>12.0764</v>
      </c>
      <c r="R917" s="1" t="s">
        <v>4424</v>
      </c>
      <c r="S917">
        <v>2014</v>
      </c>
      <c r="T917" s="1" t="s">
        <v>66</v>
      </c>
    </row>
    <row r="918" spans="1:20" x14ac:dyDescent="0.25">
      <c r="A918" s="1" t="s">
        <v>2801</v>
      </c>
      <c r="B918" s="2">
        <v>42446</v>
      </c>
      <c r="C918" s="2">
        <v>42446</v>
      </c>
      <c r="D918" s="1" t="s">
        <v>417</v>
      </c>
      <c r="E918" s="1" t="s">
        <v>2781</v>
      </c>
      <c r="F918" s="1" t="s">
        <v>2782</v>
      </c>
      <c r="G918" s="1" t="s">
        <v>24</v>
      </c>
      <c r="H918" s="1" t="s">
        <v>149</v>
      </c>
      <c r="I918" s="1" t="s">
        <v>1080</v>
      </c>
      <c r="J918" s="1" t="s">
        <v>63</v>
      </c>
      <c r="K918" s="1" t="s">
        <v>781</v>
      </c>
      <c r="L918" s="1" t="s">
        <v>29</v>
      </c>
      <c r="M918" s="1" t="s">
        <v>53</v>
      </c>
      <c r="N918" s="1" t="s">
        <v>782</v>
      </c>
      <c r="O918">
        <v>971.5</v>
      </c>
      <c r="P918">
        <v>5</v>
      </c>
      <c r="Q918">
        <v>252.59</v>
      </c>
      <c r="R918" s="1" t="s">
        <v>4427</v>
      </c>
      <c r="S918">
        <v>2016</v>
      </c>
      <c r="T918" s="1" t="s">
        <v>187</v>
      </c>
    </row>
    <row r="919" spans="1:20" x14ac:dyDescent="0.25">
      <c r="A919" s="1" t="s">
        <v>2802</v>
      </c>
      <c r="B919" s="2">
        <v>41993</v>
      </c>
      <c r="C919" s="2">
        <v>42000</v>
      </c>
      <c r="D919" s="1" t="s">
        <v>37</v>
      </c>
      <c r="E919" s="1" t="s">
        <v>2624</v>
      </c>
      <c r="F919" s="1" t="s">
        <v>2625</v>
      </c>
      <c r="G919" s="1" t="s">
        <v>24</v>
      </c>
      <c r="H919" s="1" t="s">
        <v>2803</v>
      </c>
      <c r="I919" s="1" t="s">
        <v>223</v>
      </c>
      <c r="J919" s="1" t="s">
        <v>63</v>
      </c>
      <c r="K919" s="1" t="s">
        <v>210</v>
      </c>
      <c r="L919" s="1" t="s">
        <v>29</v>
      </c>
      <c r="M919" s="1" t="s">
        <v>53</v>
      </c>
      <c r="N919" s="1" t="s">
        <v>211</v>
      </c>
      <c r="O919">
        <v>190.84800000000001</v>
      </c>
      <c r="P919">
        <v>3</v>
      </c>
      <c r="Q919">
        <v>-21.470400000000001</v>
      </c>
      <c r="R919" s="1" t="s">
        <v>4421</v>
      </c>
      <c r="S919">
        <v>2014</v>
      </c>
      <c r="T919" s="1" t="s">
        <v>90</v>
      </c>
    </row>
    <row r="920" spans="1:20" x14ac:dyDescent="0.25">
      <c r="A920" s="1" t="s">
        <v>2804</v>
      </c>
      <c r="B920" s="2">
        <v>42873</v>
      </c>
      <c r="C920" s="2">
        <v>42874</v>
      </c>
      <c r="D920" s="1" t="s">
        <v>81</v>
      </c>
      <c r="E920" s="1" t="s">
        <v>1158</v>
      </c>
      <c r="F920" s="1" t="s">
        <v>1159</v>
      </c>
      <c r="G920" s="1" t="s">
        <v>84</v>
      </c>
      <c r="H920" s="1" t="s">
        <v>2805</v>
      </c>
      <c r="I920" s="1" t="s">
        <v>658</v>
      </c>
      <c r="J920" s="1" t="s">
        <v>27</v>
      </c>
      <c r="K920" s="1" t="s">
        <v>2806</v>
      </c>
      <c r="L920" s="1" t="s">
        <v>29</v>
      </c>
      <c r="M920" s="1" t="s">
        <v>30</v>
      </c>
      <c r="N920" s="1" t="s">
        <v>2807</v>
      </c>
      <c r="O920">
        <v>302.94</v>
      </c>
      <c r="P920">
        <v>3</v>
      </c>
      <c r="Q920">
        <v>75.734999999999999</v>
      </c>
      <c r="R920" s="1" t="s">
        <v>4425</v>
      </c>
      <c r="S920">
        <v>2017</v>
      </c>
      <c r="T920" s="1" t="s">
        <v>153</v>
      </c>
    </row>
    <row r="921" spans="1:20" x14ac:dyDescent="0.25">
      <c r="A921" s="1" t="s">
        <v>2808</v>
      </c>
      <c r="B921" s="2">
        <v>42815</v>
      </c>
      <c r="C921" s="2">
        <v>42821</v>
      </c>
      <c r="D921" s="1" t="s">
        <v>37</v>
      </c>
      <c r="E921" s="1" t="s">
        <v>2217</v>
      </c>
      <c r="F921" s="1" t="s">
        <v>2218</v>
      </c>
      <c r="G921" s="1" t="s">
        <v>24</v>
      </c>
      <c r="H921" s="1" t="s">
        <v>2012</v>
      </c>
      <c r="I921" s="1" t="s">
        <v>1513</v>
      </c>
      <c r="J921" s="1" t="s">
        <v>87</v>
      </c>
      <c r="K921" s="1" t="s">
        <v>2325</v>
      </c>
      <c r="L921" s="1" t="s">
        <v>29</v>
      </c>
      <c r="M921" s="1" t="s">
        <v>34</v>
      </c>
      <c r="N921" s="1" t="s">
        <v>2326</v>
      </c>
      <c r="O921">
        <v>1805.88</v>
      </c>
      <c r="P921">
        <v>6</v>
      </c>
      <c r="Q921">
        <v>523.70519999999999</v>
      </c>
      <c r="R921" s="1" t="s">
        <v>4426</v>
      </c>
      <c r="S921">
        <v>2017</v>
      </c>
      <c r="T921" s="1" t="s">
        <v>187</v>
      </c>
    </row>
    <row r="922" spans="1:20" x14ac:dyDescent="0.25">
      <c r="A922" s="1" t="s">
        <v>2809</v>
      </c>
      <c r="B922" s="2">
        <v>42677</v>
      </c>
      <c r="C922" s="2">
        <v>42682</v>
      </c>
      <c r="D922" s="1" t="s">
        <v>21</v>
      </c>
      <c r="E922" s="1" t="s">
        <v>1056</v>
      </c>
      <c r="F922" s="1" t="s">
        <v>1057</v>
      </c>
      <c r="G922" s="1" t="s">
        <v>24</v>
      </c>
      <c r="H922" s="1" t="s">
        <v>25</v>
      </c>
      <c r="I922" s="1" t="s">
        <v>26</v>
      </c>
      <c r="J922" s="1" t="s">
        <v>27</v>
      </c>
      <c r="K922" s="1" t="s">
        <v>950</v>
      </c>
      <c r="L922" s="1" t="s">
        <v>29</v>
      </c>
      <c r="M922" s="1" t="s">
        <v>53</v>
      </c>
      <c r="N922" s="1" t="s">
        <v>951</v>
      </c>
      <c r="O922">
        <v>24.1</v>
      </c>
      <c r="P922">
        <v>5</v>
      </c>
      <c r="Q922">
        <v>9.1579999999999995</v>
      </c>
      <c r="R922" s="1" t="s">
        <v>4422</v>
      </c>
      <c r="S922">
        <v>2016</v>
      </c>
      <c r="T922" s="1" t="s">
        <v>32</v>
      </c>
    </row>
    <row r="923" spans="1:20" x14ac:dyDescent="0.25">
      <c r="A923" s="1" t="s">
        <v>2809</v>
      </c>
      <c r="B923" s="2">
        <v>42677</v>
      </c>
      <c r="C923" s="2">
        <v>42682</v>
      </c>
      <c r="D923" s="1" t="s">
        <v>21</v>
      </c>
      <c r="E923" s="1" t="s">
        <v>1056</v>
      </c>
      <c r="F923" s="1" t="s">
        <v>1057</v>
      </c>
      <c r="G923" s="1" t="s">
        <v>24</v>
      </c>
      <c r="H923" s="1" t="s">
        <v>25</v>
      </c>
      <c r="I923" s="1" t="s">
        <v>26</v>
      </c>
      <c r="J923" s="1" t="s">
        <v>27</v>
      </c>
      <c r="K923" s="1" t="s">
        <v>2810</v>
      </c>
      <c r="L923" s="1" t="s">
        <v>29</v>
      </c>
      <c r="M923" s="1" t="s">
        <v>43</v>
      </c>
      <c r="N923" s="1" t="s">
        <v>2811</v>
      </c>
      <c r="O923">
        <v>842.94</v>
      </c>
      <c r="P923">
        <v>3</v>
      </c>
      <c r="Q923">
        <v>160.15860000000001</v>
      </c>
      <c r="R923" s="1" t="s">
        <v>4422</v>
      </c>
      <c r="S923">
        <v>2016</v>
      </c>
      <c r="T923" s="1" t="s">
        <v>32</v>
      </c>
    </row>
    <row r="924" spans="1:20" x14ac:dyDescent="0.25">
      <c r="A924" s="1" t="s">
        <v>2812</v>
      </c>
      <c r="B924" s="2">
        <v>42174</v>
      </c>
      <c r="C924" s="2">
        <v>42178</v>
      </c>
      <c r="D924" s="1" t="s">
        <v>37</v>
      </c>
      <c r="E924" s="1" t="s">
        <v>318</v>
      </c>
      <c r="F924" s="1" t="s">
        <v>319</v>
      </c>
      <c r="G924" s="1" t="s">
        <v>24</v>
      </c>
      <c r="H924" s="1" t="s">
        <v>49</v>
      </c>
      <c r="I924" s="1" t="s">
        <v>50</v>
      </c>
      <c r="J924" s="1" t="s">
        <v>51</v>
      </c>
      <c r="K924" s="1" t="s">
        <v>668</v>
      </c>
      <c r="L924" s="1" t="s">
        <v>29</v>
      </c>
      <c r="M924" s="1" t="s">
        <v>53</v>
      </c>
      <c r="N924" s="1" t="s">
        <v>669</v>
      </c>
      <c r="O924">
        <v>12.56</v>
      </c>
      <c r="P924">
        <v>2</v>
      </c>
      <c r="Q924">
        <v>4.0191999999999997</v>
      </c>
      <c r="R924" s="1" t="s">
        <v>4424</v>
      </c>
      <c r="S924">
        <v>2015</v>
      </c>
      <c r="T924" s="1" t="s">
        <v>55</v>
      </c>
    </row>
    <row r="925" spans="1:20" x14ac:dyDescent="0.25">
      <c r="A925" s="1" t="s">
        <v>2813</v>
      </c>
      <c r="B925" s="2">
        <v>42555</v>
      </c>
      <c r="C925" s="2">
        <v>42557</v>
      </c>
      <c r="D925" s="1" t="s">
        <v>81</v>
      </c>
      <c r="E925" s="1" t="s">
        <v>2684</v>
      </c>
      <c r="F925" s="1" t="s">
        <v>2685</v>
      </c>
      <c r="G925" s="1" t="s">
        <v>24</v>
      </c>
      <c r="H925" s="1" t="s">
        <v>320</v>
      </c>
      <c r="I925" s="1" t="s">
        <v>50</v>
      </c>
      <c r="J925" s="1" t="s">
        <v>51</v>
      </c>
      <c r="K925" s="1" t="s">
        <v>652</v>
      </c>
      <c r="L925" s="1" t="s">
        <v>29</v>
      </c>
      <c r="M925" s="1" t="s">
        <v>53</v>
      </c>
      <c r="N925" s="1" t="s">
        <v>653</v>
      </c>
      <c r="O925">
        <v>25.4</v>
      </c>
      <c r="P925">
        <v>5</v>
      </c>
      <c r="Q925">
        <v>8.6359999999999992</v>
      </c>
      <c r="R925" s="1" t="s">
        <v>4423</v>
      </c>
      <c r="S925">
        <v>2016</v>
      </c>
      <c r="T925" s="1" t="s">
        <v>66</v>
      </c>
    </row>
    <row r="926" spans="1:20" x14ac:dyDescent="0.25">
      <c r="A926" s="1" t="s">
        <v>2813</v>
      </c>
      <c r="B926" s="2">
        <v>42555</v>
      </c>
      <c r="C926" s="2">
        <v>42557</v>
      </c>
      <c r="D926" s="1" t="s">
        <v>81</v>
      </c>
      <c r="E926" s="1" t="s">
        <v>2684</v>
      </c>
      <c r="F926" s="1" t="s">
        <v>2685</v>
      </c>
      <c r="G926" s="1" t="s">
        <v>24</v>
      </c>
      <c r="H926" s="1" t="s">
        <v>320</v>
      </c>
      <c r="I926" s="1" t="s">
        <v>50</v>
      </c>
      <c r="J926" s="1" t="s">
        <v>51</v>
      </c>
      <c r="K926" s="1" t="s">
        <v>990</v>
      </c>
      <c r="L926" s="1" t="s">
        <v>29</v>
      </c>
      <c r="M926" s="1" t="s">
        <v>30</v>
      </c>
      <c r="N926" s="1" t="s">
        <v>991</v>
      </c>
      <c r="O926">
        <v>1279.165</v>
      </c>
      <c r="P926">
        <v>5</v>
      </c>
      <c r="Q926">
        <v>225.73500000000001</v>
      </c>
      <c r="R926" s="1" t="s">
        <v>4423</v>
      </c>
      <c r="S926">
        <v>2016</v>
      </c>
      <c r="T926" s="1" t="s">
        <v>66</v>
      </c>
    </row>
    <row r="927" spans="1:20" x14ac:dyDescent="0.25">
      <c r="A927" s="1" t="s">
        <v>2814</v>
      </c>
      <c r="B927" s="2">
        <v>42250</v>
      </c>
      <c r="C927" s="2">
        <v>42255</v>
      </c>
      <c r="D927" s="1" t="s">
        <v>37</v>
      </c>
      <c r="E927" s="1" t="s">
        <v>2815</v>
      </c>
      <c r="F927" s="1" t="s">
        <v>2816</v>
      </c>
      <c r="G927" s="1" t="s">
        <v>94</v>
      </c>
      <c r="H927" s="1" t="s">
        <v>320</v>
      </c>
      <c r="I927" s="1" t="s">
        <v>50</v>
      </c>
      <c r="J927" s="1" t="s">
        <v>51</v>
      </c>
      <c r="K927" s="1" t="s">
        <v>486</v>
      </c>
      <c r="L927" s="1" t="s">
        <v>29</v>
      </c>
      <c r="M927" s="1" t="s">
        <v>34</v>
      </c>
      <c r="N927" s="1" t="s">
        <v>487</v>
      </c>
      <c r="O927">
        <v>129.56800000000001</v>
      </c>
      <c r="P927">
        <v>2</v>
      </c>
      <c r="Q927">
        <v>-12.956799999999999</v>
      </c>
      <c r="R927" s="1" t="s">
        <v>4422</v>
      </c>
      <c r="S927">
        <v>2015</v>
      </c>
      <c r="T927" s="1" t="s">
        <v>72</v>
      </c>
    </row>
    <row r="928" spans="1:20" x14ac:dyDescent="0.25">
      <c r="A928" s="1" t="s">
        <v>2817</v>
      </c>
      <c r="B928" s="2">
        <v>43006</v>
      </c>
      <c r="C928" s="2">
        <v>43009</v>
      </c>
      <c r="D928" s="1" t="s">
        <v>81</v>
      </c>
      <c r="E928" s="1" t="s">
        <v>756</v>
      </c>
      <c r="F928" s="1" t="s">
        <v>757</v>
      </c>
      <c r="G928" s="1" t="s">
        <v>94</v>
      </c>
      <c r="H928" s="1" t="s">
        <v>171</v>
      </c>
      <c r="I928" s="1" t="s">
        <v>172</v>
      </c>
      <c r="J928" s="1" t="s">
        <v>51</v>
      </c>
      <c r="K928" s="1" t="s">
        <v>631</v>
      </c>
      <c r="L928" s="1" t="s">
        <v>29</v>
      </c>
      <c r="M928" s="1" t="s">
        <v>53</v>
      </c>
      <c r="N928" s="1" t="s">
        <v>632</v>
      </c>
      <c r="O928">
        <v>32.776000000000003</v>
      </c>
      <c r="P928">
        <v>1</v>
      </c>
      <c r="Q928">
        <v>3.2776000000000001</v>
      </c>
      <c r="R928" s="1" t="s">
        <v>4420</v>
      </c>
      <c r="S928">
        <v>2017</v>
      </c>
      <c r="T928" s="1" t="s">
        <v>72</v>
      </c>
    </row>
    <row r="929" spans="1:20" x14ac:dyDescent="0.25">
      <c r="A929" s="1" t="s">
        <v>2818</v>
      </c>
      <c r="B929" s="2">
        <v>43063</v>
      </c>
      <c r="C929" s="2">
        <v>43070</v>
      </c>
      <c r="D929" s="1" t="s">
        <v>37</v>
      </c>
      <c r="E929" s="1" t="s">
        <v>1665</v>
      </c>
      <c r="F929" s="1" t="s">
        <v>1666</v>
      </c>
      <c r="G929" s="1" t="s">
        <v>24</v>
      </c>
      <c r="H929" s="1" t="s">
        <v>165</v>
      </c>
      <c r="I929" s="1" t="s">
        <v>114</v>
      </c>
      <c r="J929" s="1" t="s">
        <v>63</v>
      </c>
      <c r="K929" s="1" t="s">
        <v>1860</v>
      </c>
      <c r="L929" s="1" t="s">
        <v>29</v>
      </c>
      <c r="M929" s="1" t="s">
        <v>30</v>
      </c>
      <c r="N929" s="1" t="s">
        <v>1861</v>
      </c>
      <c r="O929">
        <v>321.56799999999998</v>
      </c>
      <c r="P929">
        <v>2</v>
      </c>
      <c r="Q929">
        <v>-16.078399999999998</v>
      </c>
      <c r="R929" s="1" t="s">
        <v>4421</v>
      </c>
      <c r="S929">
        <v>2017</v>
      </c>
      <c r="T929" s="1" t="s">
        <v>32</v>
      </c>
    </row>
    <row r="930" spans="1:20" x14ac:dyDescent="0.25">
      <c r="A930" s="1" t="s">
        <v>2819</v>
      </c>
      <c r="B930" s="2">
        <v>42863</v>
      </c>
      <c r="C930" s="2">
        <v>42867</v>
      </c>
      <c r="D930" s="1" t="s">
        <v>37</v>
      </c>
      <c r="E930" s="1" t="s">
        <v>389</v>
      </c>
      <c r="F930" s="1" t="s">
        <v>390</v>
      </c>
      <c r="G930" s="1" t="s">
        <v>84</v>
      </c>
      <c r="H930" s="1" t="s">
        <v>61</v>
      </c>
      <c r="I930" s="1" t="s">
        <v>62</v>
      </c>
      <c r="J930" s="1" t="s">
        <v>63</v>
      </c>
      <c r="K930" s="1" t="s">
        <v>2419</v>
      </c>
      <c r="L930" s="1" t="s">
        <v>29</v>
      </c>
      <c r="M930" s="1" t="s">
        <v>34</v>
      </c>
      <c r="N930" s="1" t="s">
        <v>2420</v>
      </c>
      <c r="O930">
        <v>128.05799999999999</v>
      </c>
      <c r="P930">
        <v>3</v>
      </c>
      <c r="Q930">
        <v>-23.7822</v>
      </c>
      <c r="R930" s="1" t="s">
        <v>4424</v>
      </c>
      <c r="S930">
        <v>2017</v>
      </c>
      <c r="T930" s="1" t="s">
        <v>153</v>
      </c>
    </row>
    <row r="931" spans="1:20" x14ac:dyDescent="0.25">
      <c r="A931" s="1" t="s">
        <v>2820</v>
      </c>
      <c r="B931" s="2">
        <v>43007</v>
      </c>
      <c r="C931" s="2">
        <v>43007</v>
      </c>
      <c r="D931" s="1" t="s">
        <v>417</v>
      </c>
      <c r="E931" s="1" t="s">
        <v>220</v>
      </c>
      <c r="F931" s="1" t="s">
        <v>221</v>
      </c>
      <c r="G931" s="1" t="s">
        <v>94</v>
      </c>
      <c r="H931" s="1" t="s">
        <v>2821</v>
      </c>
      <c r="I931" s="1" t="s">
        <v>223</v>
      </c>
      <c r="J931" s="1" t="s">
        <v>63</v>
      </c>
      <c r="K931" s="1" t="s">
        <v>1608</v>
      </c>
      <c r="L931" s="1" t="s">
        <v>29</v>
      </c>
      <c r="M931" s="1" t="s">
        <v>34</v>
      </c>
      <c r="N931" s="1" t="s">
        <v>1609</v>
      </c>
      <c r="O931">
        <v>63.686</v>
      </c>
      <c r="P931">
        <v>1</v>
      </c>
      <c r="Q931">
        <v>-15.4666</v>
      </c>
      <c r="R931" s="1" t="s">
        <v>4427</v>
      </c>
      <c r="S931">
        <v>2017</v>
      </c>
      <c r="T931" s="1" t="s">
        <v>72</v>
      </c>
    </row>
    <row r="932" spans="1:20" x14ac:dyDescent="0.25">
      <c r="A932" s="1" t="s">
        <v>2820</v>
      </c>
      <c r="B932" s="2">
        <v>43007</v>
      </c>
      <c r="C932" s="2">
        <v>43007</v>
      </c>
      <c r="D932" s="1" t="s">
        <v>417</v>
      </c>
      <c r="E932" s="1" t="s">
        <v>220</v>
      </c>
      <c r="F932" s="1" t="s">
        <v>221</v>
      </c>
      <c r="G932" s="1" t="s">
        <v>94</v>
      </c>
      <c r="H932" s="1" t="s">
        <v>2821</v>
      </c>
      <c r="I932" s="1" t="s">
        <v>223</v>
      </c>
      <c r="J932" s="1" t="s">
        <v>63</v>
      </c>
      <c r="K932" s="1" t="s">
        <v>2822</v>
      </c>
      <c r="L932" s="1" t="s">
        <v>29</v>
      </c>
      <c r="M932" s="1" t="s">
        <v>43</v>
      </c>
      <c r="N932" s="1" t="s">
        <v>2823</v>
      </c>
      <c r="O932">
        <v>344.22</v>
      </c>
      <c r="P932">
        <v>2</v>
      </c>
      <c r="Q932">
        <v>-189.321</v>
      </c>
      <c r="R932" s="1" t="s">
        <v>4427</v>
      </c>
      <c r="S932">
        <v>2017</v>
      </c>
      <c r="T932" s="1" t="s">
        <v>72</v>
      </c>
    </row>
    <row r="933" spans="1:20" x14ac:dyDescent="0.25">
      <c r="A933" s="1" t="s">
        <v>2820</v>
      </c>
      <c r="B933" s="2">
        <v>43007</v>
      </c>
      <c r="C933" s="2">
        <v>43007</v>
      </c>
      <c r="D933" s="1" t="s">
        <v>417</v>
      </c>
      <c r="E933" s="1" t="s">
        <v>220</v>
      </c>
      <c r="F933" s="1" t="s">
        <v>221</v>
      </c>
      <c r="G933" s="1" t="s">
        <v>94</v>
      </c>
      <c r="H933" s="1" t="s">
        <v>2821</v>
      </c>
      <c r="I933" s="1" t="s">
        <v>223</v>
      </c>
      <c r="J933" s="1" t="s">
        <v>63</v>
      </c>
      <c r="K933" s="1" t="s">
        <v>2317</v>
      </c>
      <c r="L933" s="1" t="s">
        <v>29</v>
      </c>
      <c r="M933" s="1" t="s">
        <v>53</v>
      </c>
      <c r="N933" s="1" t="s">
        <v>2318</v>
      </c>
      <c r="O933">
        <v>21.248000000000001</v>
      </c>
      <c r="P933">
        <v>4</v>
      </c>
      <c r="Q933">
        <v>7.4367999999999999</v>
      </c>
      <c r="R933" s="1" t="s">
        <v>4427</v>
      </c>
      <c r="S933">
        <v>2017</v>
      </c>
      <c r="T933" s="1" t="s">
        <v>72</v>
      </c>
    </row>
    <row r="934" spans="1:20" x14ac:dyDescent="0.25">
      <c r="A934" s="1" t="s">
        <v>2824</v>
      </c>
      <c r="B934" s="2">
        <v>43030</v>
      </c>
      <c r="C934" s="2">
        <v>43030</v>
      </c>
      <c r="D934" s="1" t="s">
        <v>417</v>
      </c>
      <c r="E934" s="1" t="s">
        <v>1014</v>
      </c>
      <c r="F934" s="1" t="s">
        <v>1015</v>
      </c>
      <c r="G934" s="1" t="s">
        <v>24</v>
      </c>
      <c r="H934" s="1" t="s">
        <v>2825</v>
      </c>
      <c r="I934" s="1" t="s">
        <v>1513</v>
      </c>
      <c r="J934" s="1" t="s">
        <v>87</v>
      </c>
      <c r="K934" s="1" t="s">
        <v>282</v>
      </c>
      <c r="L934" s="1" t="s">
        <v>29</v>
      </c>
      <c r="M934" s="1" t="s">
        <v>43</v>
      </c>
      <c r="N934" s="1" t="s">
        <v>283</v>
      </c>
      <c r="O934">
        <v>248.98</v>
      </c>
      <c r="P934">
        <v>2</v>
      </c>
      <c r="Q934">
        <v>54.775599999999997</v>
      </c>
      <c r="R934" s="1" t="s">
        <v>4427</v>
      </c>
      <c r="S934">
        <v>2017</v>
      </c>
      <c r="T934" s="1" t="s">
        <v>45</v>
      </c>
    </row>
    <row r="935" spans="1:20" x14ac:dyDescent="0.25">
      <c r="A935" s="1" t="s">
        <v>2826</v>
      </c>
      <c r="B935" s="2">
        <v>42961</v>
      </c>
      <c r="C935" s="2">
        <v>42968</v>
      </c>
      <c r="D935" s="1" t="s">
        <v>37</v>
      </c>
      <c r="E935" s="1" t="s">
        <v>2645</v>
      </c>
      <c r="F935" s="1" t="s">
        <v>2646</v>
      </c>
      <c r="G935" s="1" t="s">
        <v>24</v>
      </c>
      <c r="H935" s="1" t="s">
        <v>49</v>
      </c>
      <c r="I935" s="1" t="s">
        <v>50</v>
      </c>
      <c r="J935" s="1" t="s">
        <v>51</v>
      </c>
      <c r="K935" s="1" t="s">
        <v>775</v>
      </c>
      <c r="L935" s="1" t="s">
        <v>29</v>
      </c>
      <c r="M935" s="1" t="s">
        <v>43</v>
      </c>
      <c r="N935" s="1" t="s">
        <v>776</v>
      </c>
      <c r="O935">
        <v>418.29599999999999</v>
      </c>
      <c r="P935">
        <v>3</v>
      </c>
      <c r="Q935">
        <v>5.2286999999999999</v>
      </c>
      <c r="R935" s="1" t="s">
        <v>4421</v>
      </c>
      <c r="S935">
        <v>2017</v>
      </c>
      <c r="T935" s="1" t="s">
        <v>245</v>
      </c>
    </row>
    <row r="936" spans="1:20" x14ac:dyDescent="0.25">
      <c r="A936" s="1" t="s">
        <v>2827</v>
      </c>
      <c r="B936" s="2">
        <v>41974</v>
      </c>
      <c r="C936" s="2">
        <v>41976</v>
      </c>
      <c r="D936" s="1" t="s">
        <v>21</v>
      </c>
      <c r="E936" s="1" t="s">
        <v>2828</v>
      </c>
      <c r="F936" s="1" t="s">
        <v>2829</v>
      </c>
      <c r="G936" s="1" t="s">
        <v>24</v>
      </c>
      <c r="H936" s="1" t="s">
        <v>339</v>
      </c>
      <c r="I936" s="1" t="s">
        <v>223</v>
      </c>
      <c r="J936" s="1" t="s">
        <v>63</v>
      </c>
      <c r="K936" s="1" t="s">
        <v>652</v>
      </c>
      <c r="L936" s="1" t="s">
        <v>29</v>
      </c>
      <c r="M936" s="1" t="s">
        <v>53</v>
      </c>
      <c r="N936" s="1" t="s">
        <v>653</v>
      </c>
      <c r="O936">
        <v>8.1280000000000001</v>
      </c>
      <c r="P936">
        <v>2</v>
      </c>
      <c r="Q936">
        <v>1.4224000000000001</v>
      </c>
      <c r="R936" s="1" t="s">
        <v>4423</v>
      </c>
      <c r="S936">
        <v>2014</v>
      </c>
      <c r="T936" s="1" t="s">
        <v>90</v>
      </c>
    </row>
    <row r="937" spans="1:20" x14ac:dyDescent="0.25">
      <c r="A937" s="1" t="s">
        <v>2827</v>
      </c>
      <c r="B937" s="2">
        <v>41974</v>
      </c>
      <c r="C937" s="2">
        <v>41976</v>
      </c>
      <c r="D937" s="1" t="s">
        <v>21</v>
      </c>
      <c r="E937" s="1" t="s">
        <v>2828</v>
      </c>
      <c r="F937" s="1" t="s">
        <v>2829</v>
      </c>
      <c r="G937" s="1" t="s">
        <v>24</v>
      </c>
      <c r="H937" s="1" t="s">
        <v>339</v>
      </c>
      <c r="I937" s="1" t="s">
        <v>223</v>
      </c>
      <c r="J937" s="1" t="s">
        <v>63</v>
      </c>
      <c r="K937" s="1" t="s">
        <v>470</v>
      </c>
      <c r="L937" s="1" t="s">
        <v>29</v>
      </c>
      <c r="M937" s="1" t="s">
        <v>34</v>
      </c>
      <c r="N937" s="1" t="s">
        <v>471</v>
      </c>
      <c r="O937">
        <v>909.72</v>
      </c>
      <c r="P937">
        <v>6</v>
      </c>
      <c r="Q937">
        <v>-51.984000000000002</v>
      </c>
      <c r="R937" s="1" t="s">
        <v>4423</v>
      </c>
      <c r="S937">
        <v>2014</v>
      </c>
      <c r="T937" s="1" t="s">
        <v>90</v>
      </c>
    </row>
    <row r="938" spans="1:20" x14ac:dyDescent="0.25">
      <c r="A938" s="1" t="s">
        <v>2830</v>
      </c>
      <c r="B938" s="2">
        <v>42904</v>
      </c>
      <c r="C938" s="2">
        <v>42909</v>
      </c>
      <c r="D938" s="1" t="s">
        <v>37</v>
      </c>
      <c r="E938" s="1" t="s">
        <v>2831</v>
      </c>
      <c r="F938" s="1" t="s">
        <v>2832</v>
      </c>
      <c r="G938" s="1" t="s">
        <v>24</v>
      </c>
      <c r="H938" s="1" t="s">
        <v>49</v>
      </c>
      <c r="I938" s="1" t="s">
        <v>50</v>
      </c>
      <c r="J938" s="1" t="s">
        <v>51</v>
      </c>
      <c r="K938" s="1" t="s">
        <v>701</v>
      </c>
      <c r="L938" s="1" t="s">
        <v>29</v>
      </c>
      <c r="M938" s="1" t="s">
        <v>30</v>
      </c>
      <c r="N938" s="1" t="s">
        <v>702</v>
      </c>
      <c r="O938">
        <v>917.92349999999999</v>
      </c>
      <c r="P938">
        <v>9</v>
      </c>
      <c r="Q938">
        <v>75.593699999999998</v>
      </c>
      <c r="R938" s="1" t="s">
        <v>4422</v>
      </c>
      <c r="S938">
        <v>2017</v>
      </c>
      <c r="T938" s="1" t="s">
        <v>55</v>
      </c>
    </row>
    <row r="939" spans="1:20" x14ac:dyDescent="0.25">
      <c r="A939" s="1" t="s">
        <v>2833</v>
      </c>
      <c r="B939" s="2">
        <v>41997</v>
      </c>
      <c r="C939" s="2">
        <v>42002</v>
      </c>
      <c r="D939" s="1" t="s">
        <v>37</v>
      </c>
      <c r="E939" s="1" t="s">
        <v>1728</v>
      </c>
      <c r="F939" s="1" t="s">
        <v>1729</v>
      </c>
      <c r="G939" s="1" t="s">
        <v>94</v>
      </c>
      <c r="H939" s="1" t="s">
        <v>49</v>
      </c>
      <c r="I939" s="1" t="s">
        <v>50</v>
      </c>
      <c r="J939" s="1" t="s">
        <v>51</v>
      </c>
      <c r="K939" s="1" t="s">
        <v>1171</v>
      </c>
      <c r="L939" s="1" t="s">
        <v>29</v>
      </c>
      <c r="M939" s="1" t="s">
        <v>53</v>
      </c>
      <c r="N939" s="1" t="s">
        <v>1172</v>
      </c>
      <c r="O939">
        <v>23.99</v>
      </c>
      <c r="P939">
        <v>1</v>
      </c>
      <c r="Q939">
        <v>5.5176999999999996</v>
      </c>
      <c r="R939" s="1" t="s">
        <v>4422</v>
      </c>
      <c r="S939">
        <v>2014</v>
      </c>
      <c r="T939" s="1" t="s">
        <v>90</v>
      </c>
    </row>
    <row r="940" spans="1:20" x14ac:dyDescent="0.25">
      <c r="A940" s="1" t="s">
        <v>2834</v>
      </c>
      <c r="B940" s="2">
        <v>42878</v>
      </c>
      <c r="C940" s="2">
        <v>42884</v>
      </c>
      <c r="D940" s="1" t="s">
        <v>37</v>
      </c>
      <c r="E940" s="1" t="s">
        <v>2835</v>
      </c>
      <c r="F940" s="1" t="s">
        <v>2836</v>
      </c>
      <c r="G940" s="1" t="s">
        <v>24</v>
      </c>
      <c r="H940" s="1" t="s">
        <v>49</v>
      </c>
      <c r="I940" s="1" t="s">
        <v>50</v>
      </c>
      <c r="J940" s="1" t="s">
        <v>51</v>
      </c>
      <c r="K940" s="1" t="s">
        <v>898</v>
      </c>
      <c r="L940" s="1" t="s">
        <v>29</v>
      </c>
      <c r="M940" s="1" t="s">
        <v>43</v>
      </c>
      <c r="N940" s="1" t="s">
        <v>899</v>
      </c>
      <c r="O940">
        <v>171.28800000000001</v>
      </c>
      <c r="P940">
        <v>3</v>
      </c>
      <c r="Q940">
        <v>-6.4233000000000002</v>
      </c>
      <c r="R940" s="1" t="s">
        <v>4426</v>
      </c>
      <c r="S940">
        <v>2017</v>
      </c>
      <c r="T940" s="1" t="s">
        <v>153</v>
      </c>
    </row>
    <row r="941" spans="1:20" x14ac:dyDescent="0.25">
      <c r="A941" s="1" t="s">
        <v>2837</v>
      </c>
      <c r="B941" s="2">
        <v>42684</v>
      </c>
      <c r="C941" s="2">
        <v>42688</v>
      </c>
      <c r="D941" s="1" t="s">
        <v>37</v>
      </c>
      <c r="E941" s="1" t="s">
        <v>966</v>
      </c>
      <c r="F941" s="1" t="s">
        <v>967</v>
      </c>
      <c r="G941" s="1" t="s">
        <v>84</v>
      </c>
      <c r="H941" s="1" t="s">
        <v>869</v>
      </c>
      <c r="I941" s="1" t="s">
        <v>556</v>
      </c>
      <c r="J941" s="1" t="s">
        <v>87</v>
      </c>
      <c r="K941" s="1" t="s">
        <v>2639</v>
      </c>
      <c r="L941" s="1" t="s">
        <v>29</v>
      </c>
      <c r="M941" s="1" t="s">
        <v>53</v>
      </c>
      <c r="N941" s="1" t="s">
        <v>2640</v>
      </c>
      <c r="O941">
        <v>37.299999999999997</v>
      </c>
      <c r="P941">
        <v>2</v>
      </c>
      <c r="Q941">
        <v>17.158000000000001</v>
      </c>
      <c r="R941" s="1" t="s">
        <v>4424</v>
      </c>
      <c r="S941">
        <v>2016</v>
      </c>
      <c r="T941" s="1" t="s">
        <v>32</v>
      </c>
    </row>
    <row r="942" spans="1:20" x14ac:dyDescent="0.25">
      <c r="A942" s="1" t="s">
        <v>2838</v>
      </c>
      <c r="B942" s="2">
        <v>42670</v>
      </c>
      <c r="C942" s="2">
        <v>42675</v>
      </c>
      <c r="D942" s="1" t="s">
        <v>21</v>
      </c>
      <c r="E942" s="1" t="s">
        <v>2839</v>
      </c>
      <c r="F942" s="1" t="s">
        <v>2840</v>
      </c>
      <c r="G942" s="1" t="s">
        <v>24</v>
      </c>
      <c r="H942" s="1" t="s">
        <v>2841</v>
      </c>
      <c r="I942" s="1" t="s">
        <v>707</v>
      </c>
      <c r="J942" s="1" t="s">
        <v>27</v>
      </c>
      <c r="K942" s="1" t="s">
        <v>1297</v>
      </c>
      <c r="L942" s="1" t="s">
        <v>29</v>
      </c>
      <c r="M942" s="1" t="s">
        <v>34</v>
      </c>
      <c r="N942" s="1" t="s">
        <v>1298</v>
      </c>
      <c r="O942">
        <v>290.98</v>
      </c>
      <c r="P942">
        <v>1</v>
      </c>
      <c r="Q942">
        <v>75.654799999999994</v>
      </c>
      <c r="R942" s="1" t="s">
        <v>4422</v>
      </c>
      <c r="S942">
        <v>2016</v>
      </c>
      <c r="T942" s="1" t="s">
        <v>45</v>
      </c>
    </row>
    <row r="943" spans="1:20" x14ac:dyDescent="0.25">
      <c r="A943" s="1" t="s">
        <v>2842</v>
      </c>
      <c r="B943" s="2">
        <v>41690</v>
      </c>
      <c r="C943" s="2">
        <v>41696</v>
      </c>
      <c r="D943" s="1" t="s">
        <v>37</v>
      </c>
      <c r="E943" s="1" t="s">
        <v>1288</v>
      </c>
      <c r="F943" s="1" t="s">
        <v>1289</v>
      </c>
      <c r="G943" s="1" t="s">
        <v>84</v>
      </c>
      <c r="H943" s="1" t="s">
        <v>626</v>
      </c>
      <c r="I943" s="1" t="s">
        <v>104</v>
      </c>
      <c r="J943" s="1" t="s">
        <v>87</v>
      </c>
      <c r="K943" s="1" t="s">
        <v>652</v>
      </c>
      <c r="L943" s="1" t="s">
        <v>29</v>
      </c>
      <c r="M943" s="1" t="s">
        <v>53</v>
      </c>
      <c r="N943" s="1" t="s">
        <v>653</v>
      </c>
      <c r="O943">
        <v>20.32</v>
      </c>
      <c r="P943">
        <v>4</v>
      </c>
      <c r="Q943">
        <v>6.9088000000000003</v>
      </c>
      <c r="R943" s="1" t="s">
        <v>4426</v>
      </c>
      <c r="S943">
        <v>2014</v>
      </c>
      <c r="T943" s="1" t="s">
        <v>289</v>
      </c>
    </row>
    <row r="944" spans="1:20" x14ac:dyDescent="0.25">
      <c r="A944" s="1" t="s">
        <v>2843</v>
      </c>
      <c r="B944" s="2">
        <v>41945</v>
      </c>
      <c r="C944" s="2">
        <v>41949</v>
      </c>
      <c r="D944" s="1" t="s">
        <v>37</v>
      </c>
      <c r="E944" s="1" t="s">
        <v>2844</v>
      </c>
      <c r="F944" s="1" t="s">
        <v>2845</v>
      </c>
      <c r="G944" s="1" t="s">
        <v>24</v>
      </c>
      <c r="H944" s="1" t="s">
        <v>165</v>
      </c>
      <c r="I944" s="1" t="s">
        <v>114</v>
      </c>
      <c r="J944" s="1" t="s">
        <v>63</v>
      </c>
      <c r="K944" s="1" t="s">
        <v>1195</v>
      </c>
      <c r="L944" s="1" t="s">
        <v>29</v>
      </c>
      <c r="M944" s="1" t="s">
        <v>53</v>
      </c>
      <c r="N944" s="1" t="s">
        <v>1196</v>
      </c>
      <c r="O944">
        <v>89.34</v>
      </c>
      <c r="P944">
        <v>6</v>
      </c>
      <c r="Q944">
        <v>24.1218</v>
      </c>
      <c r="R944" s="1" t="s">
        <v>4424</v>
      </c>
      <c r="S944">
        <v>2014</v>
      </c>
      <c r="T944" s="1" t="s">
        <v>32</v>
      </c>
    </row>
    <row r="945" spans="1:20" x14ac:dyDescent="0.25">
      <c r="A945" s="1" t="s">
        <v>2846</v>
      </c>
      <c r="B945" s="2">
        <v>42933</v>
      </c>
      <c r="C945" s="2">
        <v>42939</v>
      </c>
      <c r="D945" s="1" t="s">
        <v>37</v>
      </c>
      <c r="E945" s="1" t="s">
        <v>1863</v>
      </c>
      <c r="F945" s="1" t="s">
        <v>1864</v>
      </c>
      <c r="G945" s="1" t="s">
        <v>94</v>
      </c>
      <c r="H945" s="1" t="s">
        <v>2847</v>
      </c>
      <c r="I945" s="1" t="s">
        <v>114</v>
      </c>
      <c r="J945" s="1" t="s">
        <v>63</v>
      </c>
      <c r="K945" s="1" t="s">
        <v>78</v>
      </c>
      <c r="L945" s="1" t="s">
        <v>29</v>
      </c>
      <c r="M945" s="1" t="s">
        <v>53</v>
      </c>
      <c r="N945" s="1" t="s">
        <v>1852</v>
      </c>
      <c r="O945">
        <v>39.08</v>
      </c>
      <c r="P945">
        <v>4</v>
      </c>
      <c r="Q945">
        <v>14.4596</v>
      </c>
      <c r="R945" s="1" t="s">
        <v>4426</v>
      </c>
      <c r="S945">
        <v>2017</v>
      </c>
      <c r="T945" s="1" t="s">
        <v>66</v>
      </c>
    </row>
    <row r="946" spans="1:20" x14ac:dyDescent="0.25">
      <c r="A946" s="1" t="s">
        <v>2848</v>
      </c>
      <c r="B946" s="2">
        <v>42688</v>
      </c>
      <c r="C946" s="2">
        <v>42691</v>
      </c>
      <c r="D946" s="1" t="s">
        <v>81</v>
      </c>
      <c r="E946" s="1" t="s">
        <v>1291</v>
      </c>
      <c r="F946" s="1" t="s">
        <v>1292</v>
      </c>
      <c r="G946" s="1" t="s">
        <v>24</v>
      </c>
      <c r="H946" s="1" t="s">
        <v>165</v>
      </c>
      <c r="I946" s="1" t="s">
        <v>114</v>
      </c>
      <c r="J946" s="1" t="s">
        <v>63</v>
      </c>
      <c r="K946" s="1" t="s">
        <v>796</v>
      </c>
      <c r="L946" s="1" t="s">
        <v>29</v>
      </c>
      <c r="M946" s="1" t="s">
        <v>34</v>
      </c>
      <c r="N946" s="1" t="s">
        <v>797</v>
      </c>
      <c r="O946">
        <v>408.00599999999997</v>
      </c>
      <c r="P946">
        <v>2</v>
      </c>
      <c r="Q946">
        <v>72.534400000000005</v>
      </c>
      <c r="R946" s="1" t="s">
        <v>4420</v>
      </c>
      <c r="S946">
        <v>2016</v>
      </c>
      <c r="T946" s="1" t="s">
        <v>32</v>
      </c>
    </row>
    <row r="947" spans="1:20" x14ac:dyDescent="0.25">
      <c r="A947" s="1" t="s">
        <v>2849</v>
      </c>
      <c r="B947" s="2">
        <v>41922</v>
      </c>
      <c r="C947" s="2">
        <v>41922</v>
      </c>
      <c r="D947" s="1" t="s">
        <v>417</v>
      </c>
      <c r="E947" s="1" t="s">
        <v>508</v>
      </c>
      <c r="F947" s="1" t="s">
        <v>509</v>
      </c>
      <c r="G947" s="1" t="s">
        <v>94</v>
      </c>
      <c r="H947" s="1" t="s">
        <v>2850</v>
      </c>
      <c r="I947" s="1" t="s">
        <v>50</v>
      </c>
      <c r="J947" s="1" t="s">
        <v>51</v>
      </c>
      <c r="K947" s="1" t="s">
        <v>64</v>
      </c>
      <c r="L947" s="1" t="s">
        <v>29</v>
      </c>
      <c r="M947" s="1" t="s">
        <v>34</v>
      </c>
      <c r="N947" s="1" t="s">
        <v>65</v>
      </c>
      <c r="O947">
        <v>122.352</v>
      </c>
      <c r="P947">
        <v>3</v>
      </c>
      <c r="Q947">
        <v>13.7646</v>
      </c>
      <c r="R947" s="1" t="s">
        <v>4427</v>
      </c>
      <c r="S947">
        <v>2014</v>
      </c>
      <c r="T947" s="1" t="s">
        <v>45</v>
      </c>
    </row>
    <row r="948" spans="1:20" x14ac:dyDescent="0.25">
      <c r="A948" s="1" t="s">
        <v>2851</v>
      </c>
      <c r="B948" s="2">
        <v>42924</v>
      </c>
      <c r="C948" s="2">
        <v>42928</v>
      </c>
      <c r="D948" s="1" t="s">
        <v>37</v>
      </c>
      <c r="E948" s="1" t="s">
        <v>2852</v>
      </c>
      <c r="F948" s="1" t="s">
        <v>2853</v>
      </c>
      <c r="G948" s="1" t="s">
        <v>94</v>
      </c>
      <c r="H948" s="1" t="s">
        <v>183</v>
      </c>
      <c r="I948" s="1" t="s">
        <v>184</v>
      </c>
      <c r="J948" s="1" t="s">
        <v>51</v>
      </c>
      <c r="K948" s="1" t="s">
        <v>1649</v>
      </c>
      <c r="L948" s="1" t="s">
        <v>29</v>
      </c>
      <c r="M948" s="1" t="s">
        <v>53</v>
      </c>
      <c r="N948" s="1" t="s">
        <v>1650</v>
      </c>
      <c r="O948">
        <v>15.84</v>
      </c>
      <c r="P948">
        <v>3</v>
      </c>
      <c r="Q948">
        <v>4.9104000000000001</v>
      </c>
      <c r="R948" s="1" t="s">
        <v>4424</v>
      </c>
      <c r="S948">
        <v>2017</v>
      </c>
      <c r="T948" s="1" t="s">
        <v>66</v>
      </c>
    </row>
    <row r="949" spans="1:20" x14ac:dyDescent="0.25">
      <c r="A949" s="1" t="s">
        <v>2854</v>
      </c>
      <c r="B949" s="2">
        <v>42062</v>
      </c>
      <c r="C949" s="2">
        <v>42065</v>
      </c>
      <c r="D949" s="1" t="s">
        <v>37</v>
      </c>
      <c r="E949" s="1" t="s">
        <v>2855</v>
      </c>
      <c r="F949" s="1" t="s">
        <v>2856</v>
      </c>
      <c r="G949" s="1" t="s">
        <v>84</v>
      </c>
      <c r="H949" s="1" t="s">
        <v>1635</v>
      </c>
      <c r="I949" s="1" t="s">
        <v>1636</v>
      </c>
      <c r="J949" s="1" t="s">
        <v>63</v>
      </c>
      <c r="K949" s="1" t="s">
        <v>2397</v>
      </c>
      <c r="L949" s="1" t="s">
        <v>29</v>
      </c>
      <c r="M949" s="1" t="s">
        <v>43</v>
      </c>
      <c r="N949" s="1" t="s">
        <v>2398</v>
      </c>
      <c r="O949">
        <v>493.92</v>
      </c>
      <c r="P949">
        <v>7</v>
      </c>
      <c r="Q949">
        <v>-28.224</v>
      </c>
      <c r="R949" s="1" t="s">
        <v>4420</v>
      </c>
      <c r="S949">
        <v>2015</v>
      </c>
      <c r="T949" s="1" t="s">
        <v>289</v>
      </c>
    </row>
    <row r="950" spans="1:20" x14ac:dyDescent="0.25">
      <c r="A950" s="1" t="s">
        <v>2857</v>
      </c>
      <c r="B950" s="2">
        <v>42197</v>
      </c>
      <c r="C950" s="2">
        <v>42202</v>
      </c>
      <c r="D950" s="1" t="s">
        <v>21</v>
      </c>
      <c r="E950" s="1" t="s">
        <v>2858</v>
      </c>
      <c r="F950" s="1" t="s">
        <v>2859</v>
      </c>
      <c r="G950" s="1" t="s">
        <v>24</v>
      </c>
      <c r="H950" s="1" t="s">
        <v>125</v>
      </c>
      <c r="I950" s="1" t="s">
        <v>126</v>
      </c>
      <c r="J950" s="1" t="s">
        <v>87</v>
      </c>
      <c r="K950" s="1" t="s">
        <v>290</v>
      </c>
      <c r="L950" s="1" t="s">
        <v>29</v>
      </c>
      <c r="M950" s="1" t="s">
        <v>34</v>
      </c>
      <c r="N950" s="1" t="s">
        <v>291</v>
      </c>
      <c r="O950">
        <v>383.60700000000003</v>
      </c>
      <c r="P950">
        <v>9</v>
      </c>
      <c r="Q950">
        <v>-5.4801000000000002</v>
      </c>
      <c r="R950" s="1" t="s">
        <v>4422</v>
      </c>
      <c r="S950">
        <v>2015</v>
      </c>
      <c r="T950" s="1" t="s">
        <v>66</v>
      </c>
    </row>
    <row r="951" spans="1:20" x14ac:dyDescent="0.25">
      <c r="A951" s="1" t="s">
        <v>2857</v>
      </c>
      <c r="B951" s="2">
        <v>42197</v>
      </c>
      <c r="C951" s="2">
        <v>42202</v>
      </c>
      <c r="D951" s="1" t="s">
        <v>21</v>
      </c>
      <c r="E951" s="1" t="s">
        <v>2858</v>
      </c>
      <c r="F951" s="1" t="s">
        <v>2859</v>
      </c>
      <c r="G951" s="1" t="s">
        <v>24</v>
      </c>
      <c r="H951" s="1" t="s">
        <v>125</v>
      </c>
      <c r="I951" s="1" t="s">
        <v>126</v>
      </c>
      <c r="J951" s="1" t="s">
        <v>87</v>
      </c>
      <c r="K951" s="1" t="s">
        <v>355</v>
      </c>
      <c r="L951" s="1" t="s">
        <v>29</v>
      </c>
      <c r="M951" s="1" t="s">
        <v>53</v>
      </c>
      <c r="N951" s="1" t="s">
        <v>356</v>
      </c>
      <c r="O951">
        <v>7.76</v>
      </c>
      <c r="P951">
        <v>1</v>
      </c>
      <c r="Q951">
        <v>-2.1339999999999999</v>
      </c>
      <c r="R951" s="1" t="s">
        <v>4422</v>
      </c>
      <c r="S951">
        <v>2015</v>
      </c>
      <c r="T951" s="1" t="s">
        <v>66</v>
      </c>
    </row>
    <row r="952" spans="1:20" x14ac:dyDescent="0.25">
      <c r="A952" s="1" t="s">
        <v>2860</v>
      </c>
      <c r="B952" s="2">
        <v>41833</v>
      </c>
      <c r="C952" s="2">
        <v>41837</v>
      </c>
      <c r="D952" s="1" t="s">
        <v>37</v>
      </c>
      <c r="E952" s="1" t="s">
        <v>2861</v>
      </c>
      <c r="F952" s="1" t="s">
        <v>2862</v>
      </c>
      <c r="G952" s="1" t="s">
        <v>84</v>
      </c>
      <c r="H952" s="1" t="s">
        <v>49</v>
      </c>
      <c r="I952" s="1" t="s">
        <v>50</v>
      </c>
      <c r="J952" s="1" t="s">
        <v>51</v>
      </c>
      <c r="K952" s="1" t="s">
        <v>1618</v>
      </c>
      <c r="L952" s="1" t="s">
        <v>29</v>
      </c>
      <c r="M952" s="1" t="s">
        <v>43</v>
      </c>
      <c r="N952" s="1" t="s">
        <v>1619</v>
      </c>
      <c r="O952">
        <v>351.21600000000001</v>
      </c>
      <c r="P952">
        <v>3</v>
      </c>
      <c r="Q952">
        <v>4.3902000000000001</v>
      </c>
      <c r="R952" s="1" t="s">
        <v>4424</v>
      </c>
      <c r="S952">
        <v>2014</v>
      </c>
      <c r="T952" s="1" t="s">
        <v>66</v>
      </c>
    </row>
    <row r="953" spans="1:20" x14ac:dyDescent="0.25">
      <c r="A953" s="1" t="s">
        <v>2863</v>
      </c>
      <c r="B953" s="2">
        <v>42000</v>
      </c>
      <c r="C953" s="2">
        <v>42006</v>
      </c>
      <c r="D953" s="1" t="s">
        <v>37</v>
      </c>
      <c r="E953" s="1" t="s">
        <v>2864</v>
      </c>
      <c r="F953" s="1" t="s">
        <v>2865</v>
      </c>
      <c r="G953" s="1" t="s">
        <v>24</v>
      </c>
      <c r="H953" s="1" t="s">
        <v>320</v>
      </c>
      <c r="I953" s="1" t="s">
        <v>50</v>
      </c>
      <c r="J953" s="1" t="s">
        <v>51</v>
      </c>
      <c r="K953" s="1" t="s">
        <v>457</v>
      </c>
      <c r="L953" s="1" t="s">
        <v>29</v>
      </c>
      <c r="M953" s="1" t="s">
        <v>34</v>
      </c>
      <c r="N953" s="1" t="s">
        <v>458</v>
      </c>
      <c r="O953">
        <v>230.28</v>
      </c>
      <c r="P953">
        <v>3</v>
      </c>
      <c r="Q953">
        <v>23.027999999999999</v>
      </c>
      <c r="R953" s="1" t="s">
        <v>4426</v>
      </c>
      <c r="S953">
        <v>2014</v>
      </c>
      <c r="T953" s="1" t="s">
        <v>90</v>
      </c>
    </row>
    <row r="954" spans="1:20" x14ac:dyDescent="0.25">
      <c r="A954" s="1" t="s">
        <v>2866</v>
      </c>
      <c r="B954" s="2">
        <v>41764</v>
      </c>
      <c r="C954" s="2">
        <v>41767</v>
      </c>
      <c r="D954" s="1" t="s">
        <v>81</v>
      </c>
      <c r="E954" s="1" t="s">
        <v>68</v>
      </c>
      <c r="F954" s="1" t="s">
        <v>69</v>
      </c>
      <c r="G954" s="1" t="s">
        <v>24</v>
      </c>
      <c r="H954" s="1" t="s">
        <v>237</v>
      </c>
      <c r="I954" s="1" t="s">
        <v>86</v>
      </c>
      <c r="J954" s="1" t="s">
        <v>87</v>
      </c>
      <c r="K954" s="1" t="s">
        <v>127</v>
      </c>
      <c r="L954" s="1" t="s">
        <v>29</v>
      </c>
      <c r="M954" s="1" t="s">
        <v>34</v>
      </c>
      <c r="N954" s="1" t="s">
        <v>128</v>
      </c>
      <c r="O954">
        <v>127.869</v>
      </c>
      <c r="P954">
        <v>3</v>
      </c>
      <c r="Q954">
        <v>-9.1334999999999997</v>
      </c>
      <c r="R954" s="1" t="s">
        <v>4420</v>
      </c>
      <c r="S954">
        <v>2014</v>
      </c>
      <c r="T954" s="1" t="s">
        <v>153</v>
      </c>
    </row>
    <row r="955" spans="1:20" x14ac:dyDescent="0.25">
      <c r="A955" s="1" t="s">
        <v>2867</v>
      </c>
      <c r="B955" s="2">
        <v>42342</v>
      </c>
      <c r="C955" s="2">
        <v>42347</v>
      </c>
      <c r="D955" s="1" t="s">
        <v>21</v>
      </c>
      <c r="E955" s="1" t="s">
        <v>1857</v>
      </c>
      <c r="F955" s="1" t="s">
        <v>1858</v>
      </c>
      <c r="G955" s="1" t="s">
        <v>84</v>
      </c>
      <c r="H955" s="1" t="s">
        <v>49</v>
      </c>
      <c r="I955" s="1" t="s">
        <v>50</v>
      </c>
      <c r="J955" s="1" t="s">
        <v>51</v>
      </c>
      <c r="K955" s="1" t="s">
        <v>2868</v>
      </c>
      <c r="L955" s="1" t="s">
        <v>29</v>
      </c>
      <c r="M955" s="1" t="s">
        <v>53</v>
      </c>
      <c r="N955" s="1" t="s">
        <v>2869</v>
      </c>
      <c r="O955">
        <v>36.4</v>
      </c>
      <c r="P955">
        <v>5</v>
      </c>
      <c r="Q955">
        <v>13.832000000000001</v>
      </c>
      <c r="R955" s="1" t="s">
        <v>4422</v>
      </c>
      <c r="S955">
        <v>2015</v>
      </c>
      <c r="T955" s="1" t="s">
        <v>90</v>
      </c>
    </row>
    <row r="956" spans="1:20" x14ac:dyDescent="0.25">
      <c r="A956" s="1" t="s">
        <v>2870</v>
      </c>
      <c r="B956" s="2">
        <v>43004</v>
      </c>
      <c r="C956" s="2">
        <v>43008</v>
      </c>
      <c r="D956" s="1" t="s">
        <v>37</v>
      </c>
      <c r="E956" s="1" t="s">
        <v>1773</v>
      </c>
      <c r="F956" s="1" t="s">
        <v>1774</v>
      </c>
      <c r="G956" s="1" t="s">
        <v>94</v>
      </c>
      <c r="H956" s="1" t="s">
        <v>2699</v>
      </c>
      <c r="I956" s="1" t="s">
        <v>41</v>
      </c>
      <c r="J956" s="1" t="s">
        <v>27</v>
      </c>
      <c r="K956" s="1" t="s">
        <v>2569</v>
      </c>
      <c r="L956" s="1" t="s">
        <v>29</v>
      </c>
      <c r="M956" s="1" t="s">
        <v>34</v>
      </c>
      <c r="N956" s="1" t="s">
        <v>2570</v>
      </c>
      <c r="O956">
        <v>419.13600000000002</v>
      </c>
      <c r="P956">
        <v>4</v>
      </c>
      <c r="Q956">
        <v>-57.6312</v>
      </c>
      <c r="R956" s="1" t="s">
        <v>4424</v>
      </c>
      <c r="S956">
        <v>2017</v>
      </c>
      <c r="T956" s="1" t="s">
        <v>72</v>
      </c>
    </row>
    <row r="957" spans="1:20" x14ac:dyDescent="0.25">
      <c r="A957" s="1" t="s">
        <v>2871</v>
      </c>
      <c r="B957" s="2">
        <v>41748</v>
      </c>
      <c r="C957" s="2">
        <v>41750</v>
      </c>
      <c r="D957" s="1" t="s">
        <v>21</v>
      </c>
      <c r="E957" s="1" t="s">
        <v>1006</v>
      </c>
      <c r="F957" s="1" t="s">
        <v>1007</v>
      </c>
      <c r="G957" s="1" t="s">
        <v>94</v>
      </c>
      <c r="H957" s="1" t="s">
        <v>1482</v>
      </c>
      <c r="I957" s="1" t="s">
        <v>50</v>
      </c>
      <c r="J957" s="1" t="s">
        <v>51</v>
      </c>
      <c r="K957" s="1" t="s">
        <v>300</v>
      </c>
      <c r="L957" s="1" t="s">
        <v>29</v>
      </c>
      <c r="M957" s="1" t="s">
        <v>53</v>
      </c>
      <c r="N957" s="1" t="s">
        <v>2577</v>
      </c>
      <c r="O957">
        <v>76.14</v>
      </c>
      <c r="P957">
        <v>3</v>
      </c>
      <c r="Q957">
        <v>26.649000000000001</v>
      </c>
      <c r="R957" s="1" t="s">
        <v>4423</v>
      </c>
      <c r="S957">
        <v>2014</v>
      </c>
      <c r="T957" s="1" t="s">
        <v>107</v>
      </c>
    </row>
    <row r="958" spans="1:20" x14ac:dyDescent="0.25">
      <c r="A958" s="1" t="s">
        <v>2872</v>
      </c>
      <c r="B958" s="2">
        <v>42716</v>
      </c>
      <c r="C958" s="2">
        <v>42722</v>
      </c>
      <c r="D958" s="1" t="s">
        <v>37</v>
      </c>
      <c r="E958" s="1" t="s">
        <v>2873</v>
      </c>
      <c r="F958" s="1" t="s">
        <v>2874</v>
      </c>
      <c r="G958" s="1" t="s">
        <v>94</v>
      </c>
      <c r="H958" s="1" t="s">
        <v>468</v>
      </c>
      <c r="I958" s="1" t="s">
        <v>281</v>
      </c>
      <c r="J958" s="1" t="s">
        <v>87</v>
      </c>
      <c r="K958" s="1" t="s">
        <v>1138</v>
      </c>
      <c r="L958" s="1" t="s">
        <v>29</v>
      </c>
      <c r="M958" s="1" t="s">
        <v>53</v>
      </c>
      <c r="N958" s="1" t="s">
        <v>1139</v>
      </c>
      <c r="O958">
        <v>33.479999999999997</v>
      </c>
      <c r="P958">
        <v>4</v>
      </c>
      <c r="Q958">
        <v>8.7048000000000005</v>
      </c>
      <c r="R958" s="1" t="s">
        <v>4426</v>
      </c>
      <c r="S958">
        <v>2016</v>
      </c>
      <c r="T958" s="1" t="s">
        <v>90</v>
      </c>
    </row>
    <row r="959" spans="1:20" x14ac:dyDescent="0.25">
      <c r="A959" s="1" t="s">
        <v>2875</v>
      </c>
      <c r="B959" s="2">
        <v>42632</v>
      </c>
      <c r="C959" s="2">
        <v>42635</v>
      </c>
      <c r="D959" s="1" t="s">
        <v>81</v>
      </c>
      <c r="E959" s="1" t="s">
        <v>1941</v>
      </c>
      <c r="F959" s="1" t="s">
        <v>1942</v>
      </c>
      <c r="G959" s="1" t="s">
        <v>94</v>
      </c>
      <c r="H959" s="1" t="s">
        <v>61</v>
      </c>
      <c r="I959" s="1" t="s">
        <v>62</v>
      </c>
      <c r="J959" s="1" t="s">
        <v>63</v>
      </c>
      <c r="K959" s="1" t="s">
        <v>2876</v>
      </c>
      <c r="L959" s="1" t="s">
        <v>29</v>
      </c>
      <c r="M959" s="1" t="s">
        <v>53</v>
      </c>
      <c r="N959" s="1" t="s">
        <v>2877</v>
      </c>
      <c r="O959">
        <v>25.632000000000001</v>
      </c>
      <c r="P959">
        <v>3</v>
      </c>
      <c r="Q959">
        <v>3.8448000000000002</v>
      </c>
      <c r="R959" s="1" t="s">
        <v>4420</v>
      </c>
      <c r="S959">
        <v>2016</v>
      </c>
      <c r="T959" s="1" t="s">
        <v>72</v>
      </c>
    </row>
    <row r="960" spans="1:20" x14ac:dyDescent="0.25">
      <c r="A960" s="1" t="s">
        <v>2878</v>
      </c>
      <c r="B960" s="2">
        <v>43041</v>
      </c>
      <c r="C960" s="2">
        <v>43043</v>
      </c>
      <c r="D960" s="1" t="s">
        <v>21</v>
      </c>
      <c r="E960" s="1" t="s">
        <v>2029</v>
      </c>
      <c r="F960" s="1" t="s">
        <v>2030</v>
      </c>
      <c r="G960" s="1" t="s">
        <v>94</v>
      </c>
      <c r="H960" s="1" t="s">
        <v>2879</v>
      </c>
      <c r="I960" s="1" t="s">
        <v>50</v>
      </c>
      <c r="J960" s="1" t="s">
        <v>51</v>
      </c>
      <c r="K960" s="1" t="s">
        <v>2880</v>
      </c>
      <c r="L960" s="1" t="s">
        <v>29</v>
      </c>
      <c r="M960" s="1" t="s">
        <v>53</v>
      </c>
      <c r="N960" s="1" t="s">
        <v>2881</v>
      </c>
      <c r="O960">
        <v>25.02</v>
      </c>
      <c r="P960">
        <v>3</v>
      </c>
      <c r="Q960">
        <v>10.5084</v>
      </c>
      <c r="R960" s="1" t="s">
        <v>4423</v>
      </c>
      <c r="S960">
        <v>2017</v>
      </c>
      <c r="T960" s="1" t="s">
        <v>32</v>
      </c>
    </row>
    <row r="961" spans="1:20" x14ac:dyDescent="0.25">
      <c r="A961" s="1" t="s">
        <v>2882</v>
      </c>
      <c r="B961" s="2">
        <v>42730</v>
      </c>
      <c r="C961" s="2">
        <v>42735</v>
      </c>
      <c r="D961" s="1" t="s">
        <v>37</v>
      </c>
      <c r="E961" s="1" t="s">
        <v>2883</v>
      </c>
      <c r="F961" s="1" t="s">
        <v>2884</v>
      </c>
      <c r="G961" s="1" t="s">
        <v>84</v>
      </c>
      <c r="H961" s="1" t="s">
        <v>49</v>
      </c>
      <c r="I961" s="1" t="s">
        <v>50</v>
      </c>
      <c r="J961" s="1" t="s">
        <v>51</v>
      </c>
      <c r="K961" s="1" t="s">
        <v>2419</v>
      </c>
      <c r="L961" s="1" t="s">
        <v>29</v>
      </c>
      <c r="M961" s="1" t="s">
        <v>34</v>
      </c>
      <c r="N961" s="1" t="s">
        <v>2420</v>
      </c>
      <c r="O961">
        <v>146.352</v>
      </c>
      <c r="P961">
        <v>3</v>
      </c>
      <c r="Q961">
        <v>-5.4882</v>
      </c>
      <c r="R961" s="1" t="s">
        <v>4422</v>
      </c>
      <c r="S961">
        <v>2016</v>
      </c>
      <c r="T961" s="1" t="s">
        <v>90</v>
      </c>
    </row>
    <row r="962" spans="1:20" x14ac:dyDescent="0.25">
      <c r="A962" s="1" t="s">
        <v>2882</v>
      </c>
      <c r="B962" s="2">
        <v>42730</v>
      </c>
      <c r="C962" s="2">
        <v>42735</v>
      </c>
      <c r="D962" s="1" t="s">
        <v>37</v>
      </c>
      <c r="E962" s="1" t="s">
        <v>2883</v>
      </c>
      <c r="F962" s="1" t="s">
        <v>2884</v>
      </c>
      <c r="G962" s="1" t="s">
        <v>84</v>
      </c>
      <c r="H962" s="1" t="s">
        <v>49</v>
      </c>
      <c r="I962" s="1" t="s">
        <v>50</v>
      </c>
      <c r="J962" s="1" t="s">
        <v>51</v>
      </c>
      <c r="K962" s="1" t="s">
        <v>298</v>
      </c>
      <c r="L962" s="1" t="s">
        <v>29</v>
      </c>
      <c r="M962" s="1" t="s">
        <v>43</v>
      </c>
      <c r="N962" s="1" t="s">
        <v>299</v>
      </c>
      <c r="O962">
        <v>902.71199999999999</v>
      </c>
      <c r="P962">
        <v>3</v>
      </c>
      <c r="Q962">
        <v>33.851700000000001</v>
      </c>
      <c r="R962" s="1" t="s">
        <v>4422</v>
      </c>
      <c r="S962">
        <v>2016</v>
      </c>
      <c r="T962" s="1" t="s">
        <v>90</v>
      </c>
    </row>
    <row r="963" spans="1:20" x14ac:dyDescent="0.25">
      <c r="A963" s="1" t="s">
        <v>2885</v>
      </c>
      <c r="B963" s="2">
        <v>42201</v>
      </c>
      <c r="C963" s="2">
        <v>42205</v>
      </c>
      <c r="D963" s="1" t="s">
        <v>37</v>
      </c>
      <c r="E963" s="1" t="s">
        <v>2886</v>
      </c>
      <c r="F963" s="1" t="s">
        <v>2887</v>
      </c>
      <c r="G963" s="1" t="s">
        <v>94</v>
      </c>
      <c r="H963" s="1" t="s">
        <v>2745</v>
      </c>
      <c r="I963" s="1" t="s">
        <v>1080</v>
      </c>
      <c r="J963" s="1" t="s">
        <v>63</v>
      </c>
      <c r="K963" s="1" t="s">
        <v>647</v>
      </c>
      <c r="L963" s="1" t="s">
        <v>29</v>
      </c>
      <c r="M963" s="1" t="s">
        <v>34</v>
      </c>
      <c r="N963" s="1" t="s">
        <v>648</v>
      </c>
      <c r="O963">
        <v>150.97999999999999</v>
      </c>
      <c r="P963">
        <v>1</v>
      </c>
      <c r="Q963">
        <v>43.784199999999998</v>
      </c>
      <c r="R963" s="1" t="s">
        <v>4424</v>
      </c>
      <c r="S963">
        <v>2015</v>
      </c>
      <c r="T963" s="1" t="s">
        <v>66</v>
      </c>
    </row>
    <row r="964" spans="1:20" x14ac:dyDescent="0.25">
      <c r="A964" s="1" t="s">
        <v>2888</v>
      </c>
      <c r="B964" s="2">
        <v>43048</v>
      </c>
      <c r="C964" s="2">
        <v>43053</v>
      </c>
      <c r="D964" s="1" t="s">
        <v>37</v>
      </c>
      <c r="E964" s="1" t="s">
        <v>130</v>
      </c>
      <c r="F964" s="1" t="s">
        <v>131</v>
      </c>
      <c r="G964" s="1" t="s">
        <v>24</v>
      </c>
      <c r="H964" s="1" t="s">
        <v>752</v>
      </c>
      <c r="I964" s="1" t="s">
        <v>50</v>
      </c>
      <c r="J964" s="1" t="s">
        <v>51</v>
      </c>
      <c r="K964" s="1" t="s">
        <v>414</v>
      </c>
      <c r="L964" s="1" t="s">
        <v>29</v>
      </c>
      <c r="M964" s="1" t="s">
        <v>53</v>
      </c>
      <c r="N964" s="1" t="s">
        <v>415</v>
      </c>
      <c r="O964">
        <v>47.12</v>
      </c>
      <c r="P964">
        <v>8</v>
      </c>
      <c r="Q964">
        <v>20.732800000000001</v>
      </c>
      <c r="R964" s="1" t="s">
        <v>4422</v>
      </c>
      <c r="S964">
        <v>2017</v>
      </c>
      <c r="T964" s="1" t="s">
        <v>32</v>
      </c>
    </row>
    <row r="965" spans="1:20" x14ac:dyDescent="0.25">
      <c r="A965" s="1" t="s">
        <v>2889</v>
      </c>
      <c r="B965" s="2">
        <v>42268</v>
      </c>
      <c r="C965" s="2">
        <v>42273</v>
      </c>
      <c r="D965" s="1" t="s">
        <v>37</v>
      </c>
      <c r="E965" s="1" t="s">
        <v>2378</v>
      </c>
      <c r="F965" s="1" t="s">
        <v>2379</v>
      </c>
      <c r="G965" s="1" t="s">
        <v>94</v>
      </c>
      <c r="H965" s="1" t="s">
        <v>1348</v>
      </c>
      <c r="I965" s="1" t="s">
        <v>425</v>
      </c>
      <c r="J965" s="1" t="s">
        <v>63</v>
      </c>
      <c r="K965" s="1" t="s">
        <v>412</v>
      </c>
      <c r="L965" s="1" t="s">
        <v>29</v>
      </c>
      <c r="M965" s="1" t="s">
        <v>34</v>
      </c>
      <c r="N965" s="1" t="s">
        <v>413</v>
      </c>
      <c r="O965">
        <v>542.94000000000005</v>
      </c>
      <c r="P965">
        <v>3</v>
      </c>
      <c r="Q965">
        <v>141.1644</v>
      </c>
      <c r="R965" s="1" t="s">
        <v>4422</v>
      </c>
      <c r="S965">
        <v>2015</v>
      </c>
      <c r="T965" s="1" t="s">
        <v>72</v>
      </c>
    </row>
    <row r="966" spans="1:20" x14ac:dyDescent="0.25">
      <c r="A966" s="1" t="s">
        <v>2890</v>
      </c>
      <c r="B966" s="2">
        <v>42987</v>
      </c>
      <c r="C966" s="2">
        <v>42992</v>
      </c>
      <c r="D966" s="1" t="s">
        <v>37</v>
      </c>
      <c r="E966" s="1" t="s">
        <v>38</v>
      </c>
      <c r="F966" s="1" t="s">
        <v>39</v>
      </c>
      <c r="G966" s="1" t="s">
        <v>24</v>
      </c>
      <c r="H966" s="1" t="s">
        <v>149</v>
      </c>
      <c r="I966" s="1" t="s">
        <v>133</v>
      </c>
      <c r="J966" s="1" t="s">
        <v>27</v>
      </c>
      <c r="K966" s="1" t="s">
        <v>414</v>
      </c>
      <c r="L966" s="1" t="s">
        <v>29</v>
      </c>
      <c r="M966" s="1" t="s">
        <v>53</v>
      </c>
      <c r="N966" s="1" t="s">
        <v>415</v>
      </c>
      <c r="O966">
        <v>14.135999999999999</v>
      </c>
      <c r="P966">
        <v>3</v>
      </c>
      <c r="Q966">
        <v>4.2408000000000001</v>
      </c>
      <c r="R966" s="1" t="s">
        <v>4422</v>
      </c>
      <c r="S966">
        <v>2017</v>
      </c>
      <c r="T966" s="1" t="s">
        <v>72</v>
      </c>
    </row>
    <row r="967" spans="1:20" x14ac:dyDescent="0.25">
      <c r="A967" s="1" t="s">
        <v>2891</v>
      </c>
      <c r="B967" s="2">
        <v>42292</v>
      </c>
      <c r="C967" s="2">
        <v>42292</v>
      </c>
      <c r="D967" s="1" t="s">
        <v>417</v>
      </c>
      <c r="E967" s="1" t="s">
        <v>858</v>
      </c>
      <c r="F967" s="1" t="s">
        <v>859</v>
      </c>
      <c r="G967" s="1" t="s">
        <v>24</v>
      </c>
      <c r="H967" s="1" t="s">
        <v>2212</v>
      </c>
      <c r="I967" s="1" t="s">
        <v>281</v>
      </c>
      <c r="J967" s="1" t="s">
        <v>87</v>
      </c>
      <c r="K967" s="1" t="s">
        <v>2892</v>
      </c>
      <c r="L967" s="1" t="s">
        <v>29</v>
      </c>
      <c r="M967" s="1" t="s">
        <v>53</v>
      </c>
      <c r="N967" s="1" t="s">
        <v>2893</v>
      </c>
      <c r="O967">
        <v>17.14</v>
      </c>
      <c r="P967">
        <v>2</v>
      </c>
      <c r="Q967">
        <v>6.1703999999999999</v>
      </c>
      <c r="R967" s="1" t="s">
        <v>4427</v>
      </c>
      <c r="S967">
        <v>2015</v>
      </c>
      <c r="T967" s="1" t="s">
        <v>45</v>
      </c>
    </row>
    <row r="968" spans="1:20" x14ac:dyDescent="0.25">
      <c r="A968" s="1" t="s">
        <v>2894</v>
      </c>
      <c r="B968" s="2">
        <v>42950</v>
      </c>
      <c r="C968" s="2">
        <v>42955</v>
      </c>
      <c r="D968" s="1" t="s">
        <v>21</v>
      </c>
      <c r="E968" s="1" t="s">
        <v>624</v>
      </c>
      <c r="F968" s="1" t="s">
        <v>625</v>
      </c>
      <c r="G968" s="1" t="s">
        <v>24</v>
      </c>
      <c r="H968" s="1" t="s">
        <v>320</v>
      </c>
      <c r="I968" s="1" t="s">
        <v>50</v>
      </c>
      <c r="J968" s="1" t="s">
        <v>51</v>
      </c>
      <c r="K968" s="1" t="s">
        <v>587</v>
      </c>
      <c r="L968" s="1" t="s">
        <v>29</v>
      </c>
      <c r="M968" s="1" t="s">
        <v>53</v>
      </c>
      <c r="N968" s="1" t="s">
        <v>588</v>
      </c>
      <c r="O968">
        <v>123.96</v>
      </c>
      <c r="P968">
        <v>3</v>
      </c>
      <c r="Q968">
        <v>11.1564</v>
      </c>
      <c r="R968" s="1" t="s">
        <v>4422</v>
      </c>
      <c r="S968">
        <v>2017</v>
      </c>
      <c r="T968" s="1" t="s">
        <v>245</v>
      </c>
    </row>
    <row r="969" spans="1:20" x14ac:dyDescent="0.25">
      <c r="A969" s="1" t="s">
        <v>2895</v>
      </c>
      <c r="B969" s="2">
        <v>42237</v>
      </c>
      <c r="C969" s="2">
        <v>42242</v>
      </c>
      <c r="D969" s="1" t="s">
        <v>37</v>
      </c>
      <c r="E969" s="1" t="s">
        <v>278</v>
      </c>
      <c r="F969" s="1" t="s">
        <v>279</v>
      </c>
      <c r="G969" s="1" t="s">
        <v>84</v>
      </c>
      <c r="H969" s="1" t="s">
        <v>320</v>
      </c>
      <c r="I969" s="1" t="s">
        <v>50</v>
      </c>
      <c r="J969" s="1" t="s">
        <v>51</v>
      </c>
      <c r="K969" s="1" t="s">
        <v>2896</v>
      </c>
      <c r="L969" s="1" t="s">
        <v>29</v>
      </c>
      <c r="M969" s="1" t="s">
        <v>30</v>
      </c>
      <c r="N969" s="1" t="s">
        <v>2897</v>
      </c>
      <c r="O969">
        <v>586.39800000000002</v>
      </c>
      <c r="P969">
        <v>6</v>
      </c>
      <c r="Q969">
        <v>34.494</v>
      </c>
      <c r="R969" s="1" t="s">
        <v>4422</v>
      </c>
      <c r="S969">
        <v>2015</v>
      </c>
      <c r="T969" s="1" t="s">
        <v>245</v>
      </c>
    </row>
    <row r="970" spans="1:20" x14ac:dyDescent="0.25">
      <c r="A970" s="1" t="s">
        <v>2898</v>
      </c>
      <c r="B970" s="2">
        <v>43030</v>
      </c>
      <c r="C970" s="2">
        <v>43032</v>
      </c>
      <c r="D970" s="1" t="s">
        <v>21</v>
      </c>
      <c r="E970" s="1" t="s">
        <v>2899</v>
      </c>
      <c r="F970" s="1" t="s">
        <v>2900</v>
      </c>
      <c r="G970" s="1" t="s">
        <v>24</v>
      </c>
      <c r="H970" s="1" t="s">
        <v>2334</v>
      </c>
      <c r="I970" s="1" t="s">
        <v>172</v>
      </c>
      <c r="J970" s="1" t="s">
        <v>51</v>
      </c>
      <c r="K970" s="1" t="s">
        <v>2901</v>
      </c>
      <c r="L970" s="1" t="s">
        <v>29</v>
      </c>
      <c r="M970" s="1" t="s">
        <v>34</v>
      </c>
      <c r="N970" s="1" t="s">
        <v>2902</v>
      </c>
      <c r="O970">
        <v>579.13599999999997</v>
      </c>
      <c r="P970">
        <v>4</v>
      </c>
      <c r="Q970">
        <v>-28.956800000000001</v>
      </c>
      <c r="R970" s="1" t="s">
        <v>4423</v>
      </c>
      <c r="S970">
        <v>2017</v>
      </c>
      <c r="T970" s="1" t="s">
        <v>45</v>
      </c>
    </row>
    <row r="971" spans="1:20" x14ac:dyDescent="0.25">
      <c r="A971" s="1" t="s">
        <v>2903</v>
      </c>
      <c r="B971" s="2">
        <v>42594</v>
      </c>
      <c r="C971" s="2">
        <v>42598</v>
      </c>
      <c r="D971" s="1" t="s">
        <v>37</v>
      </c>
      <c r="E971" s="1" t="s">
        <v>1811</v>
      </c>
      <c r="F971" s="1" t="s">
        <v>1812</v>
      </c>
      <c r="G971" s="1" t="s">
        <v>94</v>
      </c>
      <c r="H971" s="1" t="s">
        <v>165</v>
      </c>
      <c r="I971" s="1" t="s">
        <v>114</v>
      </c>
      <c r="J971" s="1" t="s">
        <v>63</v>
      </c>
      <c r="K971" s="1" t="s">
        <v>501</v>
      </c>
      <c r="L971" s="1" t="s">
        <v>29</v>
      </c>
      <c r="M971" s="1" t="s">
        <v>34</v>
      </c>
      <c r="N971" s="1" t="s">
        <v>502</v>
      </c>
      <c r="O971">
        <v>145.76400000000001</v>
      </c>
      <c r="P971">
        <v>2</v>
      </c>
      <c r="Q971">
        <v>-8.0980000000000008</v>
      </c>
      <c r="R971" s="1" t="s">
        <v>4424</v>
      </c>
      <c r="S971">
        <v>2016</v>
      </c>
      <c r="T971" s="1" t="s">
        <v>245</v>
      </c>
    </row>
    <row r="972" spans="1:20" x14ac:dyDescent="0.25">
      <c r="A972" s="1" t="s">
        <v>2904</v>
      </c>
      <c r="B972" s="2">
        <v>42486</v>
      </c>
      <c r="C972" s="2">
        <v>42491</v>
      </c>
      <c r="D972" s="1" t="s">
        <v>37</v>
      </c>
      <c r="E972" s="1" t="s">
        <v>2905</v>
      </c>
      <c r="F972" s="1" t="s">
        <v>2906</v>
      </c>
      <c r="G972" s="1" t="s">
        <v>94</v>
      </c>
      <c r="H972" s="1" t="s">
        <v>165</v>
      </c>
      <c r="I972" s="1" t="s">
        <v>114</v>
      </c>
      <c r="J972" s="1" t="s">
        <v>63</v>
      </c>
      <c r="K972" s="1" t="s">
        <v>2540</v>
      </c>
      <c r="L972" s="1" t="s">
        <v>29</v>
      </c>
      <c r="M972" s="1" t="s">
        <v>34</v>
      </c>
      <c r="N972" s="1" t="s">
        <v>2541</v>
      </c>
      <c r="O972">
        <v>434.64600000000002</v>
      </c>
      <c r="P972">
        <v>3</v>
      </c>
      <c r="Q972">
        <v>62.782200000000003</v>
      </c>
      <c r="R972" s="1" t="s">
        <v>4422</v>
      </c>
      <c r="S972">
        <v>2016</v>
      </c>
      <c r="T972" s="1" t="s">
        <v>107</v>
      </c>
    </row>
    <row r="973" spans="1:20" x14ac:dyDescent="0.25">
      <c r="A973" s="1" t="s">
        <v>2907</v>
      </c>
      <c r="B973" s="2">
        <v>42127</v>
      </c>
      <c r="C973" s="2">
        <v>42131</v>
      </c>
      <c r="D973" s="1" t="s">
        <v>37</v>
      </c>
      <c r="E973" s="1" t="s">
        <v>2908</v>
      </c>
      <c r="F973" s="1" t="s">
        <v>2909</v>
      </c>
      <c r="G973" s="1" t="s">
        <v>24</v>
      </c>
      <c r="H973" s="1" t="s">
        <v>61</v>
      </c>
      <c r="I973" s="1" t="s">
        <v>62</v>
      </c>
      <c r="J973" s="1" t="s">
        <v>63</v>
      </c>
      <c r="K973" s="1" t="s">
        <v>321</v>
      </c>
      <c r="L973" s="1" t="s">
        <v>29</v>
      </c>
      <c r="M973" s="1" t="s">
        <v>34</v>
      </c>
      <c r="N973" s="1" t="s">
        <v>322</v>
      </c>
      <c r="O973">
        <v>844.11599999999999</v>
      </c>
      <c r="P973">
        <v>6</v>
      </c>
      <c r="Q973">
        <v>-36.176400000000001</v>
      </c>
      <c r="R973" s="1" t="s">
        <v>4424</v>
      </c>
      <c r="S973">
        <v>2015</v>
      </c>
      <c r="T973" s="1" t="s">
        <v>153</v>
      </c>
    </row>
    <row r="974" spans="1:20" x14ac:dyDescent="0.25">
      <c r="A974" s="1" t="s">
        <v>2910</v>
      </c>
      <c r="B974" s="2">
        <v>42379</v>
      </c>
      <c r="C974" s="2">
        <v>42386</v>
      </c>
      <c r="D974" s="1" t="s">
        <v>37</v>
      </c>
      <c r="E974" s="1" t="s">
        <v>2547</v>
      </c>
      <c r="F974" s="1" t="s">
        <v>2548</v>
      </c>
      <c r="G974" s="1" t="s">
        <v>84</v>
      </c>
      <c r="H974" s="1" t="s">
        <v>183</v>
      </c>
      <c r="I974" s="1" t="s">
        <v>184</v>
      </c>
      <c r="J974" s="1" t="s">
        <v>51</v>
      </c>
      <c r="K974" s="1" t="s">
        <v>1112</v>
      </c>
      <c r="L974" s="1" t="s">
        <v>29</v>
      </c>
      <c r="M974" s="1" t="s">
        <v>53</v>
      </c>
      <c r="N974" s="1" t="s">
        <v>1113</v>
      </c>
      <c r="O974">
        <v>79.92</v>
      </c>
      <c r="P974">
        <v>4</v>
      </c>
      <c r="Q974">
        <v>34.365600000000001</v>
      </c>
      <c r="R974" s="1" t="s">
        <v>4421</v>
      </c>
      <c r="S974">
        <v>2016</v>
      </c>
      <c r="T974" s="1" t="s">
        <v>161</v>
      </c>
    </row>
    <row r="975" spans="1:20" x14ac:dyDescent="0.25">
      <c r="A975" s="1" t="s">
        <v>2911</v>
      </c>
      <c r="B975" s="2">
        <v>42861</v>
      </c>
      <c r="C975" s="2">
        <v>42866</v>
      </c>
      <c r="D975" s="1" t="s">
        <v>37</v>
      </c>
      <c r="E975" s="1" t="s">
        <v>2912</v>
      </c>
      <c r="F975" s="1" t="s">
        <v>2913</v>
      </c>
      <c r="G975" s="1" t="s">
        <v>84</v>
      </c>
      <c r="H975" s="1" t="s">
        <v>586</v>
      </c>
      <c r="I975" s="1" t="s">
        <v>86</v>
      </c>
      <c r="J975" s="1" t="s">
        <v>87</v>
      </c>
      <c r="K975" s="1" t="s">
        <v>525</v>
      </c>
      <c r="L975" s="1" t="s">
        <v>29</v>
      </c>
      <c r="M975" s="1" t="s">
        <v>30</v>
      </c>
      <c r="N975" s="1" t="s">
        <v>526</v>
      </c>
      <c r="O975">
        <v>623.46479999999997</v>
      </c>
      <c r="P975">
        <v>7</v>
      </c>
      <c r="Q975">
        <v>-119.1918</v>
      </c>
      <c r="R975" s="1" t="s">
        <v>4422</v>
      </c>
      <c r="S975">
        <v>2017</v>
      </c>
      <c r="T975" s="1" t="s">
        <v>153</v>
      </c>
    </row>
    <row r="976" spans="1:20" x14ac:dyDescent="0.25">
      <c r="A976" s="1" t="s">
        <v>2914</v>
      </c>
      <c r="B976" s="2">
        <v>42582</v>
      </c>
      <c r="C976" s="2">
        <v>42588</v>
      </c>
      <c r="D976" s="1" t="s">
        <v>37</v>
      </c>
      <c r="E976" s="1" t="s">
        <v>303</v>
      </c>
      <c r="F976" s="1" t="s">
        <v>304</v>
      </c>
      <c r="G976" s="1" t="s">
        <v>24</v>
      </c>
      <c r="H976" s="1" t="s">
        <v>280</v>
      </c>
      <c r="I976" s="1" t="s">
        <v>281</v>
      </c>
      <c r="J976" s="1" t="s">
        <v>87</v>
      </c>
      <c r="K976" s="1" t="s">
        <v>350</v>
      </c>
      <c r="L976" s="1" t="s">
        <v>29</v>
      </c>
      <c r="M976" s="1" t="s">
        <v>53</v>
      </c>
      <c r="N976" s="1" t="s">
        <v>351</v>
      </c>
      <c r="O976">
        <v>272.94</v>
      </c>
      <c r="P976">
        <v>3</v>
      </c>
      <c r="Q976">
        <v>30.023399999999999</v>
      </c>
      <c r="R976" s="1" t="s">
        <v>4426</v>
      </c>
      <c r="S976">
        <v>2016</v>
      </c>
      <c r="T976" s="1" t="s">
        <v>66</v>
      </c>
    </row>
    <row r="977" spans="1:20" x14ac:dyDescent="0.25">
      <c r="A977" s="1" t="s">
        <v>2915</v>
      </c>
      <c r="B977" s="2">
        <v>42821</v>
      </c>
      <c r="C977" s="2">
        <v>42823</v>
      </c>
      <c r="D977" s="1" t="s">
        <v>21</v>
      </c>
      <c r="E977" s="1" t="s">
        <v>2916</v>
      </c>
      <c r="F977" s="1" t="s">
        <v>2917</v>
      </c>
      <c r="G977" s="1" t="s">
        <v>24</v>
      </c>
      <c r="H977" s="1" t="s">
        <v>61</v>
      </c>
      <c r="I977" s="1" t="s">
        <v>62</v>
      </c>
      <c r="J977" s="1" t="s">
        <v>63</v>
      </c>
      <c r="K977" s="1" t="s">
        <v>2117</v>
      </c>
      <c r="L977" s="1" t="s">
        <v>29</v>
      </c>
      <c r="M977" s="1" t="s">
        <v>53</v>
      </c>
      <c r="N977" s="1" t="s">
        <v>2118</v>
      </c>
      <c r="O977">
        <v>15.007999999999999</v>
      </c>
      <c r="P977">
        <v>2</v>
      </c>
      <c r="Q977">
        <v>1.5007999999999999</v>
      </c>
      <c r="R977" s="1" t="s">
        <v>4423</v>
      </c>
      <c r="S977">
        <v>2017</v>
      </c>
      <c r="T977" s="1" t="s">
        <v>187</v>
      </c>
    </row>
    <row r="978" spans="1:20" x14ac:dyDescent="0.25">
      <c r="A978" s="1" t="s">
        <v>2918</v>
      </c>
      <c r="B978" s="2">
        <v>42611</v>
      </c>
      <c r="C978" s="2">
        <v>42616</v>
      </c>
      <c r="D978" s="1" t="s">
        <v>37</v>
      </c>
      <c r="E978" s="1" t="s">
        <v>1071</v>
      </c>
      <c r="F978" s="1" t="s">
        <v>1072</v>
      </c>
      <c r="G978" s="1" t="s">
        <v>84</v>
      </c>
      <c r="H978" s="1" t="s">
        <v>61</v>
      </c>
      <c r="I978" s="1" t="s">
        <v>62</v>
      </c>
      <c r="J978" s="1" t="s">
        <v>63</v>
      </c>
      <c r="K978" s="1" t="s">
        <v>2397</v>
      </c>
      <c r="L978" s="1" t="s">
        <v>29</v>
      </c>
      <c r="M978" s="1" t="s">
        <v>43</v>
      </c>
      <c r="N978" s="1" t="s">
        <v>2398</v>
      </c>
      <c r="O978">
        <v>241.92</v>
      </c>
      <c r="P978">
        <v>4</v>
      </c>
      <c r="Q978">
        <v>-56.448</v>
      </c>
      <c r="R978" s="1" t="s">
        <v>4422</v>
      </c>
      <c r="S978">
        <v>2016</v>
      </c>
      <c r="T978" s="1" t="s">
        <v>245</v>
      </c>
    </row>
    <row r="979" spans="1:20" x14ac:dyDescent="0.25">
      <c r="A979" s="1" t="s">
        <v>2918</v>
      </c>
      <c r="B979" s="2">
        <v>42611</v>
      </c>
      <c r="C979" s="2">
        <v>42616</v>
      </c>
      <c r="D979" s="1" t="s">
        <v>37</v>
      </c>
      <c r="E979" s="1" t="s">
        <v>1071</v>
      </c>
      <c r="F979" s="1" t="s">
        <v>1072</v>
      </c>
      <c r="G979" s="1" t="s">
        <v>84</v>
      </c>
      <c r="H979" s="1" t="s">
        <v>61</v>
      </c>
      <c r="I979" s="1" t="s">
        <v>62</v>
      </c>
      <c r="J979" s="1" t="s">
        <v>63</v>
      </c>
      <c r="K979" s="1" t="s">
        <v>2724</v>
      </c>
      <c r="L979" s="1" t="s">
        <v>29</v>
      </c>
      <c r="M979" s="1" t="s">
        <v>30</v>
      </c>
      <c r="N979" s="1" t="s">
        <v>2725</v>
      </c>
      <c r="O979">
        <v>163.88</v>
      </c>
      <c r="P979">
        <v>4</v>
      </c>
      <c r="Q979">
        <v>-81.94</v>
      </c>
      <c r="R979" s="1" t="s">
        <v>4422</v>
      </c>
      <c r="S979">
        <v>2016</v>
      </c>
      <c r="T979" s="1" t="s">
        <v>245</v>
      </c>
    </row>
    <row r="980" spans="1:20" x14ac:dyDescent="0.25">
      <c r="A980" s="1" t="s">
        <v>2919</v>
      </c>
      <c r="B980" s="2">
        <v>41993</v>
      </c>
      <c r="C980" s="2">
        <v>41995</v>
      </c>
      <c r="D980" s="1" t="s">
        <v>81</v>
      </c>
      <c r="E980" s="1" t="s">
        <v>1639</v>
      </c>
      <c r="F980" s="1" t="s">
        <v>1640</v>
      </c>
      <c r="G980" s="1" t="s">
        <v>24</v>
      </c>
      <c r="H980" s="1" t="s">
        <v>1213</v>
      </c>
      <c r="I980" s="1" t="s">
        <v>511</v>
      </c>
      <c r="J980" s="1" t="s">
        <v>51</v>
      </c>
      <c r="K980" s="1" t="s">
        <v>2046</v>
      </c>
      <c r="L980" s="1" t="s">
        <v>29</v>
      </c>
      <c r="M980" s="1" t="s">
        <v>53</v>
      </c>
      <c r="N980" s="1" t="s">
        <v>2047</v>
      </c>
      <c r="O980">
        <v>51.968000000000004</v>
      </c>
      <c r="P980">
        <v>2</v>
      </c>
      <c r="Q980">
        <v>10.393599999999999</v>
      </c>
      <c r="R980" s="1" t="s">
        <v>4423</v>
      </c>
      <c r="S980">
        <v>2014</v>
      </c>
      <c r="T980" s="1" t="s">
        <v>90</v>
      </c>
    </row>
    <row r="981" spans="1:20" x14ac:dyDescent="0.25">
      <c r="A981" s="1" t="s">
        <v>2919</v>
      </c>
      <c r="B981" s="2">
        <v>41993</v>
      </c>
      <c r="C981" s="2">
        <v>41995</v>
      </c>
      <c r="D981" s="1" t="s">
        <v>81</v>
      </c>
      <c r="E981" s="1" t="s">
        <v>1639</v>
      </c>
      <c r="F981" s="1" t="s">
        <v>1640</v>
      </c>
      <c r="G981" s="1" t="s">
        <v>24</v>
      </c>
      <c r="H981" s="1" t="s">
        <v>1213</v>
      </c>
      <c r="I981" s="1" t="s">
        <v>511</v>
      </c>
      <c r="J981" s="1" t="s">
        <v>51</v>
      </c>
      <c r="K981" s="1" t="s">
        <v>287</v>
      </c>
      <c r="L981" s="1" t="s">
        <v>29</v>
      </c>
      <c r="M981" s="1" t="s">
        <v>34</v>
      </c>
      <c r="N981" s="1" t="s">
        <v>288</v>
      </c>
      <c r="O981">
        <v>242.352</v>
      </c>
      <c r="P981">
        <v>3</v>
      </c>
      <c r="Q981">
        <v>-42.4116</v>
      </c>
      <c r="R981" s="1" t="s">
        <v>4423</v>
      </c>
      <c r="S981">
        <v>2014</v>
      </c>
      <c r="T981" s="1" t="s">
        <v>90</v>
      </c>
    </row>
    <row r="982" spans="1:20" x14ac:dyDescent="0.25">
      <c r="A982" s="1" t="s">
        <v>2920</v>
      </c>
      <c r="B982" s="2">
        <v>42355</v>
      </c>
      <c r="C982" s="2">
        <v>42355</v>
      </c>
      <c r="D982" s="1" t="s">
        <v>417</v>
      </c>
      <c r="E982" s="1" t="s">
        <v>2799</v>
      </c>
      <c r="F982" s="1" t="s">
        <v>2800</v>
      </c>
      <c r="G982" s="1" t="s">
        <v>24</v>
      </c>
      <c r="H982" s="1" t="s">
        <v>280</v>
      </c>
      <c r="I982" s="1" t="s">
        <v>281</v>
      </c>
      <c r="J982" s="1" t="s">
        <v>87</v>
      </c>
      <c r="K982" s="1" t="s">
        <v>1177</v>
      </c>
      <c r="L982" s="1" t="s">
        <v>29</v>
      </c>
      <c r="M982" s="1" t="s">
        <v>34</v>
      </c>
      <c r="N982" s="1" t="s">
        <v>1178</v>
      </c>
      <c r="O982">
        <v>302.94</v>
      </c>
      <c r="P982">
        <v>3</v>
      </c>
      <c r="Q982">
        <v>48.470399999999998</v>
      </c>
      <c r="R982" s="1" t="s">
        <v>4427</v>
      </c>
      <c r="S982">
        <v>2015</v>
      </c>
      <c r="T982" s="1" t="s">
        <v>90</v>
      </c>
    </row>
    <row r="983" spans="1:20" x14ac:dyDescent="0.25">
      <c r="A983" s="1" t="s">
        <v>2920</v>
      </c>
      <c r="B983" s="2">
        <v>42355</v>
      </c>
      <c r="C983" s="2">
        <v>42355</v>
      </c>
      <c r="D983" s="1" t="s">
        <v>417</v>
      </c>
      <c r="E983" s="1" t="s">
        <v>2799</v>
      </c>
      <c r="F983" s="1" t="s">
        <v>2800</v>
      </c>
      <c r="G983" s="1" t="s">
        <v>24</v>
      </c>
      <c r="H983" s="1" t="s">
        <v>280</v>
      </c>
      <c r="I983" s="1" t="s">
        <v>281</v>
      </c>
      <c r="J983" s="1" t="s">
        <v>87</v>
      </c>
      <c r="K983" s="1" t="s">
        <v>2185</v>
      </c>
      <c r="L983" s="1" t="s">
        <v>29</v>
      </c>
      <c r="M983" s="1" t="s">
        <v>34</v>
      </c>
      <c r="N983" s="1" t="s">
        <v>2186</v>
      </c>
      <c r="O983">
        <v>142.36000000000001</v>
      </c>
      <c r="P983">
        <v>2</v>
      </c>
      <c r="Q983">
        <v>38.437199999999997</v>
      </c>
      <c r="R983" s="1" t="s">
        <v>4427</v>
      </c>
      <c r="S983">
        <v>2015</v>
      </c>
      <c r="T983" s="1" t="s">
        <v>90</v>
      </c>
    </row>
    <row r="984" spans="1:20" x14ac:dyDescent="0.25">
      <c r="A984" s="1" t="s">
        <v>2920</v>
      </c>
      <c r="B984" s="2">
        <v>42355</v>
      </c>
      <c r="C984" s="2">
        <v>42355</v>
      </c>
      <c r="D984" s="1" t="s">
        <v>417</v>
      </c>
      <c r="E984" s="1" t="s">
        <v>2799</v>
      </c>
      <c r="F984" s="1" t="s">
        <v>2800</v>
      </c>
      <c r="G984" s="1" t="s">
        <v>24</v>
      </c>
      <c r="H984" s="1" t="s">
        <v>280</v>
      </c>
      <c r="I984" s="1" t="s">
        <v>281</v>
      </c>
      <c r="J984" s="1" t="s">
        <v>87</v>
      </c>
      <c r="K984" s="1" t="s">
        <v>243</v>
      </c>
      <c r="L984" s="1" t="s">
        <v>29</v>
      </c>
      <c r="M984" s="1" t="s">
        <v>34</v>
      </c>
      <c r="N984" s="1" t="s">
        <v>244</v>
      </c>
      <c r="O984">
        <v>546.66</v>
      </c>
      <c r="P984">
        <v>9</v>
      </c>
      <c r="Q984">
        <v>136.66499999999999</v>
      </c>
      <c r="R984" s="1" t="s">
        <v>4427</v>
      </c>
      <c r="S984">
        <v>2015</v>
      </c>
      <c r="T984" s="1" t="s">
        <v>90</v>
      </c>
    </row>
    <row r="985" spans="1:20" x14ac:dyDescent="0.25">
      <c r="A985" s="1" t="s">
        <v>2920</v>
      </c>
      <c r="B985" s="2">
        <v>42355</v>
      </c>
      <c r="C985" s="2">
        <v>42355</v>
      </c>
      <c r="D985" s="1" t="s">
        <v>417</v>
      </c>
      <c r="E985" s="1" t="s">
        <v>2799</v>
      </c>
      <c r="F985" s="1" t="s">
        <v>2800</v>
      </c>
      <c r="G985" s="1" t="s">
        <v>24</v>
      </c>
      <c r="H985" s="1" t="s">
        <v>280</v>
      </c>
      <c r="I985" s="1" t="s">
        <v>281</v>
      </c>
      <c r="J985" s="1" t="s">
        <v>87</v>
      </c>
      <c r="K985" s="1" t="s">
        <v>2160</v>
      </c>
      <c r="L985" s="1" t="s">
        <v>29</v>
      </c>
      <c r="M985" s="1" t="s">
        <v>53</v>
      </c>
      <c r="N985" s="1" t="s">
        <v>2161</v>
      </c>
      <c r="O985">
        <v>212.13</v>
      </c>
      <c r="P985">
        <v>3</v>
      </c>
      <c r="Q985">
        <v>14.8491</v>
      </c>
      <c r="R985" s="1" t="s">
        <v>4427</v>
      </c>
      <c r="S985">
        <v>2015</v>
      </c>
      <c r="T985" s="1" t="s">
        <v>90</v>
      </c>
    </row>
    <row r="986" spans="1:20" x14ac:dyDescent="0.25">
      <c r="A986" s="1" t="s">
        <v>2921</v>
      </c>
      <c r="B986" s="2">
        <v>42866</v>
      </c>
      <c r="C986" s="2">
        <v>42872</v>
      </c>
      <c r="D986" s="1" t="s">
        <v>37</v>
      </c>
      <c r="E986" s="1" t="s">
        <v>1228</v>
      </c>
      <c r="F986" s="1" t="s">
        <v>1229</v>
      </c>
      <c r="G986" s="1" t="s">
        <v>94</v>
      </c>
      <c r="H986" s="1" t="s">
        <v>2321</v>
      </c>
      <c r="I986" s="1" t="s">
        <v>86</v>
      </c>
      <c r="J986" s="1" t="s">
        <v>87</v>
      </c>
      <c r="K986" s="1" t="s">
        <v>392</v>
      </c>
      <c r="L986" s="1" t="s">
        <v>29</v>
      </c>
      <c r="M986" s="1" t="s">
        <v>53</v>
      </c>
      <c r="N986" s="1" t="s">
        <v>393</v>
      </c>
      <c r="O986">
        <v>7.9960000000000004</v>
      </c>
      <c r="P986">
        <v>1</v>
      </c>
      <c r="Q986">
        <v>-6.9965000000000002</v>
      </c>
      <c r="R986" s="1" t="s">
        <v>4426</v>
      </c>
      <c r="S986">
        <v>2017</v>
      </c>
      <c r="T986" s="1" t="s">
        <v>153</v>
      </c>
    </row>
    <row r="987" spans="1:20" x14ac:dyDescent="0.25">
      <c r="A987" s="1" t="s">
        <v>2922</v>
      </c>
      <c r="B987" s="2">
        <v>42507</v>
      </c>
      <c r="C987" s="2">
        <v>42508</v>
      </c>
      <c r="D987" s="1" t="s">
        <v>81</v>
      </c>
      <c r="E987" s="1" t="s">
        <v>1463</v>
      </c>
      <c r="F987" s="1" t="s">
        <v>1464</v>
      </c>
      <c r="G987" s="1" t="s">
        <v>24</v>
      </c>
      <c r="H987" s="1" t="s">
        <v>2923</v>
      </c>
      <c r="I987" s="1" t="s">
        <v>421</v>
      </c>
      <c r="J987" s="1" t="s">
        <v>63</v>
      </c>
      <c r="K987" s="1" t="s">
        <v>981</v>
      </c>
      <c r="L987" s="1" t="s">
        <v>29</v>
      </c>
      <c r="M987" s="1" t="s">
        <v>53</v>
      </c>
      <c r="N987" s="1" t="s">
        <v>982</v>
      </c>
      <c r="O987">
        <v>173.24</v>
      </c>
      <c r="P987">
        <v>4</v>
      </c>
      <c r="Q987">
        <v>17.324000000000002</v>
      </c>
      <c r="R987" s="1" t="s">
        <v>4425</v>
      </c>
      <c r="S987">
        <v>2016</v>
      </c>
      <c r="T987" s="1" t="s">
        <v>153</v>
      </c>
    </row>
    <row r="988" spans="1:20" x14ac:dyDescent="0.25">
      <c r="A988" s="1" t="s">
        <v>2924</v>
      </c>
      <c r="B988" s="2">
        <v>41989</v>
      </c>
      <c r="C988" s="2">
        <v>41994</v>
      </c>
      <c r="D988" s="1" t="s">
        <v>37</v>
      </c>
      <c r="E988" s="1" t="s">
        <v>2555</v>
      </c>
      <c r="F988" s="1" t="s">
        <v>2556</v>
      </c>
      <c r="G988" s="1" t="s">
        <v>24</v>
      </c>
      <c r="H988" s="1" t="s">
        <v>1859</v>
      </c>
      <c r="I988" s="1" t="s">
        <v>86</v>
      </c>
      <c r="J988" s="1" t="s">
        <v>87</v>
      </c>
      <c r="K988" s="1" t="s">
        <v>2160</v>
      </c>
      <c r="L988" s="1" t="s">
        <v>29</v>
      </c>
      <c r="M988" s="1" t="s">
        <v>53</v>
      </c>
      <c r="N988" s="1" t="s">
        <v>2161</v>
      </c>
      <c r="O988">
        <v>56.567999999999998</v>
      </c>
      <c r="P988">
        <v>2</v>
      </c>
      <c r="Q988">
        <v>-74.952600000000004</v>
      </c>
      <c r="R988" s="1" t="s">
        <v>4422</v>
      </c>
      <c r="S988">
        <v>2014</v>
      </c>
      <c r="T988" s="1" t="s">
        <v>90</v>
      </c>
    </row>
    <row r="989" spans="1:20" x14ac:dyDescent="0.25">
      <c r="A989" s="1" t="s">
        <v>2925</v>
      </c>
      <c r="B989" s="2">
        <v>43072</v>
      </c>
      <c r="C989" s="2">
        <v>43076</v>
      </c>
      <c r="D989" s="1" t="s">
        <v>21</v>
      </c>
      <c r="E989" s="1" t="s">
        <v>1305</v>
      </c>
      <c r="F989" s="1" t="s">
        <v>1306</v>
      </c>
      <c r="G989" s="1" t="s">
        <v>94</v>
      </c>
      <c r="H989" s="1" t="s">
        <v>183</v>
      </c>
      <c r="I989" s="1" t="s">
        <v>184</v>
      </c>
      <c r="J989" s="1" t="s">
        <v>51</v>
      </c>
      <c r="K989" s="1" t="s">
        <v>1238</v>
      </c>
      <c r="L989" s="1" t="s">
        <v>29</v>
      </c>
      <c r="M989" s="1" t="s">
        <v>43</v>
      </c>
      <c r="N989" s="1" t="s">
        <v>1239</v>
      </c>
      <c r="O989">
        <v>521.96</v>
      </c>
      <c r="P989">
        <v>2</v>
      </c>
      <c r="Q989">
        <v>88.733199999999997</v>
      </c>
      <c r="R989" s="1" t="s">
        <v>4424</v>
      </c>
      <c r="S989">
        <v>2017</v>
      </c>
      <c r="T989" s="1" t="s">
        <v>90</v>
      </c>
    </row>
    <row r="990" spans="1:20" x14ac:dyDescent="0.25">
      <c r="A990" s="1" t="s">
        <v>2926</v>
      </c>
      <c r="B990" s="2">
        <v>41797</v>
      </c>
      <c r="C990" s="2">
        <v>41801</v>
      </c>
      <c r="D990" s="1" t="s">
        <v>21</v>
      </c>
      <c r="E990" s="1" t="s">
        <v>2927</v>
      </c>
      <c r="F990" s="1" t="s">
        <v>2928</v>
      </c>
      <c r="G990" s="1" t="s">
        <v>24</v>
      </c>
      <c r="H990" s="1" t="s">
        <v>171</v>
      </c>
      <c r="I990" s="1" t="s">
        <v>126</v>
      </c>
      <c r="J990" s="1" t="s">
        <v>87</v>
      </c>
      <c r="K990" s="1" t="s">
        <v>445</v>
      </c>
      <c r="L990" s="1" t="s">
        <v>29</v>
      </c>
      <c r="M990" s="1" t="s">
        <v>43</v>
      </c>
      <c r="N990" s="1" t="s">
        <v>446</v>
      </c>
      <c r="O990">
        <v>268.935</v>
      </c>
      <c r="P990">
        <v>3</v>
      </c>
      <c r="Q990">
        <v>-209.76929999999999</v>
      </c>
      <c r="R990" s="1" t="s">
        <v>4424</v>
      </c>
      <c r="S990">
        <v>2014</v>
      </c>
      <c r="T990" s="1" t="s">
        <v>55</v>
      </c>
    </row>
    <row r="991" spans="1:20" x14ac:dyDescent="0.25">
      <c r="A991" s="1" t="s">
        <v>2929</v>
      </c>
      <c r="B991" s="2">
        <v>41968</v>
      </c>
      <c r="C991" s="2">
        <v>41972</v>
      </c>
      <c r="D991" s="1" t="s">
        <v>21</v>
      </c>
      <c r="E991" s="1" t="s">
        <v>1342</v>
      </c>
      <c r="F991" s="1" t="s">
        <v>1343</v>
      </c>
      <c r="G991" s="1" t="s">
        <v>94</v>
      </c>
      <c r="H991" s="1" t="s">
        <v>165</v>
      </c>
      <c r="I991" s="1" t="s">
        <v>114</v>
      </c>
      <c r="J991" s="1" t="s">
        <v>63</v>
      </c>
      <c r="K991" s="1" t="s">
        <v>1467</v>
      </c>
      <c r="L991" s="1" t="s">
        <v>29</v>
      </c>
      <c r="M991" s="1" t="s">
        <v>30</v>
      </c>
      <c r="N991" s="1" t="s">
        <v>1468</v>
      </c>
      <c r="O991">
        <v>275.952</v>
      </c>
      <c r="P991">
        <v>3</v>
      </c>
      <c r="Q991">
        <v>-37.943399999999997</v>
      </c>
      <c r="R991" s="1" t="s">
        <v>4424</v>
      </c>
      <c r="S991">
        <v>2014</v>
      </c>
      <c r="T991" s="1" t="s">
        <v>32</v>
      </c>
    </row>
    <row r="992" spans="1:20" x14ac:dyDescent="0.25">
      <c r="A992" s="1" t="s">
        <v>2930</v>
      </c>
      <c r="B992" s="2">
        <v>42092</v>
      </c>
      <c r="C992" s="2">
        <v>42094</v>
      </c>
      <c r="D992" s="1" t="s">
        <v>21</v>
      </c>
      <c r="E992" s="1" t="s">
        <v>2931</v>
      </c>
      <c r="F992" s="1" t="s">
        <v>2932</v>
      </c>
      <c r="G992" s="1" t="s">
        <v>24</v>
      </c>
      <c r="H992" s="1" t="s">
        <v>630</v>
      </c>
      <c r="I992" s="1" t="s">
        <v>50</v>
      </c>
      <c r="J992" s="1" t="s">
        <v>51</v>
      </c>
      <c r="K992" s="1" t="s">
        <v>2317</v>
      </c>
      <c r="L992" s="1" t="s">
        <v>29</v>
      </c>
      <c r="M992" s="1" t="s">
        <v>53</v>
      </c>
      <c r="N992" s="1" t="s">
        <v>2318</v>
      </c>
      <c r="O992">
        <v>19.920000000000002</v>
      </c>
      <c r="P992">
        <v>3</v>
      </c>
      <c r="Q992">
        <v>9.5616000000000003</v>
      </c>
      <c r="R992" s="1" t="s">
        <v>4423</v>
      </c>
      <c r="S992">
        <v>2015</v>
      </c>
      <c r="T992" s="1" t="s">
        <v>187</v>
      </c>
    </row>
    <row r="993" spans="1:20" x14ac:dyDescent="0.25">
      <c r="A993" s="1" t="s">
        <v>2933</v>
      </c>
      <c r="B993" s="2">
        <v>42467</v>
      </c>
      <c r="C993" s="2">
        <v>42472</v>
      </c>
      <c r="D993" s="1" t="s">
        <v>37</v>
      </c>
      <c r="E993" s="1" t="s">
        <v>711</v>
      </c>
      <c r="F993" s="1" t="s">
        <v>712</v>
      </c>
      <c r="G993" s="1" t="s">
        <v>84</v>
      </c>
      <c r="H993" s="1" t="s">
        <v>165</v>
      </c>
      <c r="I993" s="1" t="s">
        <v>114</v>
      </c>
      <c r="J993" s="1" t="s">
        <v>63</v>
      </c>
      <c r="K993" s="1" t="s">
        <v>33</v>
      </c>
      <c r="L993" s="1" t="s">
        <v>29</v>
      </c>
      <c r="M993" s="1" t="s">
        <v>34</v>
      </c>
      <c r="N993" s="1" t="s">
        <v>35</v>
      </c>
      <c r="O993">
        <v>658.74599999999998</v>
      </c>
      <c r="P993">
        <v>3</v>
      </c>
      <c r="Q993">
        <v>146.38800000000001</v>
      </c>
      <c r="R993" s="1" t="s">
        <v>4422</v>
      </c>
      <c r="S993">
        <v>2016</v>
      </c>
      <c r="T993" s="1" t="s">
        <v>107</v>
      </c>
    </row>
    <row r="994" spans="1:20" x14ac:dyDescent="0.25">
      <c r="A994" s="1" t="s">
        <v>2934</v>
      </c>
      <c r="B994" s="2">
        <v>42053</v>
      </c>
      <c r="C994" s="2">
        <v>42059</v>
      </c>
      <c r="D994" s="1" t="s">
        <v>37</v>
      </c>
      <c r="E994" s="1" t="s">
        <v>2935</v>
      </c>
      <c r="F994" s="1" t="s">
        <v>2936</v>
      </c>
      <c r="G994" s="1" t="s">
        <v>24</v>
      </c>
      <c r="H994" s="1" t="s">
        <v>721</v>
      </c>
      <c r="I994" s="1" t="s">
        <v>50</v>
      </c>
      <c r="J994" s="1" t="s">
        <v>51</v>
      </c>
      <c r="K994" s="1" t="s">
        <v>1240</v>
      </c>
      <c r="L994" s="1" t="s">
        <v>29</v>
      </c>
      <c r="M994" s="1" t="s">
        <v>43</v>
      </c>
      <c r="N994" s="1" t="s">
        <v>1241</v>
      </c>
      <c r="O994">
        <v>35.543999999999997</v>
      </c>
      <c r="P994">
        <v>1</v>
      </c>
      <c r="Q994">
        <v>-0.88859999999999995</v>
      </c>
      <c r="R994" s="1" t="s">
        <v>4426</v>
      </c>
      <c r="S994">
        <v>2015</v>
      </c>
      <c r="T994" s="1" t="s">
        <v>289</v>
      </c>
    </row>
    <row r="995" spans="1:20" x14ac:dyDescent="0.25">
      <c r="A995" s="1" t="s">
        <v>2937</v>
      </c>
      <c r="B995" s="2">
        <v>42432</v>
      </c>
      <c r="C995" s="2">
        <v>42432</v>
      </c>
      <c r="D995" s="1" t="s">
        <v>417</v>
      </c>
      <c r="E995" s="1" t="s">
        <v>1717</v>
      </c>
      <c r="F995" s="1" t="s">
        <v>1718</v>
      </c>
      <c r="G995" s="1" t="s">
        <v>84</v>
      </c>
      <c r="H995" s="1" t="s">
        <v>320</v>
      </c>
      <c r="I995" s="1" t="s">
        <v>50</v>
      </c>
      <c r="J995" s="1" t="s">
        <v>51</v>
      </c>
      <c r="K995" s="1" t="s">
        <v>2400</v>
      </c>
      <c r="L995" s="1" t="s">
        <v>29</v>
      </c>
      <c r="M995" s="1" t="s">
        <v>53</v>
      </c>
      <c r="N995" s="1" t="s">
        <v>2401</v>
      </c>
      <c r="O995">
        <v>35.28</v>
      </c>
      <c r="P995">
        <v>3</v>
      </c>
      <c r="Q995">
        <v>11.995200000000001</v>
      </c>
      <c r="R995" s="1" t="s">
        <v>4427</v>
      </c>
      <c r="S995">
        <v>2016</v>
      </c>
      <c r="T995" s="1" t="s">
        <v>187</v>
      </c>
    </row>
    <row r="996" spans="1:20" x14ac:dyDescent="0.25">
      <c r="A996" s="1" t="s">
        <v>2938</v>
      </c>
      <c r="B996" s="2">
        <v>43059</v>
      </c>
      <c r="C996" s="2">
        <v>43063</v>
      </c>
      <c r="D996" s="1" t="s">
        <v>37</v>
      </c>
      <c r="E996" s="1" t="s">
        <v>2939</v>
      </c>
      <c r="F996" s="1" t="s">
        <v>2940</v>
      </c>
      <c r="G996" s="1" t="s">
        <v>24</v>
      </c>
      <c r="H996" s="1" t="s">
        <v>468</v>
      </c>
      <c r="I996" s="1" t="s">
        <v>133</v>
      </c>
      <c r="J996" s="1" t="s">
        <v>27</v>
      </c>
      <c r="K996" s="1" t="s">
        <v>659</v>
      </c>
      <c r="L996" s="1" t="s">
        <v>29</v>
      </c>
      <c r="M996" s="1" t="s">
        <v>34</v>
      </c>
      <c r="N996" s="1" t="s">
        <v>660</v>
      </c>
      <c r="O996">
        <v>209.56800000000001</v>
      </c>
      <c r="P996">
        <v>2</v>
      </c>
      <c r="Q996">
        <v>-23.5764</v>
      </c>
      <c r="R996" s="1" t="s">
        <v>4424</v>
      </c>
      <c r="S996">
        <v>2017</v>
      </c>
      <c r="T996" s="1" t="s">
        <v>32</v>
      </c>
    </row>
    <row r="997" spans="1:20" x14ac:dyDescent="0.25">
      <c r="A997" s="1" t="s">
        <v>2941</v>
      </c>
      <c r="B997" s="2">
        <v>43062</v>
      </c>
      <c r="C997" s="2">
        <v>43066</v>
      </c>
      <c r="D997" s="1" t="s">
        <v>37</v>
      </c>
      <c r="E997" s="1" t="s">
        <v>2942</v>
      </c>
      <c r="F997" s="1" t="s">
        <v>2943</v>
      </c>
      <c r="G997" s="1" t="s">
        <v>24</v>
      </c>
      <c r="H997" s="1" t="s">
        <v>125</v>
      </c>
      <c r="I997" s="1" t="s">
        <v>126</v>
      </c>
      <c r="J997" s="1" t="s">
        <v>87</v>
      </c>
      <c r="K997" s="1" t="s">
        <v>1953</v>
      </c>
      <c r="L997" s="1" t="s">
        <v>29</v>
      </c>
      <c r="M997" s="1" t="s">
        <v>53</v>
      </c>
      <c r="N997" s="1" t="s">
        <v>1954</v>
      </c>
      <c r="O997">
        <v>6.4640000000000004</v>
      </c>
      <c r="P997">
        <v>1</v>
      </c>
      <c r="Q997">
        <v>-4.04</v>
      </c>
      <c r="R997" s="1" t="s">
        <v>4424</v>
      </c>
      <c r="S997">
        <v>2017</v>
      </c>
      <c r="T997" s="1" t="s">
        <v>32</v>
      </c>
    </row>
    <row r="998" spans="1:20" x14ac:dyDescent="0.25">
      <c r="A998" s="1" t="s">
        <v>2944</v>
      </c>
      <c r="B998" s="2">
        <v>41828</v>
      </c>
      <c r="C998" s="2">
        <v>41830</v>
      </c>
      <c r="D998" s="1" t="s">
        <v>81</v>
      </c>
      <c r="E998" s="1" t="s">
        <v>2098</v>
      </c>
      <c r="F998" s="1" t="s">
        <v>2099</v>
      </c>
      <c r="G998" s="1" t="s">
        <v>24</v>
      </c>
      <c r="H998" s="1" t="s">
        <v>2945</v>
      </c>
      <c r="I998" s="1" t="s">
        <v>114</v>
      </c>
      <c r="J998" s="1" t="s">
        <v>63</v>
      </c>
      <c r="K998" s="1" t="s">
        <v>581</v>
      </c>
      <c r="L998" s="1" t="s">
        <v>29</v>
      </c>
      <c r="M998" s="1" t="s">
        <v>34</v>
      </c>
      <c r="N998" s="1" t="s">
        <v>582</v>
      </c>
      <c r="O998">
        <v>63.881999999999998</v>
      </c>
      <c r="P998">
        <v>1</v>
      </c>
      <c r="Q998">
        <v>10.647</v>
      </c>
      <c r="R998" s="1" t="s">
        <v>4423</v>
      </c>
      <c r="S998">
        <v>2014</v>
      </c>
      <c r="T998" s="1" t="s">
        <v>66</v>
      </c>
    </row>
    <row r="999" spans="1:20" x14ac:dyDescent="0.25">
      <c r="A999" s="1" t="s">
        <v>2946</v>
      </c>
      <c r="B999" s="2">
        <v>41950</v>
      </c>
      <c r="C999" s="2">
        <v>41955</v>
      </c>
      <c r="D999" s="1" t="s">
        <v>37</v>
      </c>
      <c r="E999" s="1" t="s">
        <v>189</v>
      </c>
      <c r="F999" s="1" t="s">
        <v>190</v>
      </c>
      <c r="G999" s="1" t="s">
        <v>24</v>
      </c>
      <c r="H999" s="1" t="s">
        <v>95</v>
      </c>
      <c r="I999" s="1" t="s">
        <v>86</v>
      </c>
      <c r="J999" s="1" t="s">
        <v>87</v>
      </c>
      <c r="K999" s="1" t="s">
        <v>2068</v>
      </c>
      <c r="L999" s="1" t="s">
        <v>29</v>
      </c>
      <c r="M999" s="1" t="s">
        <v>34</v>
      </c>
      <c r="N999" s="1" t="s">
        <v>2069</v>
      </c>
      <c r="O999">
        <v>683.14400000000001</v>
      </c>
      <c r="P999">
        <v>4</v>
      </c>
      <c r="Q999">
        <v>0</v>
      </c>
      <c r="R999" s="1" t="s">
        <v>4422</v>
      </c>
      <c r="S999">
        <v>2014</v>
      </c>
      <c r="T999" s="1" t="s">
        <v>32</v>
      </c>
    </row>
    <row r="1000" spans="1:20" x14ac:dyDescent="0.25">
      <c r="A1000" s="1" t="s">
        <v>2947</v>
      </c>
      <c r="B1000" s="2">
        <v>42349</v>
      </c>
      <c r="C1000" s="2">
        <v>42354</v>
      </c>
      <c r="D1000" s="1" t="s">
        <v>37</v>
      </c>
      <c r="E1000" s="1" t="s">
        <v>1265</v>
      </c>
      <c r="F1000" s="1" t="s">
        <v>1266</v>
      </c>
      <c r="G1000" s="1" t="s">
        <v>24</v>
      </c>
      <c r="H1000" s="1" t="s">
        <v>345</v>
      </c>
      <c r="I1000" s="1" t="s">
        <v>172</v>
      </c>
      <c r="J1000" s="1" t="s">
        <v>51</v>
      </c>
      <c r="K1000" s="1" t="s">
        <v>1944</v>
      </c>
      <c r="L1000" s="1" t="s">
        <v>29</v>
      </c>
      <c r="M1000" s="1" t="s">
        <v>30</v>
      </c>
      <c r="N1000" s="1" t="s">
        <v>1945</v>
      </c>
      <c r="O1000">
        <v>69.575999999999993</v>
      </c>
      <c r="P1000">
        <v>4</v>
      </c>
      <c r="Q1000">
        <v>-143.79040000000001</v>
      </c>
      <c r="R1000" s="1" t="s">
        <v>4422</v>
      </c>
      <c r="S1000">
        <v>2015</v>
      </c>
      <c r="T1000" s="1" t="s">
        <v>90</v>
      </c>
    </row>
    <row r="1001" spans="1:20" x14ac:dyDescent="0.25">
      <c r="A1001" s="1" t="s">
        <v>2947</v>
      </c>
      <c r="B1001" s="2">
        <v>42349</v>
      </c>
      <c r="C1001" s="2">
        <v>42354</v>
      </c>
      <c r="D1001" s="1" t="s">
        <v>37</v>
      </c>
      <c r="E1001" s="1" t="s">
        <v>1265</v>
      </c>
      <c r="F1001" s="1" t="s">
        <v>1266</v>
      </c>
      <c r="G1001" s="1" t="s">
        <v>24</v>
      </c>
      <c r="H1001" s="1" t="s">
        <v>345</v>
      </c>
      <c r="I1001" s="1" t="s">
        <v>172</v>
      </c>
      <c r="J1001" s="1" t="s">
        <v>51</v>
      </c>
      <c r="K1001" s="1" t="s">
        <v>1339</v>
      </c>
      <c r="L1001" s="1" t="s">
        <v>29</v>
      </c>
      <c r="M1001" s="1" t="s">
        <v>53</v>
      </c>
      <c r="N1001" s="1" t="s">
        <v>1340</v>
      </c>
      <c r="O1001">
        <v>52.415999999999997</v>
      </c>
      <c r="P1001">
        <v>9</v>
      </c>
      <c r="Q1001">
        <v>15.069599999999999</v>
      </c>
      <c r="R1001" s="1" t="s">
        <v>4422</v>
      </c>
      <c r="S1001">
        <v>2015</v>
      </c>
      <c r="T1001" s="1" t="s">
        <v>90</v>
      </c>
    </row>
    <row r="1002" spans="1:20" x14ac:dyDescent="0.25">
      <c r="A1002" s="1" t="s">
        <v>2947</v>
      </c>
      <c r="B1002" s="2">
        <v>42349</v>
      </c>
      <c r="C1002" s="2">
        <v>42354</v>
      </c>
      <c r="D1002" s="1" t="s">
        <v>37</v>
      </c>
      <c r="E1002" s="1" t="s">
        <v>1265</v>
      </c>
      <c r="F1002" s="1" t="s">
        <v>1266</v>
      </c>
      <c r="G1002" s="1" t="s">
        <v>24</v>
      </c>
      <c r="H1002" s="1" t="s">
        <v>345</v>
      </c>
      <c r="I1002" s="1" t="s">
        <v>172</v>
      </c>
      <c r="J1002" s="1" t="s">
        <v>51</v>
      </c>
      <c r="K1002" s="1" t="s">
        <v>1281</v>
      </c>
      <c r="L1002" s="1" t="s">
        <v>29</v>
      </c>
      <c r="M1002" s="1" t="s">
        <v>53</v>
      </c>
      <c r="N1002" s="1" t="s">
        <v>1282</v>
      </c>
      <c r="O1002">
        <v>54.92</v>
      </c>
      <c r="P1002">
        <v>5</v>
      </c>
      <c r="Q1002">
        <v>10.984</v>
      </c>
      <c r="R1002" s="1" t="s">
        <v>4422</v>
      </c>
      <c r="S1002">
        <v>2015</v>
      </c>
      <c r="T1002" s="1" t="s">
        <v>90</v>
      </c>
    </row>
    <row r="1003" spans="1:20" x14ac:dyDescent="0.25">
      <c r="A1003" s="1" t="s">
        <v>2947</v>
      </c>
      <c r="B1003" s="2">
        <v>42349</v>
      </c>
      <c r="C1003" s="2">
        <v>42354</v>
      </c>
      <c r="D1003" s="1" t="s">
        <v>37</v>
      </c>
      <c r="E1003" s="1" t="s">
        <v>1265</v>
      </c>
      <c r="F1003" s="1" t="s">
        <v>1266</v>
      </c>
      <c r="G1003" s="1" t="s">
        <v>24</v>
      </c>
      <c r="H1003" s="1" t="s">
        <v>345</v>
      </c>
      <c r="I1003" s="1" t="s">
        <v>172</v>
      </c>
      <c r="J1003" s="1" t="s">
        <v>51</v>
      </c>
      <c r="K1003" s="1" t="s">
        <v>1891</v>
      </c>
      <c r="L1003" s="1" t="s">
        <v>29</v>
      </c>
      <c r="M1003" s="1" t="s">
        <v>43</v>
      </c>
      <c r="N1003" s="1" t="s">
        <v>1892</v>
      </c>
      <c r="O1003">
        <v>364.95</v>
      </c>
      <c r="P1003">
        <v>5</v>
      </c>
      <c r="Q1003">
        <v>-248.166</v>
      </c>
      <c r="R1003" s="1" t="s">
        <v>4422</v>
      </c>
      <c r="S1003">
        <v>2015</v>
      </c>
      <c r="T1003" s="1" t="s">
        <v>90</v>
      </c>
    </row>
    <row r="1004" spans="1:20" x14ac:dyDescent="0.25">
      <c r="A1004" s="1" t="s">
        <v>2948</v>
      </c>
      <c r="B1004" s="2">
        <v>42079</v>
      </c>
      <c r="C1004" s="2">
        <v>42086</v>
      </c>
      <c r="D1004" s="1" t="s">
        <v>37</v>
      </c>
      <c r="E1004" s="1" t="s">
        <v>2949</v>
      </c>
      <c r="F1004" s="1" t="s">
        <v>2950</v>
      </c>
      <c r="G1004" s="1" t="s">
        <v>84</v>
      </c>
      <c r="H1004" s="1" t="s">
        <v>49</v>
      </c>
      <c r="I1004" s="1" t="s">
        <v>50</v>
      </c>
      <c r="J1004" s="1" t="s">
        <v>51</v>
      </c>
      <c r="K1004" s="1" t="s">
        <v>2681</v>
      </c>
      <c r="L1004" s="1" t="s">
        <v>29</v>
      </c>
      <c r="M1004" s="1" t="s">
        <v>53</v>
      </c>
      <c r="N1004" s="1" t="s">
        <v>2682</v>
      </c>
      <c r="O1004">
        <v>43.13</v>
      </c>
      <c r="P1004">
        <v>1</v>
      </c>
      <c r="Q1004">
        <v>18.114599999999999</v>
      </c>
      <c r="R1004" s="1" t="s">
        <v>4421</v>
      </c>
      <c r="S1004">
        <v>2015</v>
      </c>
      <c r="T1004" s="1" t="s">
        <v>187</v>
      </c>
    </row>
    <row r="1005" spans="1:20" x14ac:dyDescent="0.25">
      <c r="A1005" s="1" t="s">
        <v>2951</v>
      </c>
      <c r="B1005" s="2">
        <v>42504</v>
      </c>
      <c r="C1005" s="2">
        <v>42509</v>
      </c>
      <c r="D1005" s="1" t="s">
        <v>37</v>
      </c>
      <c r="E1005" s="1" t="s">
        <v>418</v>
      </c>
      <c r="F1005" s="1" t="s">
        <v>419</v>
      </c>
      <c r="G1005" s="1" t="s">
        <v>84</v>
      </c>
      <c r="H1005" s="1" t="s">
        <v>597</v>
      </c>
      <c r="I1005" s="1" t="s">
        <v>41</v>
      </c>
      <c r="J1005" s="1" t="s">
        <v>27</v>
      </c>
      <c r="K1005" s="1" t="s">
        <v>2605</v>
      </c>
      <c r="L1005" s="1" t="s">
        <v>29</v>
      </c>
      <c r="M1005" s="1" t="s">
        <v>53</v>
      </c>
      <c r="N1005" s="1" t="s">
        <v>2606</v>
      </c>
      <c r="O1005">
        <v>30.192</v>
      </c>
      <c r="P1005">
        <v>3</v>
      </c>
      <c r="Q1005">
        <v>8.3027999999999995</v>
      </c>
      <c r="R1005" s="1" t="s">
        <v>4422</v>
      </c>
      <c r="S1005">
        <v>2016</v>
      </c>
      <c r="T1005" s="1" t="s">
        <v>153</v>
      </c>
    </row>
    <row r="1006" spans="1:20" x14ac:dyDescent="0.25">
      <c r="A1006" s="1" t="s">
        <v>2952</v>
      </c>
      <c r="B1006" s="2">
        <v>42929</v>
      </c>
      <c r="C1006" s="2">
        <v>42933</v>
      </c>
      <c r="D1006" s="1" t="s">
        <v>21</v>
      </c>
      <c r="E1006" s="1" t="s">
        <v>2624</v>
      </c>
      <c r="F1006" s="1" t="s">
        <v>2625</v>
      </c>
      <c r="G1006" s="1" t="s">
        <v>24</v>
      </c>
      <c r="H1006" s="1" t="s">
        <v>61</v>
      </c>
      <c r="I1006" s="1" t="s">
        <v>62</v>
      </c>
      <c r="J1006" s="1" t="s">
        <v>63</v>
      </c>
      <c r="K1006" s="1" t="s">
        <v>1825</v>
      </c>
      <c r="L1006" s="1" t="s">
        <v>29</v>
      </c>
      <c r="M1006" s="1" t="s">
        <v>53</v>
      </c>
      <c r="N1006" s="1" t="s">
        <v>1826</v>
      </c>
      <c r="O1006">
        <v>91.007999999999996</v>
      </c>
      <c r="P1006">
        <v>9</v>
      </c>
      <c r="Q1006">
        <v>19.339200000000002</v>
      </c>
      <c r="R1006" s="1" t="s">
        <v>4424</v>
      </c>
      <c r="S1006">
        <v>2017</v>
      </c>
      <c r="T1006" s="1" t="s">
        <v>66</v>
      </c>
    </row>
    <row r="1007" spans="1:20" x14ac:dyDescent="0.25">
      <c r="A1007" s="1" t="s">
        <v>2953</v>
      </c>
      <c r="B1007" s="2">
        <v>42688</v>
      </c>
      <c r="C1007" s="2">
        <v>42693</v>
      </c>
      <c r="D1007" s="1" t="s">
        <v>21</v>
      </c>
      <c r="E1007" s="1" t="s">
        <v>2954</v>
      </c>
      <c r="F1007" s="1" t="s">
        <v>2955</v>
      </c>
      <c r="G1007" s="1" t="s">
        <v>24</v>
      </c>
      <c r="H1007" s="1" t="s">
        <v>61</v>
      </c>
      <c r="I1007" s="1" t="s">
        <v>62</v>
      </c>
      <c r="J1007" s="1" t="s">
        <v>63</v>
      </c>
      <c r="K1007" s="1" t="s">
        <v>412</v>
      </c>
      <c r="L1007" s="1" t="s">
        <v>29</v>
      </c>
      <c r="M1007" s="1" t="s">
        <v>34</v>
      </c>
      <c r="N1007" s="1" t="s">
        <v>413</v>
      </c>
      <c r="O1007">
        <v>380.05799999999999</v>
      </c>
      <c r="P1007">
        <v>3</v>
      </c>
      <c r="Q1007">
        <v>-21.717600000000001</v>
      </c>
      <c r="R1007" s="1" t="s">
        <v>4422</v>
      </c>
      <c r="S1007">
        <v>2016</v>
      </c>
      <c r="T1007" s="1" t="s">
        <v>32</v>
      </c>
    </row>
    <row r="1008" spans="1:20" x14ac:dyDescent="0.25">
      <c r="A1008" s="1" t="s">
        <v>2953</v>
      </c>
      <c r="B1008" s="2">
        <v>42688</v>
      </c>
      <c r="C1008" s="2">
        <v>42693</v>
      </c>
      <c r="D1008" s="1" t="s">
        <v>21</v>
      </c>
      <c r="E1008" s="1" t="s">
        <v>2954</v>
      </c>
      <c r="F1008" s="1" t="s">
        <v>2955</v>
      </c>
      <c r="G1008" s="1" t="s">
        <v>24</v>
      </c>
      <c r="H1008" s="1" t="s">
        <v>61</v>
      </c>
      <c r="I1008" s="1" t="s">
        <v>62</v>
      </c>
      <c r="J1008" s="1" t="s">
        <v>63</v>
      </c>
      <c r="K1008" s="1" t="s">
        <v>2956</v>
      </c>
      <c r="L1008" s="1" t="s">
        <v>29</v>
      </c>
      <c r="M1008" s="1" t="s">
        <v>53</v>
      </c>
      <c r="N1008" s="1" t="s">
        <v>2957</v>
      </c>
      <c r="O1008">
        <v>48.576000000000001</v>
      </c>
      <c r="P1008">
        <v>3</v>
      </c>
      <c r="Q1008">
        <v>9.7151999999999994</v>
      </c>
      <c r="R1008" s="1" t="s">
        <v>4422</v>
      </c>
      <c r="S1008">
        <v>2016</v>
      </c>
      <c r="T1008" s="1" t="s">
        <v>32</v>
      </c>
    </row>
    <row r="1009" spans="1:20" x14ac:dyDescent="0.25">
      <c r="A1009" s="1" t="s">
        <v>2958</v>
      </c>
      <c r="B1009" s="2">
        <v>42695</v>
      </c>
      <c r="C1009" s="2">
        <v>42700</v>
      </c>
      <c r="D1009" s="1" t="s">
        <v>37</v>
      </c>
      <c r="E1009" s="1" t="s">
        <v>1350</v>
      </c>
      <c r="F1009" s="1" t="s">
        <v>1351</v>
      </c>
      <c r="G1009" s="1" t="s">
        <v>24</v>
      </c>
      <c r="H1009" s="1" t="s">
        <v>339</v>
      </c>
      <c r="I1009" s="1" t="s">
        <v>223</v>
      </c>
      <c r="J1009" s="1" t="s">
        <v>63</v>
      </c>
      <c r="K1009" s="1" t="s">
        <v>243</v>
      </c>
      <c r="L1009" s="1" t="s">
        <v>29</v>
      </c>
      <c r="M1009" s="1" t="s">
        <v>34</v>
      </c>
      <c r="N1009" s="1" t="s">
        <v>244</v>
      </c>
      <c r="O1009">
        <v>127.554</v>
      </c>
      <c r="P1009">
        <v>3</v>
      </c>
      <c r="Q1009">
        <v>-9.1110000000000007</v>
      </c>
      <c r="R1009" s="1" t="s">
        <v>4422</v>
      </c>
      <c r="S1009">
        <v>2016</v>
      </c>
      <c r="T1009" s="1" t="s">
        <v>32</v>
      </c>
    </row>
    <row r="1010" spans="1:20" x14ac:dyDescent="0.25">
      <c r="A1010" s="1" t="s">
        <v>2958</v>
      </c>
      <c r="B1010" s="2">
        <v>42695</v>
      </c>
      <c r="C1010" s="2">
        <v>42700</v>
      </c>
      <c r="D1010" s="1" t="s">
        <v>37</v>
      </c>
      <c r="E1010" s="1" t="s">
        <v>1350</v>
      </c>
      <c r="F1010" s="1" t="s">
        <v>1351</v>
      </c>
      <c r="G1010" s="1" t="s">
        <v>24</v>
      </c>
      <c r="H1010" s="1" t="s">
        <v>339</v>
      </c>
      <c r="I1010" s="1" t="s">
        <v>223</v>
      </c>
      <c r="J1010" s="1" t="s">
        <v>63</v>
      </c>
      <c r="K1010" s="1" t="s">
        <v>2046</v>
      </c>
      <c r="L1010" s="1" t="s">
        <v>29</v>
      </c>
      <c r="M1010" s="1" t="s">
        <v>53</v>
      </c>
      <c r="N1010" s="1" t="s">
        <v>2047</v>
      </c>
      <c r="O1010">
        <v>77.951999999999998</v>
      </c>
      <c r="P1010">
        <v>3</v>
      </c>
      <c r="Q1010">
        <v>15.590400000000001</v>
      </c>
      <c r="R1010" s="1" t="s">
        <v>4422</v>
      </c>
      <c r="S1010">
        <v>2016</v>
      </c>
      <c r="T1010" s="1" t="s">
        <v>32</v>
      </c>
    </row>
    <row r="1011" spans="1:20" x14ac:dyDescent="0.25">
      <c r="A1011" s="1" t="s">
        <v>2959</v>
      </c>
      <c r="B1011" s="2">
        <v>43059</v>
      </c>
      <c r="C1011" s="2">
        <v>43064</v>
      </c>
      <c r="D1011" s="1" t="s">
        <v>37</v>
      </c>
      <c r="E1011" s="1" t="s">
        <v>892</v>
      </c>
      <c r="F1011" s="1" t="s">
        <v>893</v>
      </c>
      <c r="G1011" s="1" t="s">
        <v>94</v>
      </c>
      <c r="H1011" s="1" t="s">
        <v>25</v>
      </c>
      <c r="I1011" s="1" t="s">
        <v>26</v>
      </c>
      <c r="J1011" s="1" t="s">
        <v>27</v>
      </c>
      <c r="K1011" s="1" t="s">
        <v>166</v>
      </c>
      <c r="L1011" s="1" t="s">
        <v>29</v>
      </c>
      <c r="M1011" s="1" t="s">
        <v>53</v>
      </c>
      <c r="N1011" s="1" t="s">
        <v>167</v>
      </c>
      <c r="O1011">
        <v>27.58</v>
      </c>
      <c r="P1011">
        <v>2</v>
      </c>
      <c r="Q1011">
        <v>11.583600000000001</v>
      </c>
      <c r="R1011" s="1" t="s">
        <v>4422</v>
      </c>
      <c r="S1011">
        <v>2017</v>
      </c>
      <c r="T1011" s="1" t="s">
        <v>32</v>
      </c>
    </row>
    <row r="1012" spans="1:20" x14ac:dyDescent="0.25">
      <c r="A1012" s="1" t="s">
        <v>2960</v>
      </c>
      <c r="B1012" s="2">
        <v>41890</v>
      </c>
      <c r="C1012" s="2">
        <v>41896</v>
      </c>
      <c r="D1012" s="1" t="s">
        <v>37</v>
      </c>
      <c r="E1012" s="1" t="s">
        <v>1394</v>
      </c>
      <c r="F1012" s="1" t="s">
        <v>1395</v>
      </c>
      <c r="G1012" s="1" t="s">
        <v>24</v>
      </c>
      <c r="H1012" s="1" t="s">
        <v>2961</v>
      </c>
      <c r="I1012" s="1" t="s">
        <v>184</v>
      </c>
      <c r="J1012" s="1" t="s">
        <v>51</v>
      </c>
      <c r="K1012" s="1" t="s">
        <v>33</v>
      </c>
      <c r="L1012" s="1" t="s">
        <v>29</v>
      </c>
      <c r="M1012" s="1" t="s">
        <v>34</v>
      </c>
      <c r="N1012" s="1" t="s">
        <v>35</v>
      </c>
      <c r="O1012">
        <v>975.92</v>
      </c>
      <c r="P1012">
        <v>5</v>
      </c>
      <c r="Q1012">
        <v>121.99</v>
      </c>
      <c r="R1012" s="1" t="s">
        <v>4426</v>
      </c>
      <c r="S1012">
        <v>2014</v>
      </c>
      <c r="T1012" s="1" t="s">
        <v>72</v>
      </c>
    </row>
    <row r="1013" spans="1:20" x14ac:dyDescent="0.25">
      <c r="A1013" s="1" t="s">
        <v>2962</v>
      </c>
      <c r="B1013" s="2">
        <v>41985</v>
      </c>
      <c r="C1013" s="2">
        <v>41988</v>
      </c>
      <c r="D1013" s="1" t="s">
        <v>21</v>
      </c>
      <c r="E1013" s="1" t="s">
        <v>318</v>
      </c>
      <c r="F1013" s="1" t="s">
        <v>319</v>
      </c>
      <c r="G1013" s="1" t="s">
        <v>24</v>
      </c>
      <c r="H1013" s="1" t="s">
        <v>1461</v>
      </c>
      <c r="I1013" s="1" t="s">
        <v>50</v>
      </c>
      <c r="J1013" s="1" t="s">
        <v>51</v>
      </c>
      <c r="K1013" s="1" t="s">
        <v>1302</v>
      </c>
      <c r="L1013" s="1" t="s">
        <v>29</v>
      </c>
      <c r="M1013" s="1" t="s">
        <v>53</v>
      </c>
      <c r="N1013" s="1" t="s">
        <v>1303</v>
      </c>
      <c r="O1013">
        <v>12.54</v>
      </c>
      <c r="P1013">
        <v>3</v>
      </c>
      <c r="Q1013">
        <v>4.5144000000000002</v>
      </c>
      <c r="R1013" s="1" t="s">
        <v>4420</v>
      </c>
      <c r="S1013">
        <v>2014</v>
      </c>
      <c r="T1013" s="1" t="s">
        <v>90</v>
      </c>
    </row>
    <row r="1014" spans="1:20" x14ac:dyDescent="0.25">
      <c r="A1014" s="1" t="s">
        <v>2962</v>
      </c>
      <c r="B1014" s="2">
        <v>41985</v>
      </c>
      <c r="C1014" s="2">
        <v>41988</v>
      </c>
      <c r="D1014" s="1" t="s">
        <v>21</v>
      </c>
      <c r="E1014" s="1" t="s">
        <v>318</v>
      </c>
      <c r="F1014" s="1" t="s">
        <v>319</v>
      </c>
      <c r="G1014" s="1" t="s">
        <v>24</v>
      </c>
      <c r="H1014" s="1" t="s">
        <v>1461</v>
      </c>
      <c r="I1014" s="1" t="s">
        <v>50</v>
      </c>
      <c r="J1014" s="1" t="s">
        <v>51</v>
      </c>
      <c r="K1014" s="1" t="s">
        <v>105</v>
      </c>
      <c r="L1014" s="1" t="s">
        <v>29</v>
      </c>
      <c r="M1014" s="1" t="s">
        <v>53</v>
      </c>
      <c r="N1014" s="1" t="s">
        <v>106</v>
      </c>
      <c r="O1014">
        <v>9.24</v>
      </c>
      <c r="P1014">
        <v>3</v>
      </c>
      <c r="Q1014">
        <v>4.4352</v>
      </c>
      <c r="R1014" s="1" t="s">
        <v>4420</v>
      </c>
      <c r="S1014">
        <v>2014</v>
      </c>
      <c r="T1014" s="1" t="s">
        <v>90</v>
      </c>
    </row>
    <row r="1015" spans="1:20" x14ac:dyDescent="0.25">
      <c r="A1015" s="1" t="s">
        <v>2963</v>
      </c>
      <c r="B1015" s="2">
        <v>42017</v>
      </c>
      <c r="C1015" s="2">
        <v>42021</v>
      </c>
      <c r="D1015" s="1" t="s">
        <v>37</v>
      </c>
      <c r="E1015" s="1" t="s">
        <v>455</v>
      </c>
      <c r="F1015" s="1" t="s">
        <v>456</v>
      </c>
      <c r="G1015" s="1" t="s">
        <v>24</v>
      </c>
      <c r="H1015" s="1" t="s">
        <v>49</v>
      </c>
      <c r="I1015" s="1" t="s">
        <v>50</v>
      </c>
      <c r="J1015" s="1" t="s">
        <v>51</v>
      </c>
      <c r="K1015" s="1" t="s">
        <v>355</v>
      </c>
      <c r="L1015" s="1" t="s">
        <v>29</v>
      </c>
      <c r="M1015" s="1" t="s">
        <v>53</v>
      </c>
      <c r="N1015" s="1" t="s">
        <v>356</v>
      </c>
      <c r="O1015">
        <v>77.599999999999994</v>
      </c>
      <c r="P1015">
        <v>4</v>
      </c>
      <c r="Q1015">
        <v>38.024000000000001</v>
      </c>
      <c r="R1015" s="1" t="s">
        <v>4424</v>
      </c>
      <c r="S1015">
        <v>2015</v>
      </c>
      <c r="T1015" s="1" t="s">
        <v>161</v>
      </c>
    </row>
    <row r="1016" spans="1:20" x14ac:dyDescent="0.25">
      <c r="A1016" s="1" t="s">
        <v>2963</v>
      </c>
      <c r="B1016" s="2">
        <v>42017</v>
      </c>
      <c r="C1016" s="2">
        <v>42021</v>
      </c>
      <c r="D1016" s="1" t="s">
        <v>37</v>
      </c>
      <c r="E1016" s="1" t="s">
        <v>455</v>
      </c>
      <c r="F1016" s="1" t="s">
        <v>456</v>
      </c>
      <c r="G1016" s="1" t="s">
        <v>24</v>
      </c>
      <c r="H1016" s="1" t="s">
        <v>49</v>
      </c>
      <c r="I1016" s="1" t="s">
        <v>50</v>
      </c>
      <c r="J1016" s="1" t="s">
        <v>51</v>
      </c>
      <c r="K1016" s="1" t="s">
        <v>2964</v>
      </c>
      <c r="L1016" s="1" t="s">
        <v>29</v>
      </c>
      <c r="M1016" s="1" t="s">
        <v>53</v>
      </c>
      <c r="N1016" s="1" t="s">
        <v>2965</v>
      </c>
      <c r="O1016">
        <v>464.85</v>
      </c>
      <c r="P1016">
        <v>9</v>
      </c>
      <c r="Q1016">
        <v>92.97</v>
      </c>
      <c r="R1016" s="1" t="s">
        <v>4424</v>
      </c>
      <c r="S1016">
        <v>2015</v>
      </c>
      <c r="T1016" s="1" t="s">
        <v>161</v>
      </c>
    </row>
    <row r="1017" spans="1:20" x14ac:dyDescent="0.25">
      <c r="A1017" s="1" t="s">
        <v>2966</v>
      </c>
      <c r="B1017" s="2">
        <v>43052</v>
      </c>
      <c r="C1017" s="2">
        <v>43057</v>
      </c>
      <c r="D1017" s="1" t="s">
        <v>37</v>
      </c>
      <c r="E1017" s="1" t="s">
        <v>2339</v>
      </c>
      <c r="F1017" s="1" t="s">
        <v>2340</v>
      </c>
      <c r="G1017" s="1" t="s">
        <v>24</v>
      </c>
      <c r="H1017" s="1" t="s">
        <v>183</v>
      </c>
      <c r="I1017" s="1" t="s">
        <v>184</v>
      </c>
      <c r="J1017" s="1" t="s">
        <v>51</v>
      </c>
      <c r="K1017" s="1" t="s">
        <v>550</v>
      </c>
      <c r="L1017" s="1" t="s">
        <v>29</v>
      </c>
      <c r="M1017" s="1" t="s">
        <v>34</v>
      </c>
      <c r="N1017" s="1" t="s">
        <v>551</v>
      </c>
      <c r="O1017">
        <v>2404.7040000000002</v>
      </c>
      <c r="P1017">
        <v>6</v>
      </c>
      <c r="Q1017">
        <v>150.29400000000001</v>
      </c>
      <c r="R1017" s="1" t="s">
        <v>4422</v>
      </c>
      <c r="S1017">
        <v>2017</v>
      </c>
      <c r="T1017" s="1" t="s">
        <v>32</v>
      </c>
    </row>
    <row r="1018" spans="1:20" x14ac:dyDescent="0.25">
      <c r="A1018" s="1" t="s">
        <v>2967</v>
      </c>
      <c r="B1018" s="2">
        <v>43041</v>
      </c>
      <c r="C1018" s="2">
        <v>43044</v>
      </c>
      <c r="D1018" s="1" t="s">
        <v>21</v>
      </c>
      <c r="E1018" s="1" t="s">
        <v>2968</v>
      </c>
      <c r="F1018" s="1" t="s">
        <v>2969</v>
      </c>
      <c r="G1018" s="1" t="s">
        <v>84</v>
      </c>
      <c r="H1018" s="1" t="s">
        <v>25</v>
      </c>
      <c r="I1018" s="1" t="s">
        <v>26</v>
      </c>
      <c r="J1018" s="1" t="s">
        <v>27</v>
      </c>
      <c r="K1018" s="1" t="s">
        <v>33</v>
      </c>
      <c r="L1018" s="1" t="s">
        <v>29</v>
      </c>
      <c r="M1018" s="1" t="s">
        <v>34</v>
      </c>
      <c r="N1018" s="1" t="s">
        <v>35</v>
      </c>
      <c r="O1018">
        <v>975.92</v>
      </c>
      <c r="P1018">
        <v>4</v>
      </c>
      <c r="Q1018">
        <v>292.77600000000001</v>
      </c>
      <c r="R1018" s="1" t="s">
        <v>4420</v>
      </c>
      <c r="S1018">
        <v>2017</v>
      </c>
      <c r="T1018" s="1" t="s">
        <v>32</v>
      </c>
    </row>
    <row r="1019" spans="1:20" x14ac:dyDescent="0.25">
      <c r="A1019" s="1" t="s">
        <v>2970</v>
      </c>
      <c r="B1019" s="2">
        <v>42702</v>
      </c>
      <c r="C1019" s="2">
        <v>42705</v>
      </c>
      <c r="D1019" s="1" t="s">
        <v>21</v>
      </c>
      <c r="E1019" s="1" t="s">
        <v>1703</v>
      </c>
      <c r="F1019" s="1" t="s">
        <v>1704</v>
      </c>
      <c r="G1019" s="1" t="s">
        <v>84</v>
      </c>
      <c r="H1019" s="1" t="s">
        <v>2971</v>
      </c>
      <c r="I1019" s="1" t="s">
        <v>658</v>
      </c>
      <c r="J1019" s="1" t="s">
        <v>27</v>
      </c>
      <c r="K1019" s="1" t="s">
        <v>290</v>
      </c>
      <c r="L1019" s="1" t="s">
        <v>29</v>
      </c>
      <c r="M1019" s="1" t="s">
        <v>34</v>
      </c>
      <c r="N1019" s="1" t="s">
        <v>291</v>
      </c>
      <c r="O1019">
        <v>182.67</v>
      </c>
      <c r="P1019">
        <v>3</v>
      </c>
      <c r="Q1019">
        <v>52.974299999999999</v>
      </c>
      <c r="R1019" s="1" t="s">
        <v>4420</v>
      </c>
      <c r="S1019">
        <v>2016</v>
      </c>
      <c r="T1019" s="1" t="s">
        <v>32</v>
      </c>
    </row>
    <row r="1020" spans="1:20" x14ac:dyDescent="0.25">
      <c r="A1020" s="1" t="s">
        <v>2972</v>
      </c>
      <c r="B1020" s="2">
        <v>41927</v>
      </c>
      <c r="C1020" s="2">
        <v>41929</v>
      </c>
      <c r="D1020" s="1" t="s">
        <v>81</v>
      </c>
      <c r="E1020" s="1" t="s">
        <v>2973</v>
      </c>
      <c r="F1020" s="1" t="s">
        <v>2974</v>
      </c>
      <c r="G1020" s="1" t="s">
        <v>24</v>
      </c>
      <c r="H1020" s="1" t="s">
        <v>2975</v>
      </c>
      <c r="I1020" s="1" t="s">
        <v>223</v>
      </c>
      <c r="J1020" s="1" t="s">
        <v>63</v>
      </c>
      <c r="K1020" s="1" t="s">
        <v>2035</v>
      </c>
      <c r="L1020" s="1" t="s">
        <v>29</v>
      </c>
      <c r="M1020" s="1" t="s">
        <v>34</v>
      </c>
      <c r="N1020" s="1" t="s">
        <v>2036</v>
      </c>
      <c r="O1020">
        <v>183.37200000000001</v>
      </c>
      <c r="P1020">
        <v>2</v>
      </c>
      <c r="Q1020">
        <v>-7.8587999999999996</v>
      </c>
      <c r="R1020" s="1" t="s">
        <v>4423</v>
      </c>
      <c r="S1020">
        <v>2014</v>
      </c>
      <c r="T1020" s="1" t="s">
        <v>45</v>
      </c>
    </row>
    <row r="1021" spans="1:20" x14ac:dyDescent="0.25">
      <c r="A1021" s="1" t="s">
        <v>2976</v>
      </c>
      <c r="B1021" s="2">
        <v>41974</v>
      </c>
      <c r="C1021" s="2">
        <v>41976</v>
      </c>
      <c r="D1021" s="1" t="s">
        <v>21</v>
      </c>
      <c r="E1021" s="1" t="s">
        <v>560</v>
      </c>
      <c r="F1021" s="1" t="s">
        <v>561</v>
      </c>
      <c r="G1021" s="1" t="s">
        <v>84</v>
      </c>
      <c r="H1021" s="1" t="s">
        <v>95</v>
      </c>
      <c r="I1021" s="1" t="s">
        <v>86</v>
      </c>
      <c r="J1021" s="1" t="s">
        <v>87</v>
      </c>
      <c r="K1021" s="1" t="s">
        <v>786</v>
      </c>
      <c r="L1021" s="1" t="s">
        <v>29</v>
      </c>
      <c r="M1021" s="1" t="s">
        <v>34</v>
      </c>
      <c r="N1021" s="1" t="s">
        <v>787</v>
      </c>
      <c r="O1021">
        <v>674.05799999999999</v>
      </c>
      <c r="P1021">
        <v>3</v>
      </c>
      <c r="Q1021">
        <v>-19.258800000000001</v>
      </c>
      <c r="R1021" s="1" t="s">
        <v>4423</v>
      </c>
      <c r="S1021">
        <v>2014</v>
      </c>
      <c r="T1021" s="1" t="s">
        <v>90</v>
      </c>
    </row>
    <row r="1022" spans="1:20" x14ac:dyDescent="0.25">
      <c r="A1022" s="1" t="s">
        <v>2977</v>
      </c>
      <c r="B1022" s="2">
        <v>43017</v>
      </c>
      <c r="C1022" s="2">
        <v>43019</v>
      </c>
      <c r="D1022" s="1" t="s">
        <v>21</v>
      </c>
      <c r="E1022" s="1" t="s">
        <v>1291</v>
      </c>
      <c r="F1022" s="1" t="s">
        <v>1292</v>
      </c>
      <c r="G1022" s="1" t="s">
        <v>24</v>
      </c>
      <c r="H1022" s="1" t="s">
        <v>2978</v>
      </c>
      <c r="I1022" s="1" t="s">
        <v>86</v>
      </c>
      <c r="J1022" s="1" t="s">
        <v>87</v>
      </c>
      <c r="K1022" s="1" t="s">
        <v>2979</v>
      </c>
      <c r="L1022" s="1" t="s">
        <v>29</v>
      </c>
      <c r="M1022" s="1" t="s">
        <v>34</v>
      </c>
      <c r="N1022" s="1" t="s">
        <v>2980</v>
      </c>
      <c r="O1022">
        <v>254.05799999999999</v>
      </c>
      <c r="P1022">
        <v>3</v>
      </c>
      <c r="Q1022">
        <v>-32.6646</v>
      </c>
      <c r="R1022" s="1" t="s">
        <v>4423</v>
      </c>
      <c r="S1022">
        <v>2017</v>
      </c>
      <c r="T1022" s="1" t="s">
        <v>45</v>
      </c>
    </row>
    <row r="1023" spans="1:20" x14ac:dyDescent="0.25">
      <c r="A1023" s="1" t="s">
        <v>2981</v>
      </c>
      <c r="B1023" s="2">
        <v>42371</v>
      </c>
      <c r="C1023" s="2">
        <v>42376</v>
      </c>
      <c r="D1023" s="1" t="s">
        <v>37</v>
      </c>
      <c r="E1023" s="1" t="s">
        <v>1819</v>
      </c>
      <c r="F1023" s="1" t="s">
        <v>1820</v>
      </c>
      <c r="G1023" s="1" t="s">
        <v>84</v>
      </c>
      <c r="H1023" s="1" t="s">
        <v>2982</v>
      </c>
      <c r="I1023" s="1" t="s">
        <v>1080</v>
      </c>
      <c r="J1023" s="1" t="s">
        <v>63</v>
      </c>
      <c r="K1023" s="1" t="s">
        <v>340</v>
      </c>
      <c r="L1023" s="1" t="s">
        <v>29</v>
      </c>
      <c r="M1023" s="1" t="s">
        <v>30</v>
      </c>
      <c r="N1023" s="1" t="s">
        <v>341</v>
      </c>
      <c r="O1023">
        <v>173.94</v>
      </c>
      <c r="P1023">
        <v>3</v>
      </c>
      <c r="Q1023">
        <v>38.266800000000003</v>
      </c>
      <c r="R1023" s="1" t="s">
        <v>4422</v>
      </c>
      <c r="S1023">
        <v>2016</v>
      </c>
      <c r="T1023" s="1" t="s">
        <v>161</v>
      </c>
    </row>
    <row r="1024" spans="1:20" x14ac:dyDescent="0.25">
      <c r="A1024" s="1" t="s">
        <v>2983</v>
      </c>
      <c r="B1024" s="2">
        <v>43027</v>
      </c>
      <c r="C1024" s="2">
        <v>43031</v>
      </c>
      <c r="D1024" s="1" t="s">
        <v>37</v>
      </c>
      <c r="E1024" s="1" t="s">
        <v>988</v>
      </c>
      <c r="F1024" s="1" t="s">
        <v>989</v>
      </c>
      <c r="G1024" s="1" t="s">
        <v>24</v>
      </c>
      <c r="H1024" s="1" t="s">
        <v>125</v>
      </c>
      <c r="I1024" s="1" t="s">
        <v>126</v>
      </c>
      <c r="J1024" s="1" t="s">
        <v>87</v>
      </c>
      <c r="K1024" s="1" t="s">
        <v>1225</v>
      </c>
      <c r="L1024" s="1" t="s">
        <v>29</v>
      </c>
      <c r="M1024" s="1" t="s">
        <v>43</v>
      </c>
      <c r="N1024" s="1" t="s">
        <v>1226</v>
      </c>
      <c r="O1024">
        <v>91.275000000000006</v>
      </c>
      <c r="P1024">
        <v>1</v>
      </c>
      <c r="Q1024">
        <v>-67.543499999999995</v>
      </c>
      <c r="R1024" s="1" t="s">
        <v>4424</v>
      </c>
      <c r="S1024">
        <v>2017</v>
      </c>
      <c r="T1024" s="1" t="s">
        <v>45</v>
      </c>
    </row>
    <row r="1025" spans="1:20" x14ac:dyDescent="0.25">
      <c r="A1025" s="1" t="s">
        <v>2984</v>
      </c>
      <c r="B1025" s="2">
        <v>43070</v>
      </c>
      <c r="C1025" s="2">
        <v>43075</v>
      </c>
      <c r="D1025" s="1" t="s">
        <v>37</v>
      </c>
      <c r="E1025" s="1" t="s">
        <v>196</v>
      </c>
      <c r="F1025" s="1" t="s">
        <v>197</v>
      </c>
      <c r="G1025" s="1" t="s">
        <v>94</v>
      </c>
      <c r="H1025" s="1" t="s">
        <v>1571</v>
      </c>
      <c r="I1025" s="1" t="s">
        <v>421</v>
      </c>
      <c r="J1025" s="1" t="s">
        <v>63</v>
      </c>
      <c r="K1025" s="1" t="s">
        <v>1576</v>
      </c>
      <c r="L1025" s="1" t="s">
        <v>29</v>
      </c>
      <c r="M1025" s="1" t="s">
        <v>34</v>
      </c>
      <c r="N1025" s="1" t="s">
        <v>1577</v>
      </c>
      <c r="O1025">
        <v>897.15</v>
      </c>
      <c r="P1025">
        <v>3</v>
      </c>
      <c r="Q1025">
        <v>251.202</v>
      </c>
      <c r="R1025" s="1" t="s">
        <v>4422</v>
      </c>
      <c r="S1025">
        <v>2017</v>
      </c>
      <c r="T1025" s="1" t="s">
        <v>90</v>
      </c>
    </row>
    <row r="1026" spans="1:20" x14ac:dyDescent="0.25">
      <c r="A1026" s="1" t="s">
        <v>2985</v>
      </c>
      <c r="B1026" s="2">
        <v>41652</v>
      </c>
      <c r="C1026" s="2">
        <v>41657</v>
      </c>
      <c r="D1026" s="1" t="s">
        <v>37</v>
      </c>
      <c r="E1026" s="1" t="s">
        <v>1051</v>
      </c>
      <c r="F1026" s="1" t="s">
        <v>1052</v>
      </c>
      <c r="G1026" s="1" t="s">
        <v>24</v>
      </c>
      <c r="H1026" s="1" t="s">
        <v>320</v>
      </c>
      <c r="I1026" s="1" t="s">
        <v>50</v>
      </c>
      <c r="J1026" s="1" t="s">
        <v>51</v>
      </c>
      <c r="K1026" s="1" t="s">
        <v>1627</v>
      </c>
      <c r="L1026" s="1" t="s">
        <v>29</v>
      </c>
      <c r="M1026" s="1" t="s">
        <v>30</v>
      </c>
      <c r="N1026" s="1" t="s">
        <v>1628</v>
      </c>
      <c r="O1026">
        <v>333.99900000000002</v>
      </c>
      <c r="P1026">
        <v>3</v>
      </c>
      <c r="Q1026">
        <v>3.9293999999999998</v>
      </c>
      <c r="R1026" s="1" t="s">
        <v>4422</v>
      </c>
      <c r="S1026">
        <v>2014</v>
      </c>
      <c r="T1026" s="1" t="s">
        <v>161</v>
      </c>
    </row>
    <row r="1027" spans="1:20" x14ac:dyDescent="0.25">
      <c r="A1027" s="1" t="s">
        <v>2986</v>
      </c>
      <c r="B1027" s="2">
        <v>42041</v>
      </c>
      <c r="C1027" s="2">
        <v>42048</v>
      </c>
      <c r="D1027" s="1" t="s">
        <v>37</v>
      </c>
      <c r="E1027" s="1" t="s">
        <v>1741</v>
      </c>
      <c r="F1027" s="1" t="s">
        <v>1742</v>
      </c>
      <c r="G1027" s="1" t="s">
        <v>24</v>
      </c>
      <c r="H1027" s="1" t="s">
        <v>191</v>
      </c>
      <c r="I1027" s="1" t="s">
        <v>192</v>
      </c>
      <c r="J1027" s="1" t="s">
        <v>63</v>
      </c>
      <c r="K1027" s="1" t="s">
        <v>1132</v>
      </c>
      <c r="L1027" s="1" t="s">
        <v>29</v>
      </c>
      <c r="M1027" s="1" t="s">
        <v>34</v>
      </c>
      <c r="N1027" s="1" t="s">
        <v>1133</v>
      </c>
      <c r="O1027">
        <v>1268.82</v>
      </c>
      <c r="P1027">
        <v>9</v>
      </c>
      <c r="Q1027">
        <v>266.4522</v>
      </c>
      <c r="R1027" s="1" t="s">
        <v>4421</v>
      </c>
      <c r="S1027">
        <v>2015</v>
      </c>
      <c r="T1027" s="1" t="s">
        <v>289</v>
      </c>
    </row>
    <row r="1028" spans="1:20" x14ac:dyDescent="0.25">
      <c r="A1028" s="1" t="s">
        <v>2986</v>
      </c>
      <c r="B1028" s="2">
        <v>42041</v>
      </c>
      <c r="C1028" s="2">
        <v>42048</v>
      </c>
      <c r="D1028" s="1" t="s">
        <v>37</v>
      </c>
      <c r="E1028" s="1" t="s">
        <v>1741</v>
      </c>
      <c r="F1028" s="1" t="s">
        <v>1742</v>
      </c>
      <c r="G1028" s="1" t="s">
        <v>24</v>
      </c>
      <c r="H1028" s="1" t="s">
        <v>191</v>
      </c>
      <c r="I1028" s="1" t="s">
        <v>192</v>
      </c>
      <c r="J1028" s="1" t="s">
        <v>63</v>
      </c>
      <c r="K1028" s="1" t="s">
        <v>2411</v>
      </c>
      <c r="L1028" s="1" t="s">
        <v>29</v>
      </c>
      <c r="M1028" s="1" t="s">
        <v>30</v>
      </c>
      <c r="N1028" s="1" t="s">
        <v>2412</v>
      </c>
      <c r="O1028">
        <v>283.92</v>
      </c>
      <c r="P1028">
        <v>4</v>
      </c>
      <c r="Q1028">
        <v>82.336799999999997</v>
      </c>
      <c r="R1028" s="1" t="s">
        <v>4421</v>
      </c>
      <c r="S1028">
        <v>2015</v>
      </c>
      <c r="T1028" s="1" t="s">
        <v>289</v>
      </c>
    </row>
    <row r="1029" spans="1:20" x14ac:dyDescent="0.25">
      <c r="A1029" s="1" t="s">
        <v>2987</v>
      </c>
      <c r="B1029" s="2">
        <v>43066</v>
      </c>
      <c r="C1029" s="2">
        <v>43071</v>
      </c>
      <c r="D1029" s="1" t="s">
        <v>37</v>
      </c>
      <c r="E1029" s="1" t="s">
        <v>590</v>
      </c>
      <c r="F1029" s="1" t="s">
        <v>591</v>
      </c>
      <c r="G1029" s="1" t="s">
        <v>24</v>
      </c>
      <c r="H1029" s="1" t="s">
        <v>49</v>
      </c>
      <c r="I1029" s="1" t="s">
        <v>50</v>
      </c>
      <c r="J1029" s="1" t="s">
        <v>51</v>
      </c>
      <c r="K1029" s="1" t="s">
        <v>668</v>
      </c>
      <c r="L1029" s="1" t="s">
        <v>29</v>
      </c>
      <c r="M1029" s="1" t="s">
        <v>53</v>
      </c>
      <c r="N1029" s="1" t="s">
        <v>669</v>
      </c>
      <c r="O1029">
        <v>18.84</v>
      </c>
      <c r="P1029">
        <v>3</v>
      </c>
      <c r="Q1029">
        <v>6.0288000000000004</v>
      </c>
      <c r="R1029" s="1" t="s">
        <v>4422</v>
      </c>
      <c r="S1029">
        <v>2017</v>
      </c>
      <c r="T1029" s="1" t="s">
        <v>32</v>
      </c>
    </row>
    <row r="1030" spans="1:20" x14ac:dyDescent="0.25">
      <c r="A1030" s="1" t="s">
        <v>2988</v>
      </c>
      <c r="B1030" s="2">
        <v>41799</v>
      </c>
      <c r="C1030" s="2">
        <v>41803</v>
      </c>
      <c r="D1030" s="1" t="s">
        <v>21</v>
      </c>
      <c r="E1030" s="1" t="s">
        <v>378</v>
      </c>
      <c r="F1030" s="1" t="s">
        <v>379</v>
      </c>
      <c r="G1030" s="1" t="s">
        <v>84</v>
      </c>
      <c r="H1030" s="1" t="s">
        <v>1330</v>
      </c>
      <c r="I1030" s="1" t="s">
        <v>1331</v>
      </c>
      <c r="J1030" s="1" t="s">
        <v>51</v>
      </c>
      <c r="K1030" s="1" t="s">
        <v>2174</v>
      </c>
      <c r="L1030" s="1" t="s">
        <v>29</v>
      </c>
      <c r="M1030" s="1" t="s">
        <v>53</v>
      </c>
      <c r="N1030" s="1" t="s">
        <v>2175</v>
      </c>
      <c r="O1030">
        <v>37.4</v>
      </c>
      <c r="P1030">
        <v>2</v>
      </c>
      <c r="Q1030">
        <v>14.212</v>
      </c>
      <c r="R1030" s="1" t="s">
        <v>4424</v>
      </c>
      <c r="S1030">
        <v>2014</v>
      </c>
      <c r="T1030" s="1" t="s">
        <v>55</v>
      </c>
    </row>
    <row r="1031" spans="1:20" x14ac:dyDescent="0.25">
      <c r="A1031" s="1" t="s">
        <v>2989</v>
      </c>
      <c r="B1031" s="2">
        <v>41705</v>
      </c>
      <c r="C1031" s="2">
        <v>41706</v>
      </c>
      <c r="D1031" s="1" t="s">
        <v>81</v>
      </c>
      <c r="E1031" s="1" t="s">
        <v>2990</v>
      </c>
      <c r="F1031" s="1" t="s">
        <v>2991</v>
      </c>
      <c r="G1031" s="1" t="s">
        <v>24</v>
      </c>
      <c r="H1031" s="1" t="s">
        <v>183</v>
      </c>
      <c r="I1031" s="1" t="s">
        <v>184</v>
      </c>
      <c r="J1031" s="1" t="s">
        <v>51</v>
      </c>
      <c r="K1031" s="1" t="s">
        <v>290</v>
      </c>
      <c r="L1031" s="1" t="s">
        <v>29</v>
      </c>
      <c r="M1031" s="1" t="s">
        <v>34</v>
      </c>
      <c r="N1031" s="1" t="s">
        <v>291</v>
      </c>
      <c r="O1031">
        <v>48.712000000000003</v>
      </c>
      <c r="P1031">
        <v>1</v>
      </c>
      <c r="Q1031">
        <v>5.4801000000000002</v>
      </c>
      <c r="R1031" s="1" t="s">
        <v>4425</v>
      </c>
      <c r="S1031">
        <v>2014</v>
      </c>
      <c r="T1031" s="1" t="s">
        <v>187</v>
      </c>
    </row>
    <row r="1032" spans="1:20" x14ac:dyDescent="0.25">
      <c r="A1032" s="1" t="s">
        <v>2992</v>
      </c>
      <c r="B1032" s="2">
        <v>42218</v>
      </c>
      <c r="C1032" s="2">
        <v>42221</v>
      </c>
      <c r="D1032" s="1" t="s">
        <v>21</v>
      </c>
      <c r="E1032" s="1" t="s">
        <v>1850</v>
      </c>
      <c r="F1032" s="1" t="s">
        <v>1851</v>
      </c>
      <c r="G1032" s="1" t="s">
        <v>94</v>
      </c>
      <c r="H1032" s="1" t="s">
        <v>1635</v>
      </c>
      <c r="I1032" s="1" t="s">
        <v>1636</v>
      </c>
      <c r="J1032" s="1" t="s">
        <v>63</v>
      </c>
      <c r="K1032" s="1" t="s">
        <v>1155</v>
      </c>
      <c r="L1032" s="1" t="s">
        <v>29</v>
      </c>
      <c r="M1032" s="1" t="s">
        <v>34</v>
      </c>
      <c r="N1032" s="1" t="s">
        <v>1156</v>
      </c>
      <c r="O1032">
        <v>110.98</v>
      </c>
      <c r="P1032">
        <v>1</v>
      </c>
      <c r="Q1032">
        <v>15.5372</v>
      </c>
      <c r="R1032" s="1" t="s">
        <v>4420</v>
      </c>
      <c r="S1032">
        <v>2015</v>
      </c>
      <c r="T1032" s="1" t="s">
        <v>245</v>
      </c>
    </row>
    <row r="1033" spans="1:20" x14ac:dyDescent="0.25">
      <c r="A1033" s="1" t="s">
        <v>2993</v>
      </c>
      <c r="B1033" s="2">
        <v>42680</v>
      </c>
      <c r="C1033" s="2">
        <v>42683</v>
      </c>
      <c r="D1033" s="1" t="s">
        <v>81</v>
      </c>
      <c r="E1033" s="1" t="s">
        <v>343</v>
      </c>
      <c r="F1033" s="1" t="s">
        <v>344</v>
      </c>
      <c r="G1033" s="1" t="s">
        <v>84</v>
      </c>
      <c r="H1033" s="1" t="s">
        <v>597</v>
      </c>
      <c r="I1033" s="1" t="s">
        <v>41</v>
      </c>
      <c r="J1033" s="1" t="s">
        <v>27</v>
      </c>
      <c r="K1033" s="1" t="s">
        <v>134</v>
      </c>
      <c r="L1033" s="1" t="s">
        <v>29</v>
      </c>
      <c r="M1033" s="1" t="s">
        <v>34</v>
      </c>
      <c r="N1033" s="1" t="s">
        <v>135</v>
      </c>
      <c r="O1033">
        <v>207.98400000000001</v>
      </c>
      <c r="P1033">
        <v>2</v>
      </c>
      <c r="Q1033">
        <v>-28.597799999999999</v>
      </c>
      <c r="R1033" s="1" t="s">
        <v>4420</v>
      </c>
      <c r="S1033">
        <v>2016</v>
      </c>
      <c r="T1033" s="1" t="s">
        <v>32</v>
      </c>
    </row>
    <row r="1034" spans="1:20" x14ac:dyDescent="0.25">
      <c r="A1034" s="1" t="s">
        <v>2993</v>
      </c>
      <c r="B1034" s="2">
        <v>42680</v>
      </c>
      <c r="C1034" s="2">
        <v>42683</v>
      </c>
      <c r="D1034" s="1" t="s">
        <v>81</v>
      </c>
      <c r="E1034" s="1" t="s">
        <v>343</v>
      </c>
      <c r="F1034" s="1" t="s">
        <v>344</v>
      </c>
      <c r="G1034" s="1" t="s">
        <v>84</v>
      </c>
      <c r="H1034" s="1" t="s">
        <v>597</v>
      </c>
      <c r="I1034" s="1" t="s">
        <v>41</v>
      </c>
      <c r="J1034" s="1" t="s">
        <v>27</v>
      </c>
      <c r="K1034" s="1" t="s">
        <v>821</v>
      </c>
      <c r="L1034" s="1" t="s">
        <v>29</v>
      </c>
      <c r="M1034" s="1" t="s">
        <v>53</v>
      </c>
      <c r="N1034" s="1" t="s">
        <v>822</v>
      </c>
      <c r="O1034">
        <v>35.567999999999998</v>
      </c>
      <c r="P1034">
        <v>2</v>
      </c>
      <c r="Q1034">
        <v>5.7797999999999998</v>
      </c>
      <c r="R1034" s="1" t="s">
        <v>4420</v>
      </c>
      <c r="S1034">
        <v>2016</v>
      </c>
      <c r="T1034" s="1" t="s">
        <v>32</v>
      </c>
    </row>
    <row r="1035" spans="1:20" x14ac:dyDescent="0.25">
      <c r="A1035" s="1" t="s">
        <v>2994</v>
      </c>
      <c r="B1035" s="2">
        <v>42484</v>
      </c>
      <c r="C1035" s="2">
        <v>42488</v>
      </c>
      <c r="D1035" s="1" t="s">
        <v>37</v>
      </c>
      <c r="E1035" s="1" t="s">
        <v>2995</v>
      </c>
      <c r="F1035" s="1" t="s">
        <v>2996</v>
      </c>
      <c r="G1035" s="1" t="s">
        <v>94</v>
      </c>
      <c r="H1035" s="1" t="s">
        <v>345</v>
      </c>
      <c r="I1035" s="1" t="s">
        <v>172</v>
      </c>
      <c r="J1035" s="1" t="s">
        <v>51</v>
      </c>
      <c r="K1035" s="1" t="s">
        <v>238</v>
      </c>
      <c r="L1035" s="1" t="s">
        <v>29</v>
      </c>
      <c r="M1035" s="1" t="s">
        <v>34</v>
      </c>
      <c r="N1035" s="1" t="s">
        <v>239</v>
      </c>
      <c r="O1035">
        <v>1325.76</v>
      </c>
      <c r="P1035">
        <v>6</v>
      </c>
      <c r="Q1035">
        <v>149.148</v>
      </c>
      <c r="R1035" s="1" t="s">
        <v>4424</v>
      </c>
      <c r="S1035">
        <v>2016</v>
      </c>
      <c r="T1035" s="1" t="s">
        <v>107</v>
      </c>
    </row>
    <row r="1036" spans="1:20" x14ac:dyDescent="0.25">
      <c r="A1036" s="1" t="s">
        <v>2997</v>
      </c>
      <c r="B1036" s="2">
        <v>42356</v>
      </c>
      <c r="C1036" s="2">
        <v>42363</v>
      </c>
      <c r="D1036" s="1" t="s">
        <v>37</v>
      </c>
      <c r="E1036" s="1" t="s">
        <v>2998</v>
      </c>
      <c r="F1036" s="1" t="s">
        <v>2999</v>
      </c>
      <c r="G1036" s="1" t="s">
        <v>84</v>
      </c>
      <c r="H1036" s="1" t="s">
        <v>132</v>
      </c>
      <c r="I1036" s="1" t="s">
        <v>133</v>
      </c>
      <c r="J1036" s="1" t="s">
        <v>27</v>
      </c>
      <c r="K1036" s="1" t="s">
        <v>652</v>
      </c>
      <c r="L1036" s="1" t="s">
        <v>29</v>
      </c>
      <c r="M1036" s="1" t="s">
        <v>53</v>
      </c>
      <c r="N1036" s="1" t="s">
        <v>653</v>
      </c>
      <c r="O1036">
        <v>20.32</v>
      </c>
      <c r="P1036">
        <v>5</v>
      </c>
      <c r="Q1036">
        <v>3.556</v>
      </c>
      <c r="R1036" s="1" t="s">
        <v>4421</v>
      </c>
      <c r="S1036">
        <v>2015</v>
      </c>
      <c r="T1036" s="1" t="s">
        <v>90</v>
      </c>
    </row>
    <row r="1037" spans="1:20" x14ac:dyDescent="0.25">
      <c r="A1037" s="1" t="s">
        <v>3000</v>
      </c>
      <c r="B1037" s="2">
        <v>42866</v>
      </c>
      <c r="C1037" s="2">
        <v>42868</v>
      </c>
      <c r="D1037" s="1" t="s">
        <v>81</v>
      </c>
      <c r="E1037" s="1" t="s">
        <v>1308</v>
      </c>
      <c r="F1037" s="1" t="s">
        <v>1309</v>
      </c>
      <c r="G1037" s="1" t="s">
        <v>84</v>
      </c>
      <c r="H1037" s="1" t="s">
        <v>510</v>
      </c>
      <c r="I1037" s="1" t="s">
        <v>511</v>
      </c>
      <c r="J1037" s="1" t="s">
        <v>51</v>
      </c>
      <c r="K1037" s="1" t="s">
        <v>1127</v>
      </c>
      <c r="L1037" s="1" t="s">
        <v>29</v>
      </c>
      <c r="M1037" s="1" t="s">
        <v>30</v>
      </c>
      <c r="N1037" s="1" t="s">
        <v>1128</v>
      </c>
      <c r="O1037">
        <v>209.97900000000001</v>
      </c>
      <c r="P1037">
        <v>7</v>
      </c>
      <c r="Q1037">
        <v>-356.96429999999998</v>
      </c>
      <c r="R1037" s="1" t="s">
        <v>4423</v>
      </c>
      <c r="S1037">
        <v>2017</v>
      </c>
      <c r="T1037" s="1" t="s">
        <v>153</v>
      </c>
    </row>
    <row r="1038" spans="1:20" x14ac:dyDescent="0.25">
      <c r="A1038" s="1" t="s">
        <v>3001</v>
      </c>
      <c r="B1038" s="2">
        <v>41967</v>
      </c>
      <c r="C1038" s="2">
        <v>41972</v>
      </c>
      <c r="D1038" s="1" t="s">
        <v>37</v>
      </c>
      <c r="E1038" s="1" t="s">
        <v>2366</v>
      </c>
      <c r="F1038" s="1" t="s">
        <v>2367</v>
      </c>
      <c r="G1038" s="1" t="s">
        <v>24</v>
      </c>
      <c r="H1038" s="1" t="s">
        <v>2522</v>
      </c>
      <c r="I1038" s="1" t="s">
        <v>223</v>
      </c>
      <c r="J1038" s="1" t="s">
        <v>63</v>
      </c>
      <c r="K1038" s="1" t="s">
        <v>263</v>
      </c>
      <c r="L1038" s="1" t="s">
        <v>29</v>
      </c>
      <c r="M1038" s="1" t="s">
        <v>53</v>
      </c>
      <c r="N1038" s="1" t="s">
        <v>264</v>
      </c>
      <c r="O1038">
        <v>35.167999999999999</v>
      </c>
      <c r="P1038">
        <v>7</v>
      </c>
      <c r="Q1038">
        <v>9.6712000000000007</v>
      </c>
      <c r="R1038" s="1" t="s">
        <v>4422</v>
      </c>
      <c r="S1038">
        <v>2014</v>
      </c>
      <c r="T1038" s="1" t="s">
        <v>32</v>
      </c>
    </row>
    <row r="1039" spans="1:20" x14ac:dyDescent="0.25">
      <c r="A1039" s="1" t="s">
        <v>3002</v>
      </c>
      <c r="B1039" s="2">
        <v>41958</v>
      </c>
      <c r="C1039" s="2">
        <v>41961</v>
      </c>
      <c r="D1039" s="1" t="s">
        <v>81</v>
      </c>
      <c r="E1039" s="1" t="s">
        <v>3003</v>
      </c>
      <c r="F1039" s="1" t="s">
        <v>3004</v>
      </c>
      <c r="G1039" s="1" t="s">
        <v>24</v>
      </c>
      <c r="H1039" s="1" t="s">
        <v>49</v>
      </c>
      <c r="I1039" s="1" t="s">
        <v>50</v>
      </c>
      <c r="J1039" s="1" t="s">
        <v>51</v>
      </c>
      <c r="K1039" s="1" t="s">
        <v>311</v>
      </c>
      <c r="L1039" s="1" t="s">
        <v>29</v>
      </c>
      <c r="M1039" s="1" t="s">
        <v>53</v>
      </c>
      <c r="N1039" s="1" t="s">
        <v>312</v>
      </c>
      <c r="O1039">
        <v>10.11</v>
      </c>
      <c r="P1039">
        <v>3</v>
      </c>
      <c r="Q1039">
        <v>3.2351999999999999</v>
      </c>
      <c r="R1039" s="1" t="s">
        <v>4420</v>
      </c>
      <c r="S1039">
        <v>2014</v>
      </c>
      <c r="T1039" s="1" t="s">
        <v>32</v>
      </c>
    </row>
    <row r="1040" spans="1:20" x14ac:dyDescent="0.25">
      <c r="A1040" s="1" t="s">
        <v>3005</v>
      </c>
      <c r="B1040" s="2">
        <v>42722</v>
      </c>
      <c r="C1040" s="2">
        <v>42728</v>
      </c>
      <c r="D1040" s="1" t="s">
        <v>37</v>
      </c>
      <c r="E1040" s="1" t="s">
        <v>528</v>
      </c>
      <c r="F1040" s="1" t="s">
        <v>529</v>
      </c>
      <c r="G1040" s="1" t="s">
        <v>24</v>
      </c>
      <c r="H1040" s="1" t="s">
        <v>630</v>
      </c>
      <c r="I1040" s="1" t="s">
        <v>50</v>
      </c>
      <c r="J1040" s="1" t="s">
        <v>51</v>
      </c>
      <c r="K1040" s="1" t="s">
        <v>2650</v>
      </c>
      <c r="L1040" s="1" t="s">
        <v>29</v>
      </c>
      <c r="M1040" s="1" t="s">
        <v>53</v>
      </c>
      <c r="N1040" s="1" t="s">
        <v>2651</v>
      </c>
      <c r="O1040">
        <v>39.92</v>
      </c>
      <c r="P1040">
        <v>4</v>
      </c>
      <c r="Q1040">
        <v>11.1776</v>
      </c>
      <c r="R1040" s="1" t="s">
        <v>4426</v>
      </c>
      <c r="S1040">
        <v>2016</v>
      </c>
      <c r="T1040" s="1" t="s">
        <v>90</v>
      </c>
    </row>
    <row r="1041" spans="1:20" x14ac:dyDescent="0.25">
      <c r="A1041" s="1" t="s">
        <v>3006</v>
      </c>
      <c r="B1041" s="2">
        <v>42945</v>
      </c>
      <c r="C1041" s="2">
        <v>42950</v>
      </c>
      <c r="D1041" s="1" t="s">
        <v>37</v>
      </c>
      <c r="E1041" s="1" t="s">
        <v>764</v>
      </c>
      <c r="F1041" s="1" t="s">
        <v>765</v>
      </c>
      <c r="G1041" s="1" t="s">
        <v>24</v>
      </c>
      <c r="H1041" s="1" t="s">
        <v>3007</v>
      </c>
      <c r="I1041" s="1" t="s">
        <v>1513</v>
      </c>
      <c r="J1041" s="1" t="s">
        <v>87</v>
      </c>
      <c r="K1041" s="1" t="s">
        <v>3008</v>
      </c>
      <c r="L1041" s="1" t="s">
        <v>29</v>
      </c>
      <c r="M1041" s="1" t="s">
        <v>34</v>
      </c>
      <c r="N1041" s="1" t="s">
        <v>3009</v>
      </c>
      <c r="O1041">
        <v>302.67</v>
      </c>
      <c r="P1041">
        <v>3</v>
      </c>
      <c r="Q1041">
        <v>72.640799999999999</v>
      </c>
      <c r="R1041" s="1" t="s">
        <v>4422</v>
      </c>
      <c r="S1041">
        <v>2017</v>
      </c>
      <c r="T1041" s="1" t="s">
        <v>66</v>
      </c>
    </row>
    <row r="1042" spans="1:20" x14ac:dyDescent="0.25">
      <c r="A1042" s="1" t="s">
        <v>3010</v>
      </c>
      <c r="B1042" s="2">
        <v>42730</v>
      </c>
      <c r="C1042" s="2">
        <v>42737</v>
      </c>
      <c r="D1042" s="1" t="s">
        <v>37</v>
      </c>
      <c r="E1042" s="1" t="s">
        <v>1926</v>
      </c>
      <c r="F1042" s="1" t="s">
        <v>1927</v>
      </c>
      <c r="G1042" s="1" t="s">
        <v>84</v>
      </c>
      <c r="H1042" s="1" t="s">
        <v>1286</v>
      </c>
      <c r="I1042" s="1" t="s">
        <v>354</v>
      </c>
      <c r="J1042" s="1" t="s">
        <v>63</v>
      </c>
      <c r="K1042" s="1" t="s">
        <v>115</v>
      </c>
      <c r="L1042" s="1" t="s">
        <v>29</v>
      </c>
      <c r="M1042" s="1" t="s">
        <v>34</v>
      </c>
      <c r="N1042" s="1" t="s">
        <v>116</v>
      </c>
      <c r="O1042">
        <v>212.94</v>
      </c>
      <c r="P1042">
        <v>3</v>
      </c>
      <c r="Q1042">
        <v>25.552800000000001</v>
      </c>
      <c r="R1042" s="1" t="s">
        <v>4421</v>
      </c>
      <c r="S1042">
        <v>2016</v>
      </c>
      <c r="T1042" s="1" t="s">
        <v>90</v>
      </c>
    </row>
    <row r="1043" spans="1:20" x14ac:dyDescent="0.25">
      <c r="A1043" s="1" t="s">
        <v>3011</v>
      </c>
      <c r="B1043" s="2">
        <v>42225</v>
      </c>
      <c r="C1043" s="2">
        <v>42229</v>
      </c>
      <c r="D1043" s="1" t="s">
        <v>21</v>
      </c>
      <c r="E1043" s="1" t="s">
        <v>3012</v>
      </c>
      <c r="F1043" s="1" t="s">
        <v>3013</v>
      </c>
      <c r="G1043" s="1" t="s">
        <v>94</v>
      </c>
      <c r="H1043" s="1" t="s">
        <v>896</v>
      </c>
      <c r="I1043" s="1" t="s">
        <v>230</v>
      </c>
      <c r="J1043" s="1" t="s">
        <v>87</v>
      </c>
      <c r="K1043" s="1" t="s">
        <v>2795</v>
      </c>
      <c r="L1043" s="1" t="s">
        <v>29</v>
      </c>
      <c r="M1043" s="1" t="s">
        <v>30</v>
      </c>
      <c r="N1043" s="1" t="s">
        <v>2796</v>
      </c>
      <c r="O1043">
        <v>687.4</v>
      </c>
      <c r="P1043">
        <v>5</v>
      </c>
      <c r="Q1043">
        <v>48.118000000000002</v>
      </c>
      <c r="R1043" s="1" t="s">
        <v>4424</v>
      </c>
      <c r="S1043">
        <v>2015</v>
      </c>
      <c r="T1043" s="1" t="s">
        <v>245</v>
      </c>
    </row>
    <row r="1044" spans="1:20" x14ac:dyDescent="0.25">
      <c r="A1044" s="1" t="s">
        <v>3014</v>
      </c>
      <c r="B1044" s="2">
        <v>41735</v>
      </c>
      <c r="C1044" s="2">
        <v>41741</v>
      </c>
      <c r="D1044" s="1" t="s">
        <v>37</v>
      </c>
      <c r="E1044" s="1" t="s">
        <v>1829</v>
      </c>
      <c r="F1044" s="1" t="s">
        <v>1830</v>
      </c>
      <c r="G1044" s="1" t="s">
        <v>84</v>
      </c>
      <c r="H1044" s="1" t="s">
        <v>183</v>
      </c>
      <c r="I1044" s="1" t="s">
        <v>184</v>
      </c>
      <c r="J1044" s="1" t="s">
        <v>51</v>
      </c>
      <c r="K1044" s="1" t="s">
        <v>690</v>
      </c>
      <c r="L1044" s="1" t="s">
        <v>29</v>
      </c>
      <c r="M1044" s="1" t="s">
        <v>43</v>
      </c>
      <c r="N1044" s="1" t="s">
        <v>691</v>
      </c>
      <c r="O1044">
        <v>653.54999999999995</v>
      </c>
      <c r="P1044">
        <v>3</v>
      </c>
      <c r="Q1044">
        <v>111.1035</v>
      </c>
      <c r="R1044" s="1" t="s">
        <v>4426</v>
      </c>
      <c r="S1044">
        <v>2014</v>
      </c>
      <c r="T1044" s="1" t="s">
        <v>107</v>
      </c>
    </row>
    <row r="1045" spans="1:20" x14ac:dyDescent="0.25">
      <c r="A1045" s="1" t="s">
        <v>3015</v>
      </c>
      <c r="B1045" s="2">
        <v>42196</v>
      </c>
      <c r="C1045" s="2">
        <v>42197</v>
      </c>
      <c r="D1045" s="1" t="s">
        <v>81</v>
      </c>
      <c r="E1045" s="1" t="s">
        <v>1308</v>
      </c>
      <c r="F1045" s="1" t="s">
        <v>1309</v>
      </c>
      <c r="G1045" s="1" t="s">
        <v>84</v>
      </c>
      <c r="H1045" s="1" t="s">
        <v>191</v>
      </c>
      <c r="I1045" s="1" t="s">
        <v>192</v>
      </c>
      <c r="J1045" s="1" t="s">
        <v>63</v>
      </c>
      <c r="K1045" s="1" t="s">
        <v>898</v>
      </c>
      <c r="L1045" s="1" t="s">
        <v>29</v>
      </c>
      <c r="M1045" s="1" t="s">
        <v>43</v>
      </c>
      <c r="N1045" s="1" t="s">
        <v>899</v>
      </c>
      <c r="O1045">
        <v>199.83600000000001</v>
      </c>
      <c r="P1045">
        <v>4</v>
      </c>
      <c r="Q1045">
        <v>-37.112400000000001</v>
      </c>
      <c r="R1045" s="1" t="s">
        <v>4425</v>
      </c>
      <c r="S1045">
        <v>2015</v>
      </c>
      <c r="T1045" s="1" t="s">
        <v>66</v>
      </c>
    </row>
    <row r="1046" spans="1:20" x14ac:dyDescent="0.25">
      <c r="A1046" s="1" t="s">
        <v>3016</v>
      </c>
      <c r="B1046" s="2">
        <v>42684</v>
      </c>
      <c r="C1046" s="2">
        <v>42687</v>
      </c>
      <c r="D1046" s="1" t="s">
        <v>21</v>
      </c>
      <c r="E1046" s="1" t="s">
        <v>1325</v>
      </c>
      <c r="F1046" s="1" t="s">
        <v>1326</v>
      </c>
      <c r="G1046" s="1" t="s">
        <v>24</v>
      </c>
      <c r="H1046" s="1" t="s">
        <v>49</v>
      </c>
      <c r="I1046" s="1" t="s">
        <v>50</v>
      </c>
      <c r="J1046" s="1" t="s">
        <v>51</v>
      </c>
      <c r="K1046" s="1" t="s">
        <v>870</v>
      </c>
      <c r="L1046" s="1" t="s">
        <v>29</v>
      </c>
      <c r="M1046" s="1" t="s">
        <v>53</v>
      </c>
      <c r="N1046" s="1" t="s">
        <v>871</v>
      </c>
      <c r="O1046">
        <v>467.46</v>
      </c>
      <c r="P1046">
        <v>9</v>
      </c>
      <c r="Q1046">
        <v>191.65860000000001</v>
      </c>
      <c r="R1046" s="1" t="s">
        <v>4420</v>
      </c>
      <c r="S1046">
        <v>2016</v>
      </c>
      <c r="T1046" s="1" t="s">
        <v>32</v>
      </c>
    </row>
    <row r="1047" spans="1:20" x14ac:dyDescent="0.25">
      <c r="A1047" s="1" t="s">
        <v>3017</v>
      </c>
      <c r="B1047" s="2">
        <v>42007</v>
      </c>
      <c r="C1047" s="2">
        <v>42012</v>
      </c>
      <c r="D1047" s="1" t="s">
        <v>21</v>
      </c>
      <c r="E1047" s="1" t="s">
        <v>3018</v>
      </c>
      <c r="F1047" s="1" t="s">
        <v>3019</v>
      </c>
      <c r="G1047" s="1" t="s">
        <v>24</v>
      </c>
      <c r="H1047" s="1" t="s">
        <v>1730</v>
      </c>
      <c r="I1047" s="1" t="s">
        <v>86</v>
      </c>
      <c r="J1047" s="1" t="s">
        <v>87</v>
      </c>
      <c r="K1047" s="1" t="s">
        <v>727</v>
      </c>
      <c r="L1047" s="1" t="s">
        <v>29</v>
      </c>
      <c r="M1047" s="1" t="s">
        <v>30</v>
      </c>
      <c r="N1047" s="1" t="s">
        <v>728</v>
      </c>
      <c r="O1047">
        <v>1352.3976</v>
      </c>
      <c r="P1047">
        <v>9</v>
      </c>
      <c r="Q1047">
        <v>-437.54039999999998</v>
      </c>
      <c r="R1047" s="1" t="s">
        <v>4422</v>
      </c>
      <c r="S1047">
        <v>2015</v>
      </c>
      <c r="T1047" s="1" t="s">
        <v>161</v>
      </c>
    </row>
    <row r="1048" spans="1:20" x14ac:dyDescent="0.25">
      <c r="A1048" s="1" t="s">
        <v>3020</v>
      </c>
      <c r="B1048" s="2">
        <v>42132</v>
      </c>
      <c r="C1048" s="2">
        <v>42136</v>
      </c>
      <c r="D1048" s="1" t="s">
        <v>37</v>
      </c>
      <c r="E1048" s="1" t="s">
        <v>924</v>
      </c>
      <c r="F1048" s="1" t="s">
        <v>925</v>
      </c>
      <c r="G1048" s="1" t="s">
        <v>24</v>
      </c>
      <c r="H1048" s="1" t="s">
        <v>157</v>
      </c>
      <c r="I1048" s="1" t="s">
        <v>158</v>
      </c>
      <c r="J1048" s="1" t="s">
        <v>87</v>
      </c>
      <c r="K1048" s="1" t="s">
        <v>587</v>
      </c>
      <c r="L1048" s="1" t="s">
        <v>29</v>
      </c>
      <c r="M1048" s="1" t="s">
        <v>53</v>
      </c>
      <c r="N1048" s="1" t="s">
        <v>588</v>
      </c>
      <c r="O1048">
        <v>123.96</v>
      </c>
      <c r="P1048">
        <v>3</v>
      </c>
      <c r="Q1048">
        <v>11.1564</v>
      </c>
      <c r="R1048" s="1" t="s">
        <v>4424</v>
      </c>
      <c r="S1048">
        <v>2015</v>
      </c>
      <c r="T1048" s="1" t="s">
        <v>153</v>
      </c>
    </row>
    <row r="1049" spans="1:20" x14ac:dyDescent="0.25">
      <c r="A1049" s="1" t="s">
        <v>3021</v>
      </c>
      <c r="B1049" s="2">
        <v>43069</v>
      </c>
      <c r="C1049" s="2">
        <v>43076</v>
      </c>
      <c r="D1049" s="1" t="s">
        <v>37</v>
      </c>
      <c r="E1049" s="1" t="s">
        <v>2127</v>
      </c>
      <c r="F1049" s="1" t="s">
        <v>2128</v>
      </c>
      <c r="G1049" s="1" t="s">
        <v>24</v>
      </c>
      <c r="H1049" s="1" t="s">
        <v>3022</v>
      </c>
      <c r="I1049" s="1" t="s">
        <v>1027</v>
      </c>
      <c r="J1049" s="1" t="s">
        <v>27</v>
      </c>
      <c r="K1049" s="1" t="s">
        <v>512</v>
      </c>
      <c r="L1049" s="1" t="s">
        <v>29</v>
      </c>
      <c r="M1049" s="1" t="s">
        <v>43</v>
      </c>
      <c r="N1049" s="1" t="s">
        <v>513</v>
      </c>
      <c r="O1049">
        <v>1781.682</v>
      </c>
      <c r="P1049">
        <v>7</v>
      </c>
      <c r="Q1049">
        <v>-653.28340000000003</v>
      </c>
      <c r="R1049" s="1" t="s">
        <v>4421</v>
      </c>
      <c r="S1049">
        <v>2017</v>
      </c>
      <c r="T1049" s="1" t="s">
        <v>32</v>
      </c>
    </row>
    <row r="1050" spans="1:20" x14ac:dyDescent="0.25">
      <c r="A1050" s="1" t="s">
        <v>3023</v>
      </c>
      <c r="B1050" s="2">
        <v>41859</v>
      </c>
      <c r="C1050" s="2">
        <v>41863</v>
      </c>
      <c r="D1050" s="1" t="s">
        <v>37</v>
      </c>
      <c r="E1050" s="1" t="s">
        <v>3024</v>
      </c>
      <c r="F1050" s="1" t="s">
        <v>3025</v>
      </c>
      <c r="G1050" s="1" t="s">
        <v>94</v>
      </c>
      <c r="H1050" s="1" t="s">
        <v>766</v>
      </c>
      <c r="I1050" s="1" t="s">
        <v>281</v>
      </c>
      <c r="J1050" s="1" t="s">
        <v>87</v>
      </c>
      <c r="K1050" s="1" t="s">
        <v>1442</v>
      </c>
      <c r="L1050" s="1" t="s">
        <v>29</v>
      </c>
      <c r="M1050" s="1" t="s">
        <v>53</v>
      </c>
      <c r="N1050" s="1" t="s">
        <v>1443</v>
      </c>
      <c r="O1050">
        <v>53.88</v>
      </c>
      <c r="P1050">
        <v>6</v>
      </c>
      <c r="Q1050">
        <v>22.6296</v>
      </c>
      <c r="R1050" s="1" t="s">
        <v>4424</v>
      </c>
      <c r="S1050">
        <v>2014</v>
      </c>
      <c r="T1050" s="1" t="s">
        <v>245</v>
      </c>
    </row>
    <row r="1051" spans="1:20" x14ac:dyDescent="0.25">
      <c r="A1051" s="1" t="s">
        <v>3026</v>
      </c>
      <c r="B1051" s="2">
        <v>41749</v>
      </c>
      <c r="C1051" s="2">
        <v>41751</v>
      </c>
      <c r="D1051" s="1" t="s">
        <v>21</v>
      </c>
      <c r="E1051" s="1" t="s">
        <v>730</v>
      </c>
      <c r="F1051" s="1" t="s">
        <v>731</v>
      </c>
      <c r="G1051" s="1" t="s">
        <v>24</v>
      </c>
      <c r="H1051" s="1" t="s">
        <v>95</v>
      </c>
      <c r="I1051" s="1" t="s">
        <v>86</v>
      </c>
      <c r="J1051" s="1" t="s">
        <v>87</v>
      </c>
      <c r="K1051" s="1" t="s">
        <v>296</v>
      </c>
      <c r="L1051" s="1" t="s">
        <v>29</v>
      </c>
      <c r="M1051" s="1" t="s">
        <v>43</v>
      </c>
      <c r="N1051" s="1" t="s">
        <v>297</v>
      </c>
      <c r="O1051">
        <v>744.1</v>
      </c>
      <c r="P1051">
        <v>5</v>
      </c>
      <c r="Q1051">
        <v>-95.67</v>
      </c>
      <c r="R1051" s="1" t="s">
        <v>4423</v>
      </c>
      <c r="S1051">
        <v>2014</v>
      </c>
      <c r="T1051" s="1" t="s">
        <v>107</v>
      </c>
    </row>
    <row r="1052" spans="1:20" x14ac:dyDescent="0.25">
      <c r="A1052" s="1" t="s">
        <v>3026</v>
      </c>
      <c r="B1052" s="2">
        <v>41749</v>
      </c>
      <c r="C1052" s="2">
        <v>41751</v>
      </c>
      <c r="D1052" s="1" t="s">
        <v>21</v>
      </c>
      <c r="E1052" s="1" t="s">
        <v>730</v>
      </c>
      <c r="F1052" s="1" t="s">
        <v>731</v>
      </c>
      <c r="G1052" s="1" t="s">
        <v>24</v>
      </c>
      <c r="H1052" s="1" t="s">
        <v>95</v>
      </c>
      <c r="I1052" s="1" t="s">
        <v>86</v>
      </c>
      <c r="J1052" s="1" t="s">
        <v>87</v>
      </c>
      <c r="K1052" s="1" t="s">
        <v>2822</v>
      </c>
      <c r="L1052" s="1" t="s">
        <v>29</v>
      </c>
      <c r="M1052" s="1" t="s">
        <v>43</v>
      </c>
      <c r="N1052" s="1" t="s">
        <v>2823</v>
      </c>
      <c r="O1052">
        <v>401.59</v>
      </c>
      <c r="P1052">
        <v>2</v>
      </c>
      <c r="Q1052">
        <v>-131.95099999999999</v>
      </c>
      <c r="R1052" s="1" t="s">
        <v>4423</v>
      </c>
      <c r="S1052">
        <v>2014</v>
      </c>
      <c r="T1052" s="1" t="s">
        <v>107</v>
      </c>
    </row>
    <row r="1053" spans="1:20" x14ac:dyDescent="0.25">
      <c r="A1053" s="1" t="s">
        <v>3027</v>
      </c>
      <c r="B1053" s="2">
        <v>43064</v>
      </c>
      <c r="C1053" s="2">
        <v>43068</v>
      </c>
      <c r="D1053" s="1" t="s">
        <v>37</v>
      </c>
      <c r="E1053" s="1" t="s">
        <v>3028</v>
      </c>
      <c r="F1053" s="1" t="s">
        <v>3029</v>
      </c>
      <c r="G1053" s="1" t="s">
        <v>24</v>
      </c>
      <c r="H1053" s="1" t="s">
        <v>320</v>
      </c>
      <c r="I1053" s="1" t="s">
        <v>50</v>
      </c>
      <c r="J1053" s="1" t="s">
        <v>51</v>
      </c>
      <c r="K1053" s="1" t="s">
        <v>1686</v>
      </c>
      <c r="L1053" s="1" t="s">
        <v>29</v>
      </c>
      <c r="M1053" s="1" t="s">
        <v>30</v>
      </c>
      <c r="N1053" s="1" t="s">
        <v>1905</v>
      </c>
      <c r="O1053">
        <v>359.49900000000002</v>
      </c>
      <c r="P1053">
        <v>3</v>
      </c>
      <c r="Q1053">
        <v>-29.605799999999999</v>
      </c>
      <c r="R1053" s="1" t="s">
        <v>4424</v>
      </c>
      <c r="S1053">
        <v>2017</v>
      </c>
      <c r="T1053" s="1" t="s">
        <v>32</v>
      </c>
    </row>
    <row r="1054" spans="1:20" x14ac:dyDescent="0.25">
      <c r="A1054" s="1" t="s">
        <v>3030</v>
      </c>
      <c r="B1054" s="2">
        <v>41979</v>
      </c>
      <c r="C1054" s="2">
        <v>41983</v>
      </c>
      <c r="D1054" s="1" t="s">
        <v>37</v>
      </c>
      <c r="E1054" s="1" t="s">
        <v>2140</v>
      </c>
      <c r="F1054" s="1" t="s">
        <v>2141</v>
      </c>
      <c r="G1054" s="1" t="s">
        <v>24</v>
      </c>
      <c r="H1054" s="1" t="s">
        <v>125</v>
      </c>
      <c r="I1054" s="1" t="s">
        <v>126</v>
      </c>
      <c r="J1054" s="1" t="s">
        <v>87</v>
      </c>
      <c r="K1054" s="1" t="s">
        <v>1053</v>
      </c>
      <c r="L1054" s="1" t="s">
        <v>29</v>
      </c>
      <c r="M1054" s="1" t="s">
        <v>43</v>
      </c>
      <c r="N1054" s="1" t="s">
        <v>1054</v>
      </c>
      <c r="O1054">
        <v>214.95</v>
      </c>
      <c r="P1054">
        <v>5</v>
      </c>
      <c r="Q1054">
        <v>-120.372</v>
      </c>
      <c r="R1054" s="1" t="s">
        <v>4424</v>
      </c>
      <c r="S1054">
        <v>2014</v>
      </c>
      <c r="T1054" s="1" t="s">
        <v>90</v>
      </c>
    </row>
    <row r="1055" spans="1:20" x14ac:dyDescent="0.25">
      <c r="A1055" s="1" t="s">
        <v>3030</v>
      </c>
      <c r="B1055" s="2">
        <v>41979</v>
      </c>
      <c r="C1055" s="2">
        <v>41983</v>
      </c>
      <c r="D1055" s="1" t="s">
        <v>37</v>
      </c>
      <c r="E1055" s="1" t="s">
        <v>2140</v>
      </c>
      <c r="F1055" s="1" t="s">
        <v>2141</v>
      </c>
      <c r="G1055" s="1" t="s">
        <v>24</v>
      </c>
      <c r="H1055" s="1" t="s">
        <v>125</v>
      </c>
      <c r="I1055" s="1" t="s">
        <v>126</v>
      </c>
      <c r="J1055" s="1" t="s">
        <v>87</v>
      </c>
      <c r="K1055" s="1" t="s">
        <v>1442</v>
      </c>
      <c r="L1055" s="1" t="s">
        <v>29</v>
      </c>
      <c r="M1055" s="1" t="s">
        <v>53</v>
      </c>
      <c r="N1055" s="1" t="s">
        <v>1443</v>
      </c>
      <c r="O1055">
        <v>10.776</v>
      </c>
      <c r="P1055">
        <v>3</v>
      </c>
      <c r="Q1055">
        <v>-4.8491999999999997</v>
      </c>
      <c r="R1055" s="1" t="s">
        <v>4424</v>
      </c>
      <c r="S1055">
        <v>2014</v>
      </c>
      <c r="T1055" s="1" t="s">
        <v>90</v>
      </c>
    </row>
    <row r="1056" spans="1:20" x14ac:dyDescent="0.25">
      <c r="A1056" s="1" t="s">
        <v>3031</v>
      </c>
      <c r="B1056" s="2">
        <v>41987</v>
      </c>
      <c r="C1056" s="2">
        <v>41993</v>
      </c>
      <c r="D1056" s="1" t="s">
        <v>37</v>
      </c>
      <c r="E1056" s="1" t="s">
        <v>799</v>
      </c>
      <c r="F1056" s="1" t="s">
        <v>800</v>
      </c>
      <c r="G1056" s="1" t="s">
        <v>24</v>
      </c>
      <c r="H1056" s="1" t="s">
        <v>3032</v>
      </c>
      <c r="I1056" s="1" t="s">
        <v>41</v>
      </c>
      <c r="J1056" s="1" t="s">
        <v>27</v>
      </c>
      <c r="K1056" s="1" t="s">
        <v>1883</v>
      </c>
      <c r="L1056" s="1" t="s">
        <v>29</v>
      </c>
      <c r="M1056" s="1" t="s">
        <v>34</v>
      </c>
      <c r="N1056" s="1" t="s">
        <v>1884</v>
      </c>
      <c r="O1056">
        <v>186.304</v>
      </c>
      <c r="P1056">
        <v>4</v>
      </c>
      <c r="Q1056">
        <v>13.972799999999999</v>
      </c>
      <c r="R1056" s="1" t="s">
        <v>4426</v>
      </c>
      <c r="S1056">
        <v>2014</v>
      </c>
      <c r="T1056" s="1" t="s">
        <v>90</v>
      </c>
    </row>
    <row r="1057" spans="1:20" x14ac:dyDescent="0.25">
      <c r="A1057" s="1" t="s">
        <v>3033</v>
      </c>
      <c r="B1057" s="2">
        <v>42321</v>
      </c>
      <c r="C1057" s="2">
        <v>42321</v>
      </c>
      <c r="D1057" s="1" t="s">
        <v>417</v>
      </c>
      <c r="E1057" s="1" t="s">
        <v>2899</v>
      </c>
      <c r="F1057" s="1" t="s">
        <v>2900</v>
      </c>
      <c r="G1057" s="1" t="s">
        <v>24</v>
      </c>
      <c r="H1057" s="1" t="s">
        <v>125</v>
      </c>
      <c r="I1057" s="1" t="s">
        <v>126</v>
      </c>
      <c r="J1057" s="1" t="s">
        <v>87</v>
      </c>
      <c r="K1057" s="1" t="s">
        <v>3034</v>
      </c>
      <c r="L1057" s="1" t="s">
        <v>29</v>
      </c>
      <c r="M1057" s="1" t="s">
        <v>53</v>
      </c>
      <c r="N1057" s="1" t="s">
        <v>3035</v>
      </c>
      <c r="O1057">
        <v>17.495999999999999</v>
      </c>
      <c r="P1057">
        <v>9</v>
      </c>
      <c r="Q1057">
        <v>-7.4358000000000004</v>
      </c>
      <c r="R1057" s="1" t="s">
        <v>4427</v>
      </c>
      <c r="S1057">
        <v>2015</v>
      </c>
      <c r="T1057" s="1" t="s">
        <v>32</v>
      </c>
    </row>
    <row r="1058" spans="1:20" x14ac:dyDescent="0.25">
      <c r="A1058" s="1" t="s">
        <v>3036</v>
      </c>
      <c r="B1058" s="2">
        <v>41896</v>
      </c>
      <c r="C1058" s="2">
        <v>41896</v>
      </c>
      <c r="D1058" s="1" t="s">
        <v>417</v>
      </c>
      <c r="E1058" s="1" t="s">
        <v>2107</v>
      </c>
      <c r="F1058" s="1" t="s">
        <v>2108</v>
      </c>
      <c r="G1058" s="1" t="s">
        <v>24</v>
      </c>
      <c r="H1058" s="1" t="s">
        <v>165</v>
      </c>
      <c r="I1058" s="1" t="s">
        <v>114</v>
      </c>
      <c r="J1058" s="1" t="s">
        <v>63</v>
      </c>
      <c r="K1058" s="1" t="s">
        <v>1250</v>
      </c>
      <c r="L1058" s="1" t="s">
        <v>29</v>
      </c>
      <c r="M1058" s="1" t="s">
        <v>43</v>
      </c>
      <c r="N1058" s="1" t="s">
        <v>1054</v>
      </c>
      <c r="O1058">
        <v>464.29199999999997</v>
      </c>
      <c r="P1058">
        <v>9</v>
      </c>
      <c r="Q1058">
        <v>-108.3348</v>
      </c>
      <c r="R1058" s="1" t="s">
        <v>4427</v>
      </c>
      <c r="S1058">
        <v>2014</v>
      </c>
      <c r="T1058" s="1" t="s">
        <v>72</v>
      </c>
    </row>
    <row r="1059" spans="1:20" x14ac:dyDescent="0.25">
      <c r="A1059" s="1" t="s">
        <v>3037</v>
      </c>
      <c r="B1059" s="2">
        <v>43098</v>
      </c>
      <c r="C1059" s="2">
        <v>43105</v>
      </c>
      <c r="D1059" s="1" t="s">
        <v>37</v>
      </c>
      <c r="E1059" s="1" t="s">
        <v>368</v>
      </c>
      <c r="F1059" s="1" t="s">
        <v>369</v>
      </c>
      <c r="G1059" s="1" t="s">
        <v>84</v>
      </c>
      <c r="H1059" s="1" t="s">
        <v>3038</v>
      </c>
      <c r="I1059" s="1" t="s">
        <v>50</v>
      </c>
      <c r="J1059" s="1" t="s">
        <v>51</v>
      </c>
      <c r="K1059" s="1" t="s">
        <v>1825</v>
      </c>
      <c r="L1059" s="1" t="s">
        <v>29</v>
      </c>
      <c r="M1059" s="1" t="s">
        <v>53</v>
      </c>
      <c r="N1059" s="1" t="s">
        <v>1826</v>
      </c>
      <c r="O1059">
        <v>101.12</v>
      </c>
      <c r="P1059">
        <v>8</v>
      </c>
      <c r="Q1059">
        <v>37.414400000000001</v>
      </c>
      <c r="R1059" s="1" t="s">
        <v>4421</v>
      </c>
      <c r="S1059">
        <v>2017</v>
      </c>
      <c r="T1059" s="1" t="s">
        <v>90</v>
      </c>
    </row>
    <row r="1060" spans="1:20" x14ac:dyDescent="0.25">
      <c r="A1060" s="1" t="s">
        <v>3039</v>
      </c>
      <c r="B1060" s="2">
        <v>42687</v>
      </c>
      <c r="C1060" s="2">
        <v>42691</v>
      </c>
      <c r="D1060" s="1" t="s">
        <v>37</v>
      </c>
      <c r="E1060" s="1" t="s">
        <v>3040</v>
      </c>
      <c r="F1060" s="1" t="s">
        <v>3041</v>
      </c>
      <c r="G1060" s="1" t="s">
        <v>84</v>
      </c>
      <c r="H1060" s="1" t="s">
        <v>3007</v>
      </c>
      <c r="I1060" s="1" t="s">
        <v>1513</v>
      </c>
      <c r="J1060" s="1" t="s">
        <v>87</v>
      </c>
      <c r="K1060" s="1" t="s">
        <v>685</v>
      </c>
      <c r="L1060" s="1" t="s">
        <v>29</v>
      </c>
      <c r="M1060" s="1" t="s">
        <v>53</v>
      </c>
      <c r="N1060" s="1" t="s">
        <v>686</v>
      </c>
      <c r="O1060">
        <v>30.36</v>
      </c>
      <c r="P1060">
        <v>4</v>
      </c>
      <c r="Q1060">
        <v>13.0548</v>
      </c>
      <c r="R1060" s="1" t="s">
        <v>4424</v>
      </c>
      <c r="S1060">
        <v>2016</v>
      </c>
      <c r="T1060" s="1" t="s">
        <v>32</v>
      </c>
    </row>
    <row r="1061" spans="1:20" x14ac:dyDescent="0.25">
      <c r="A1061" s="1" t="s">
        <v>3042</v>
      </c>
      <c r="B1061" s="2">
        <v>42461</v>
      </c>
      <c r="C1061" s="2">
        <v>42465</v>
      </c>
      <c r="D1061" s="1" t="s">
        <v>37</v>
      </c>
      <c r="E1061" s="1" t="s">
        <v>3043</v>
      </c>
      <c r="F1061" s="1" t="s">
        <v>3044</v>
      </c>
      <c r="G1061" s="1" t="s">
        <v>24</v>
      </c>
      <c r="H1061" s="1" t="s">
        <v>165</v>
      </c>
      <c r="I1061" s="1" t="s">
        <v>114</v>
      </c>
      <c r="J1061" s="1" t="s">
        <v>63</v>
      </c>
      <c r="K1061" s="1" t="s">
        <v>33</v>
      </c>
      <c r="L1061" s="1" t="s">
        <v>29</v>
      </c>
      <c r="M1061" s="1" t="s">
        <v>34</v>
      </c>
      <c r="N1061" s="1" t="s">
        <v>35</v>
      </c>
      <c r="O1061">
        <v>1317.492</v>
      </c>
      <c r="P1061">
        <v>6</v>
      </c>
      <c r="Q1061">
        <v>292.77600000000001</v>
      </c>
      <c r="R1061" s="1" t="s">
        <v>4424</v>
      </c>
      <c r="S1061">
        <v>2016</v>
      </c>
      <c r="T1061" s="1" t="s">
        <v>107</v>
      </c>
    </row>
    <row r="1062" spans="1:20" x14ac:dyDescent="0.25">
      <c r="A1062" s="1" t="s">
        <v>3045</v>
      </c>
      <c r="B1062" s="2">
        <v>42768</v>
      </c>
      <c r="C1062" s="2">
        <v>42773</v>
      </c>
      <c r="D1062" s="1" t="s">
        <v>37</v>
      </c>
      <c r="E1062" s="1" t="s">
        <v>2799</v>
      </c>
      <c r="F1062" s="1" t="s">
        <v>2800</v>
      </c>
      <c r="G1062" s="1" t="s">
        <v>24</v>
      </c>
      <c r="H1062" s="1" t="s">
        <v>49</v>
      </c>
      <c r="I1062" s="1" t="s">
        <v>50</v>
      </c>
      <c r="J1062" s="1" t="s">
        <v>51</v>
      </c>
      <c r="K1062" s="1" t="s">
        <v>598</v>
      </c>
      <c r="L1062" s="1" t="s">
        <v>29</v>
      </c>
      <c r="M1062" s="1" t="s">
        <v>53</v>
      </c>
      <c r="N1062" s="1" t="s">
        <v>599</v>
      </c>
      <c r="O1062">
        <v>86.26</v>
      </c>
      <c r="P1062">
        <v>2</v>
      </c>
      <c r="Q1062">
        <v>29.328399999999998</v>
      </c>
      <c r="R1062" s="1" t="s">
        <v>4422</v>
      </c>
      <c r="S1062">
        <v>2017</v>
      </c>
      <c r="T1062" s="1" t="s">
        <v>289</v>
      </c>
    </row>
    <row r="1063" spans="1:20" x14ac:dyDescent="0.25">
      <c r="A1063" s="1" t="s">
        <v>3046</v>
      </c>
      <c r="B1063" s="2">
        <v>43093</v>
      </c>
      <c r="C1063" s="2">
        <v>43100</v>
      </c>
      <c r="D1063" s="1" t="s">
        <v>37</v>
      </c>
      <c r="E1063" s="1" t="s">
        <v>3047</v>
      </c>
      <c r="F1063" s="1" t="s">
        <v>3048</v>
      </c>
      <c r="G1063" s="1" t="s">
        <v>94</v>
      </c>
      <c r="H1063" s="1" t="s">
        <v>3049</v>
      </c>
      <c r="I1063" s="1" t="s">
        <v>511</v>
      </c>
      <c r="J1063" s="1" t="s">
        <v>51</v>
      </c>
      <c r="K1063" s="1" t="s">
        <v>2504</v>
      </c>
      <c r="L1063" s="1" t="s">
        <v>29</v>
      </c>
      <c r="M1063" s="1" t="s">
        <v>53</v>
      </c>
      <c r="N1063" s="1" t="s">
        <v>2505</v>
      </c>
      <c r="O1063">
        <v>8.5440000000000005</v>
      </c>
      <c r="P1063">
        <v>4</v>
      </c>
      <c r="Q1063">
        <v>1.9224000000000001</v>
      </c>
      <c r="R1063" s="1" t="s">
        <v>4421</v>
      </c>
      <c r="S1063">
        <v>2017</v>
      </c>
      <c r="T1063" s="1" t="s">
        <v>90</v>
      </c>
    </row>
    <row r="1064" spans="1:20" x14ac:dyDescent="0.25">
      <c r="A1064" s="1" t="s">
        <v>3046</v>
      </c>
      <c r="B1064" s="2">
        <v>43093</v>
      </c>
      <c r="C1064" s="2">
        <v>43100</v>
      </c>
      <c r="D1064" s="1" t="s">
        <v>37</v>
      </c>
      <c r="E1064" s="1" t="s">
        <v>3047</v>
      </c>
      <c r="F1064" s="1" t="s">
        <v>3048</v>
      </c>
      <c r="G1064" s="1" t="s">
        <v>94</v>
      </c>
      <c r="H1064" s="1" t="s">
        <v>3049</v>
      </c>
      <c r="I1064" s="1" t="s">
        <v>511</v>
      </c>
      <c r="J1064" s="1" t="s">
        <v>51</v>
      </c>
      <c r="K1064" s="1" t="s">
        <v>842</v>
      </c>
      <c r="L1064" s="1" t="s">
        <v>29</v>
      </c>
      <c r="M1064" s="1" t="s">
        <v>34</v>
      </c>
      <c r="N1064" s="1" t="s">
        <v>843</v>
      </c>
      <c r="O1064">
        <v>842.37599999999998</v>
      </c>
      <c r="P1064">
        <v>3</v>
      </c>
      <c r="Q1064">
        <v>105.297</v>
      </c>
      <c r="R1064" s="1" t="s">
        <v>4421</v>
      </c>
      <c r="S1064">
        <v>2017</v>
      </c>
      <c r="T1064" s="1" t="s">
        <v>90</v>
      </c>
    </row>
    <row r="1065" spans="1:20" x14ac:dyDescent="0.25">
      <c r="A1065" s="1" t="s">
        <v>3050</v>
      </c>
      <c r="B1065" s="2">
        <v>42223</v>
      </c>
      <c r="C1065" s="2">
        <v>42224</v>
      </c>
      <c r="D1065" s="1" t="s">
        <v>81</v>
      </c>
      <c r="E1065" s="1" t="s">
        <v>3051</v>
      </c>
      <c r="F1065" s="1" t="s">
        <v>3052</v>
      </c>
      <c r="G1065" s="1" t="s">
        <v>24</v>
      </c>
      <c r="H1065" s="1" t="s">
        <v>3053</v>
      </c>
      <c r="I1065" s="1" t="s">
        <v>556</v>
      </c>
      <c r="J1065" s="1" t="s">
        <v>87</v>
      </c>
      <c r="K1065" s="1" t="s">
        <v>2187</v>
      </c>
      <c r="L1065" s="1" t="s">
        <v>29</v>
      </c>
      <c r="M1065" s="1" t="s">
        <v>53</v>
      </c>
      <c r="N1065" s="1" t="s">
        <v>2188</v>
      </c>
      <c r="O1065">
        <v>212.94</v>
      </c>
      <c r="P1065">
        <v>3</v>
      </c>
      <c r="Q1065">
        <v>34.070399999999999</v>
      </c>
      <c r="R1065" s="1" t="s">
        <v>4425</v>
      </c>
      <c r="S1065">
        <v>2015</v>
      </c>
      <c r="T1065" s="1" t="s">
        <v>245</v>
      </c>
    </row>
    <row r="1066" spans="1:20" x14ac:dyDescent="0.25">
      <c r="A1066" s="1" t="s">
        <v>3054</v>
      </c>
      <c r="B1066" s="2">
        <v>42916</v>
      </c>
      <c r="C1066" s="2">
        <v>42920</v>
      </c>
      <c r="D1066" s="1" t="s">
        <v>21</v>
      </c>
      <c r="E1066" s="1" t="s">
        <v>2590</v>
      </c>
      <c r="F1066" s="1" t="s">
        <v>2591</v>
      </c>
      <c r="G1066" s="1" t="s">
        <v>94</v>
      </c>
      <c r="H1066" s="1" t="s">
        <v>125</v>
      </c>
      <c r="I1066" s="1" t="s">
        <v>126</v>
      </c>
      <c r="J1066" s="1" t="s">
        <v>87</v>
      </c>
      <c r="K1066" s="1" t="s">
        <v>2721</v>
      </c>
      <c r="L1066" s="1" t="s">
        <v>29</v>
      </c>
      <c r="M1066" s="1" t="s">
        <v>34</v>
      </c>
      <c r="N1066" s="1" t="s">
        <v>2722</v>
      </c>
      <c r="O1066">
        <v>569.05799999999999</v>
      </c>
      <c r="P1066">
        <v>3</v>
      </c>
      <c r="Q1066">
        <v>-178.8468</v>
      </c>
      <c r="R1066" s="1" t="s">
        <v>4424</v>
      </c>
      <c r="S1066">
        <v>2017</v>
      </c>
      <c r="T1066" s="1" t="s">
        <v>55</v>
      </c>
    </row>
    <row r="1067" spans="1:20" x14ac:dyDescent="0.25">
      <c r="A1067" s="1" t="s">
        <v>3054</v>
      </c>
      <c r="B1067" s="2">
        <v>42916</v>
      </c>
      <c r="C1067" s="2">
        <v>42920</v>
      </c>
      <c r="D1067" s="1" t="s">
        <v>21</v>
      </c>
      <c r="E1067" s="1" t="s">
        <v>2590</v>
      </c>
      <c r="F1067" s="1" t="s">
        <v>2591</v>
      </c>
      <c r="G1067" s="1" t="s">
        <v>94</v>
      </c>
      <c r="H1067" s="1" t="s">
        <v>125</v>
      </c>
      <c r="I1067" s="1" t="s">
        <v>126</v>
      </c>
      <c r="J1067" s="1" t="s">
        <v>87</v>
      </c>
      <c r="K1067" s="1" t="s">
        <v>159</v>
      </c>
      <c r="L1067" s="1" t="s">
        <v>29</v>
      </c>
      <c r="M1067" s="1" t="s">
        <v>53</v>
      </c>
      <c r="N1067" s="1" t="s">
        <v>160</v>
      </c>
      <c r="O1067">
        <v>14.224</v>
      </c>
      <c r="P1067">
        <v>2</v>
      </c>
      <c r="Q1067">
        <v>-10.3124</v>
      </c>
      <c r="R1067" s="1" t="s">
        <v>4424</v>
      </c>
      <c r="S1067">
        <v>2017</v>
      </c>
      <c r="T1067" s="1" t="s">
        <v>55</v>
      </c>
    </row>
    <row r="1068" spans="1:20" x14ac:dyDescent="0.25">
      <c r="A1068" s="1" t="s">
        <v>3055</v>
      </c>
      <c r="B1068" s="2">
        <v>41850</v>
      </c>
      <c r="C1068" s="2">
        <v>41856</v>
      </c>
      <c r="D1068" s="1" t="s">
        <v>37</v>
      </c>
      <c r="E1068" s="1" t="s">
        <v>3040</v>
      </c>
      <c r="F1068" s="1" t="s">
        <v>3041</v>
      </c>
      <c r="G1068" s="1" t="s">
        <v>84</v>
      </c>
      <c r="H1068" s="1" t="s">
        <v>183</v>
      </c>
      <c r="I1068" s="1" t="s">
        <v>184</v>
      </c>
      <c r="J1068" s="1" t="s">
        <v>51</v>
      </c>
      <c r="K1068" s="1" t="s">
        <v>2391</v>
      </c>
      <c r="L1068" s="1" t="s">
        <v>29</v>
      </c>
      <c r="M1068" s="1" t="s">
        <v>30</v>
      </c>
      <c r="N1068" s="1" t="s">
        <v>2392</v>
      </c>
      <c r="O1068">
        <v>1367.84</v>
      </c>
      <c r="P1068">
        <v>8</v>
      </c>
      <c r="Q1068">
        <v>259.88959999999997</v>
      </c>
      <c r="R1068" s="1" t="s">
        <v>4426</v>
      </c>
      <c r="S1068">
        <v>2014</v>
      </c>
      <c r="T1068" s="1" t="s">
        <v>66</v>
      </c>
    </row>
    <row r="1069" spans="1:20" x14ac:dyDescent="0.25">
      <c r="A1069" s="1" t="s">
        <v>3056</v>
      </c>
      <c r="B1069" s="2">
        <v>42692</v>
      </c>
      <c r="C1069" s="2">
        <v>42697</v>
      </c>
      <c r="D1069" s="1" t="s">
        <v>21</v>
      </c>
      <c r="E1069" s="1" t="s">
        <v>3057</v>
      </c>
      <c r="F1069" s="1" t="s">
        <v>3058</v>
      </c>
      <c r="G1069" s="1" t="s">
        <v>24</v>
      </c>
      <c r="H1069" s="1" t="s">
        <v>3059</v>
      </c>
      <c r="I1069" s="1" t="s">
        <v>281</v>
      </c>
      <c r="J1069" s="1" t="s">
        <v>87</v>
      </c>
      <c r="K1069" s="1" t="s">
        <v>151</v>
      </c>
      <c r="L1069" s="1" t="s">
        <v>29</v>
      </c>
      <c r="M1069" s="1" t="s">
        <v>34</v>
      </c>
      <c r="N1069" s="1" t="s">
        <v>152</v>
      </c>
      <c r="O1069">
        <v>301.95999999999998</v>
      </c>
      <c r="P1069">
        <v>2</v>
      </c>
      <c r="Q1069">
        <v>33.215600000000002</v>
      </c>
      <c r="R1069" s="1" t="s">
        <v>4422</v>
      </c>
      <c r="S1069">
        <v>2016</v>
      </c>
      <c r="T1069" s="1" t="s">
        <v>32</v>
      </c>
    </row>
    <row r="1070" spans="1:20" x14ac:dyDescent="0.25">
      <c r="A1070" s="1" t="s">
        <v>3060</v>
      </c>
      <c r="B1070" s="2">
        <v>42191</v>
      </c>
      <c r="C1070" s="2">
        <v>42196</v>
      </c>
      <c r="D1070" s="1" t="s">
        <v>37</v>
      </c>
      <c r="E1070" s="1" t="s">
        <v>2350</v>
      </c>
      <c r="F1070" s="1" t="s">
        <v>2351</v>
      </c>
      <c r="G1070" s="1" t="s">
        <v>24</v>
      </c>
      <c r="H1070" s="1" t="s">
        <v>1176</v>
      </c>
      <c r="I1070" s="1" t="s">
        <v>50</v>
      </c>
      <c r="J1070" s="1" t="s">
        <v>51</v>
      </c>
      <c r="K1070" s="1" t="s">
        <v>115</v>
      </c>
      <c r="L1070" s="1" t="s">
        <v>29</v>
      </c>
      <c r="M1070" s="1" t="s">
        <v>34</v>
      </c>
      <c r="N1070" s="1" t="s">
        <v>116</v>
      </c>
      <c r="O1070">
        <v>170.352</v>
      </c>
      <c r="P1070">
        <v>3</v>
      </c>
      <c r="Q1070">
        <v>-17.0352</v>
      </c>
      <c r="R1070" s="1" t="s">
        <v>4422</v>
      </c>
      <c r="S1070">
        <v>2015</v>
      </c>
      <c r="T1070" s="1" t="s">
        <v>66</v>
      </c>
    </row>
    <row r="1071" spans="1:20" x14ac:dyDescent="0.25">
      <c r="A1071" s="1" t="s">
        <v>3061</v>
      </c>
      <c r="B1071" s="2">
        <v>41953</v>
      </c>
      <c r="C1071" s="2">
        <v>41959</v>
      </c>
      <c r="D1071" s="1" t="s">
        <v>37</v>
      </c>
      <c r="E1071" s="1" t="s">
        <v>2467</v>
      </c>
      <c r="F1071" s="1" t="s">
        <v>2468</v>
      </c>
      <c r="G1071" s="1" t="s">
        <v>24</v>
      </c>
      <c r="H1071" s="1" t="s">
        <v>3062</v>
      </c>
      <c r="I1071" s="1" t="s">
        <v>281</v>
      </c>
      <c r="J1071" s="1" t="s">
        <v>87</v>
      </c>
      <c r="K1071" s="1" t="s">
        <v>616</v>
      </c>
      <c r="L1071" s="1" t="s">
        <v>29</v>
      </c>
      <c r="M1071" s="1" t="s">
        <v>34</v>
      </c>
      <c r="N1071" s="1" t="s">
        <v>617</v>
      </c>
      <c r="O1071">
        <v>563.94000000000005</v>
      </c>
      <c r="P1071">
        <v>3</v>
      </c>
      <c r="Q1071">
        <v>112.788</v>
      </c>
      <c r="R1071" s="1" t="s">
        <v>4426</v>
      </c>
      <c r="S1071">
        <v>2014</v>
      </c>
      <c r="T1071" s="1" t="s">
        <v>32</v>
      </c>
    </row>
    <row r="1072" spans="1:20" x14ac:dyDescent="0.25">
      <c r="A1072" s="1" t="s">
        <v>3063</v>
      </c>
      <c r="B1072" s="2">
        <v>42517</v>
      </c>
      <c r="C1072" s="2">
        <v>42519</v>
      </c>
      <c r="D1072" s="1" t="s">
        <v>21</v>
      </c>
      <c r="E1072" s="1" t="s">
        <v>975</v>
      </c>
      <c r="F1072" s="1" t="s">
        <v>976</v>
      </c>
      <c r="G1072" s="1" t="s">
        <v>84</v>
      </c>
      <c r="H1072" s="1" t="s">
        <v>280</v>
      </c>
      <c r="I1072" s="1" t="s">
        <v>281</v>
      </c>
      <c r="J1072" s="1" t="s">
        <v>87</v>
      </c>
      <c r="K1072" s="1" t="s">
        <v>592</v>
      </c>
      <c r="L1072" s="1" t="s">
        <v>29</v>
      </c>
      <c r="M1072" s="1" t="s">
        <v>34</v>
      </c>
      <c r="N1072" s="1" t="s">
        <v>593</v>
      </c>
      <c r="O1072">
        <v>3504.9</v>
      </c>
      <c r="P1072">
        <v>5</v>
      </c>
      <c r="Q1072">
        <v>700.98</v>
      </c>
      <c r="R1072" s="1" t="s">
        <v>4423</v>
      </c>
      <c r="S1072">
        <v>2016</v>
      </c>
      <c r="T1072" s="1" t="s">
        <v>153</v>
      </c>
    </row>
    <row r="1073" spans="1:20" x14ac:dyDescent="0.25">
      <c r="A1073" s="1" t="s">
        <v>3064</v>
      </c>
      <c r="B1073" s="2">
        <v>43027</v>
      </c>
      <c r="C1073" s="2">
        <v>43032</v>
      </c>
      <c r="D1073" s="1" t="s">
        <v>37</v>
      </c>
      <c r="E1073" s="1" t="s">
        <v>1222</v>
      </c>
      <c r="F1073" s="1" t="s">
        <v>1223</v>
      </c>
      <c r="G1073" s="1" t="s">
        <v>24</v>
      </c>
      <c r="H1073" s="1" t="s">
        <v>3065</v>
      </c>
      <c r="I1073" s="1" t="s">
        <v>86</v>
      </c>
      <c r="J1073" s="1" t="s">
        <v>87</v>
      </c>
      <c r="K1073" s="1" t="s">
        <v>2711</v>
      </c>
      <c r="L1073" s="1" t="s">
        <v>29</v>
      </c>
      <c r="M1073" s="1" t="s">
        <v>30</v>
      </c>
      <c r="N1073" s="1" t="s">
        <v>2712</v>
      </c>
      <c r="O1073">
        <v>328.39920000000001</v>
      </c>
      <c r="P1073">
        <v>3</v>
      </c>
      <c r="Q1073">
        <v>-91.758600000000001</v>
      </c>
      <c r="R1073" s="1" t="s">
        <v>4422</v>
      </c>
      <c r="S1073">
        <v>2017</v>
      </c>
      <c r="T1073" s="1" t="s">
        <v>45</v>
      </c>
    </row>
    <row r="1074" spans="1:20" x14ac:dyDescent="0.25">
      <c r="A1074" s="1" t="s">
        <v>3066</v>
      </c>
      <c r="B1074" s="2">
        <v>42107</v>
      </c>
      <c r="C1074" s="2">
        <v>42113</v>
      </c>
      <c r="D1074" s="1" t="s">
        <v>37</v>
      </c>
      <c r="E1074" s="1" t="s">
        <v>1017</v>
      </c>
      <c r="F1074" s="1" t="s">
        <v>1018</v>
      </c>
      <c r="G1074" s="1" t="s">
        <v>84</v>
      </c>
      <c r="H1074" s="1" t="s">
        <v>49</v>
      </c>
      <c r="I1074" s="1" t="s">
        <v>50</v>
      </c>
      <c r="J1074" s="1" t="s">
        <v>51</v>
      </c>
      <c r="K1074" s="1" t="s">
        <v>1533</v>
      </c>
      <c r="L1074" s="1" t="s">
        <v>29</v>
      </c>
      <c r="M1074" s="1" t="s">
        <v>53</v>
      </c>
      <c r="N1074" s="1" t="s">
        <v>1534</v>
      </c>
      <c r="O1074">
        <v>37.68</v>
      </c>
      <c r="P1074">
        <v>2</v>
      </c>
      <c r="Q1074">
        <v>15.8256</v>
      </c>
      <c r="R1074" s="1" t="s">
        <v>4426</v>
      </c>
      <c r="S1074">
        <v>2015</v>
      </c>
      <c r="T1074" s="1" t="s">
        <v>107</v>
      </c>
    </row>
    <row r="1075" spans="1:20" x14ac:dyDescent="0.25">
      <c r="A1075" s="1" t="s">
        <v>3067</v>
      </c>
      <c r="B1075" s="2">
        <v>42260</v>
      </c>
      <c r="C1075" s="2">
        <v>42265</v>
      </c>
      <c r="D1075" s="1" t="s">
        <v>37</v>
      </c>
      <c r="E1075" s="1" t="s">
        <v>834</v>
      </c>
      <c r="F1075" s="1" t="s">
        <v>835</v>
      </c>
      <c r="G1075" s="1" t="s">
        <v>24</v>
      </c>
      <c r="H1075" s="1" t="s">
        <v>339</v>
      </c>
      <c r="I1075" s="1" t="s">
        <v>104</v>
      </c>
      <c r="J1075" s="1" t="s">
        <v>87</v>
      </c>
      <c r="K1075" s="1" t="s">
        <v>470</v>
      </c>
      <c r="L1075" s="1" t="s">
        <v>29</v>
      </c>
      <c r="M1075" s="1" t="s">
        <v>34</v>
      </c>
      <c r="N1075" s="1" t="s">
        <v>471</v>
      </c>
      <c r="O1075">
        <v>1516.2</v>
      </c>
      <c r="P1075">
        <v>7</v>
      </c>
      <c r="Q1075">
        <v>394.21199999999999</v>
      </c>
      <c r="R1075" s="1" t="s">
        <v>4422</v>
      </c>
      <c r="S1075">
        <v>2015</v>
      </c>
      <c r="T1075" s="1" t="s">
        <v>72</v>
      </c>
    </row>
    <row r="1076" spans="1:20" x14ac:dyDescent="0.25">
      <c r="A1076" s="1" t="s">
        <v>3068</v>
      </c>
      <c r="B1076" s="2">
        <v>41971</v>
      </c>
      <c r="C1076" s="2">
        <v>41974</v>
      </c>
      <c r="D1076" s="1" t="s">
        <v>21</v>
      </c>
      <c r="E1076" s="1" t="s">
        <v>3069</v>
      </c>
      <c r="F1076" s="1" t="s">
        <v>3070</v>
      </c>
      <c r="G1076" s="1" t="s">
        <v>84</v>
      </c>
      <c r="H1076" s="1" t="s">
        <v>149</v>
      </c>
      <c r="I1076" s="1" t="s">
        <v>150</v>
      </c>
      <c r="J1076" s="1" t="s">
        <v>27</v>
      </c>
      <c r="K1076" s="1" t="s">
        <v>210</v>
      </c>
      <c r="L1076" s="1" t="s">
        <v>29</v>
      </c>
      <c r="M1076" s="1" t="s">
        <v>53</v>
      </c>
      <c r="N1076" s="1" t="s">
        <v>211</v>
      </c>
      <c r="O1076">
        <v>397.6</v>
      </c>
      <c r="P1076">
        <v>5</v>
      </c>
      <c r="Q1076">
        <v>43.735999999999997</v>
      </c>
      <c r="R1076" s="1" t="s">
        <v>4420</v>
      </c>
      <c r="S1076">
        <v>2014</v>
      </c>
      <c r="T1076" s="1" t="s">
        <v>32</v>
      </c>
    </row>
    <row r="1077" spans="1:20" x14ac:dyDescent="0.25">
      <c r="A1077" s="1" t="s">
        <v>3071</v>
      </c>
      <c r="B1077" s="2">
        <v>42231</v>
      </c>
      <c r="C1077" s="2">
        <v>42235</v>
      </c>
      <c r="D1077" s="1" t="s">
        <v>37</v>
      </c>
      <c r="E1077" s="1" t="s">
        <v>3072</v>
      </c>
      <c r="F1077" s="1" t="s">
        <v>3073</v>
      </c>
      <c r="G1077" s="1" t="s">
        <v>24</v>
      </c>
      <c r="H1077" s="1" t="s">
        <v>1461</v>
      </c>
      <c r="I1077" s="1" t="s">
        <v>50</v>
      </c>
      <c r="J1077" s="1" t="s">
        <v>51</v>
      </c>
      <c r="K1077" s="1" t="s">
        <v>1195</v>
      </c>
      <c r="L1077" s="1" t="s">
        <v>29</v>
      </c>
      <c r="M1077" s="1" t="s">
        <v>53</v>
      </c>
      <c r="N1077" s="1" t="s">
        <v>1196</v>
      </c>
      <c r="O1077">
        <v>104.23</v>
      </c>
      <c r="P1077">
        <v>7</v>
      </c>
      <c r="Q1077">
        <v>28.142099999999999</v>
      </c>
      <c r="R1077" s="1" t="s">
        <v>4424</v>
      </c>
      <c r="S1077">
        <v>2015</v>
      </c>
      <c r="T1077" s="1" t="s">
        <v>245</v>
      </c>
    </row>
    <row r="1078" spans="1:20" x14ac:dyDescent="0.25">
      <c r="A1078" s="1" t="s">
        <v>3074</v>
      </c>
      <c r="B1078" s="2">
        <v>42979</v>
      </c>
      <c r="C1078" s="2">
        <v>42979</v>
      </c>
      <c r="D1078" s="1" t="s">
        <v>417</v>
      </c>
      <c r="E1078" s="1" t="s">
        <v>609</v>
      </c>
      <c r="F1078" s="1" t="s">
        <v>610</v>
      </c>
      <c r="G1078" s="1" t="s">
        <v>24</v>
      </c>
      <c r="H1078" s="1" t="s">
        <v>280</v>
      </c>
      <c r="I1078" s="1" t="s">
        <v>281</v>
      </c>
      <c r="J1078" s="1" t="s">
        <v>87</v>
      </c>
      <c r="K1078" s="1" t="s">
        <v>2185</v>
      </c>
      <c r="L1078" s="1" t="s">
        <v>29</v>
      </c>
      <c r="M1078" s="1" t="s">
        <v>34</v>
      </c>
      <c r="N1078" s="1" t="s">
        <v>2186</v>
      </c>
      <c r="O1078">
        <v>498.26</v>
      </c>
      <c r="P1078">
        <v>7</v>
      </c>
      <c r="Q1078">
        <v>134.53020000000001</v>
      </c>
      <c r="R1078" s="1" t="s">
        <v>4427</v>
      </c>
      <c r="S1078">
        <v>2017</v>
      </c>
      <c r="T1078" s="1" t="s">
        <v>72</v>
      </c>
    </row>
    <row r="1079" spans="1:20" x14ac:dyDescent="0.25">
      <c r="A1079" s="1" t="s">
        <v>3075</v>
      </c>
      <c r="B1079" s="2">
        <v>41804</v>
      </c>
      <c r="C1079" s="2">
        <v>41810</v>
      </c>
      <c r="D1079" s="1" t="s">
        <v>37</v>
      </c>
      <c r="E1079" s="1" t="s">
        <v>3076</v>
      </c>
      <c r="F1079" s="1" t="s">
        <v>3077</v>
      </c>
      <c r="G1079" s="1" t="s">
        <v>94</v>
      </c>
      <c r="H1079" s="1" t="s">
        <v>280</v>
      </c>
      <c r="I1079" s="1" t="s">
        <v>281</v>
      </c>
      <c r="J1079" s="1" t="s">
        <v>87</v>
      </c>
      <c r="K1079" s="1" t="s">
        <v>2703</v>
      </c>
      <c r="L1079" s="1" t="s">
        <v>29</v>
      </c>
      <c r="M1079" s="1" t="s">
        <v>30</v>
      </c>
      <c r="N1079" s="1" t="s">
        <v>2704</v>
      </c>
      <c r="O1079">
        <v>212.94</v>
      </c>
      <c r="P1079">
        <v>3</v>
      </c>
      <c r="Q1079">
        <v>57.4938</v>
      </c>
      <c r="R1079" s="1" t="s">
        <v>4426</v>
      </c>
      <c r="S1079">
        <v>2014</v>
      </c>
      <c r="T1079" s="1" t="s">
        <v>55</v>
      </c>
    </row>
    <row r="1080" spans="1:20" x14ac:dyDescent="0.25">
      <c r="A1080" s="1" t="s">
        <v>3078</v>
      </c>
      <c r="B1080" s="2">
        <v>42542</v>
      </c>
      <c r="C1080" s="2">
        <v>42547</v>
      </c>
      <c r="D1080" s="1" t="s">
        <v>37</v>
      </c>
      <c r="E1080" s="1" t="s">
        <v>1616</v>
      </c>
      <c r="F1080" s="1" t="s">
        <v>1617</v>
      </c>
      <c r="G1080" s="1" t="s">
        <v>24</v>
      </c>
      <c r="H1080" s="1" t="s">
        <v>165</v>
      </c>
      <c r="I1080" s="1" t="s">
        <v>114</v>
      </c>
      <c r="J1080" s="1" t="s">
        <v>63</v>
      </c>
      <c r="K1080" s="1" t="s">
        <v>727</v>
      </c>
      <c r="L1080" s="1" t="s">
        <v>29</v>
      </c>
      <c r="M1080" s="1" t="s">
        <v>30</v>
      </c>
      <c r="N1080" s="1" t="s">
        <v>728</v>
      </c>
      <c r="O1080">
        <v>353.56799999999998</v>
      </c>
      <c r="P1080">
        <v>2</v>
      </c>
      <c r="Q1080">
        <v>-44.195999999999998</v>
      </c>
      <c r="R1080" s="1" t="s">
        <v>4422</v>
      </c>
      <c r="S1080">
        <v>2016</v>
      </c>
      <c r="T1080" s="1" t="s">
        <v>55</v>
      </c>
    </row>
    <row r="1081" spans="1:20" x14ac:dyDescent="0.25">
      <c r="A1081" s="1" t="s">
        <v>3079</v>
      </c>
      <c r="B1081" s="2">
        <v>42813</v>
      </c>
      <c r="C1081" s="2">
        <v>42816</v>
      </c>
      <c r="D1081" s="1" t="s">
        <v>21</v>
      </c>
      <c r="E1081" s="1" t="s">
        <v>810</v>
      </c>
      <c r="F1081" s="1" t="s">
        <v>811</v>
      </c>
      <c r="G1081" s="1" t="s">
        <v>24</v>
      </c>
      <c r="H1081" s="1" t="s">
        <v>1124</v>
      </c>
      <c r="I1081" s="1" t="s">
        <v>50</v>
      </c>
      <c r="J1081" s="1" t="s">
        <v>51</v>
      </c>
      <c r="K1081" s="1" t="s">
        <v>775</v>
      </c>
      <c r="L1081" s="1" t="s">
        <v>29</v>
      </c>
      <c r="M1081" s="1" t="s">
        <v>43</v>
      </c>
      <c r="N1081" s="1" t="s">
        <v>776</v>
      </c>
      <c r="O1081">
        <v>697.16</v>
      </c>
      <c r="P1081">
        <v>5</v>
      </c>
      <c r="Q1081">
        <v>8.7144999999999992</v>
      </c>
      <c r="R1081" s="1" t="s">
        <v>4420</v>
      </c>
      <c r="S1081">
        <v>2017</v>
      </c>
      <c r="T1081" s="1" t="s">
        <v>187</v>
      </c>
    </row>
    <row r="1082" spans="1:20" x14ac:dyDescent="0.25">
      <c r="A1082" s="1" t="s">
        <v>3079</v>
      </c>
      <c r="B1082" s="2">
        <v>42813</v>
      </c>
      <c r="C1082" s="2">
        <v>42816</v>
      </c>
      <c r="D1082" s="1" t="s">
        <v>21</v>
      </c>
      <c r="E1082" s="1" t="s">
        <v>810</v>
      </c>
      <c r="F1082" s="1" t="s">
        <v>811</v>
      </c>
      <c r="G1082" s="1" t="s">
        <v>24</v>
      </c>
      <c r="H1082" s="1" t="s">
        <v>1124</v>
      </c>
      <c r="I1082" s="1" t="s">
        <v>50</v>
      </c>
      <c r="J1082" s="1" t="s">
        <v>51</v>
      </c>
      <c r="K1082" s="1" t="s">
        <v>2101</v>
      </c>
      <c r="L1082" s="1" t="s">
        <v>29</v>
      </c>
      <c r="M1082" s="1" t="s">
        <v>53</v>
      </c>
      <c r="N1082" s="1" t="s">
        <v>2102</v>
      </c>
      <c r="O1082">
        <v>30.93</v>
      </c>
      <c r="P1082">
        <v>1</v>
      </c>
      <c r="Q1082">
        <v>12.6813</v>
      </c>
      <c r="R1082" s="1" t="s">
        <v>4420</v>
      </c>
      <c r="S1082">
        <v>2017</v>
      </c>
      <c r="T1082" s="1" t="s">
        <v>187</v>
      </c>
    </row>
    <row r="1083" spans="1:20" x14ac:dyDescent="0.25">
      <c r="A1083" s="1" t="s">
        <v>3080</v>
      </c>
      <c r="B1083" s="2">
        <v>41930</v>
      </c>
      <c r="C1083" s="2">
        <v>41934</v>
      </c>
      <c r="D1083" s="1" t="s">
        <v>37</v>
      </c>
      <c r="E1083" s="1" t="s">
        <v>2155</v>
      </c>
      <c r="F1083" s="1" t="s">
        <v>2156</v>
      </c>
      <c r="G1083" s="1" t="s">
        <v>84</v>
      </c>
      <c r="H1083" s="1" t="s">
        <v>3081</v>
      </c>
      <c r="I1083" s="1" t="s">
        <v>1049</v>
      </c>
      <c r="J1083" s="1" t="s">
        <v>27</v>
      </c>
      <c r="K1083" s="1" t="s">
        <v>3008</v>
      </c>
      <c r="L1083" s="1" t="s">
        <v>29</v>
      </c>
      <c r="M1083" s="1" t="s">
        <v>34</v>
      </c>
      <c r="N1083" s="1" t="s">
        <v>3009</v>
      </c>
      <c r="O1083">
        <v>605.34</v>
      </c>
      <c r="P1083">
        <v>6</v>
      </c>
      <c r="Q1083">
        <v>145.2816</v>
      </c>
      <c r="R1083" s="1" t="s">
        <v>4424</v>
      </c>
      <c r="S1083">
        <v>2014</v>
      </c>
      <c r="T1083" s="1" t="s">
        <v>45</v>
      </c>
    </row>
    <row r="1084" spans="1:20" x14ac:dyDescent="0.25">
      <c r="A1084" s="1" t="s">
        <v>3082</v>
      </c>
      <c r="B1084" s="2">
        <v>42969</v>
      </c>
      <c r="C1084" s="2">
        <v>42970</v>
      </c>
      <c r="D1084" s="1" t="s">
        <v>81</v>
      </c>
      <c r="E1084" s="1" t="s">
        <v>3083</v>
      </c>
      <c r="F1084" s="1" t="s">
        <v>3084</v>
      </c>
      <c r="G1084" s="1" t="s">
        <v>24</v>
      </c>
      <c r="H1084" s="1" t="s">
        <v>320</v>
      </c>
      <c r="I1084" s="1" t="s">
        <v>50</v>
      </c>
      <c r="J1084" s="1" t="s">
        <v>51</v>
      </c>
      <c r="K1084" s="1" t="s">
        <v>185</v>
      </c>
      <c r="L1084" s="1" t="s">
        <v>29</v>
      </c>
      <c r="M1084" s="1" t="s">
        <v>43</v>
      </c>
      <c r="N1084" s="1" t="s">
        <v>186</v>
      </c>
      <c r="O1084">
        <v>210.00800000000001</v>
      </c>
      <c r="P1084">
        <v>1</v>
      </c>
      <c r="Q1084">
        <v>2.6251000000000002</v>
      </c>
      <c r="R1084" s="1" t="s">
        <v>4425</v>
      </c>
      <c r="S1084">
        <v>2017</v>
      </c>
      <c r="T1084" s="1" t="s">
        <v>245</v>
      </c>
    </row>
    <row r="1085" spans="1:20" x14ac:dyDescent="0.25">
      <c r="A1085" s="1" t="s">
        <v>3085</v>
      </c>
      <c r="B1085" s="2">
        <v>41902</v>
      </c>
      <c r="C1085" s="2">
        <v>41906</v>
      </c>
      <c r="D1085" s="1" t="s">
        <v>37</v>
      </c>
      <c r="E1085" s="1" t="s">
        <v>2633</v>
      </c>
      <c r="F1085" s="1" t="s">
        <v>2634</v>
      </c>
      <c r="G1085" s="1" t="s">
        <v>24</v>
      </c>
      <c r="H1085" s="1" t="s">
        <v>149</v>
      </c>
      <c r="I1085" s="1" t="s">
        <v>1080</v>
      </c>
      <c r="J1085" s="1" t="s">
        <v>63</v>
      </c>
      <c r="K1085" s="1" t="s">
        <v>1076</v>
      </c>
      <c r="L1085" s="1" t="s">
        <v>29</v>
      </c>
      <c r="M1085" s="1" t="s">
        <v>53</v>
      </c>
      <c r="N1085" s="1" t="s">
        <v>1077</v>
      </c>
      <c r="O1085">
        <v>164.22</v>
      </c>
      <c r="P1085">
        <v>3</v>
      </c>
      <c r="Q1085">
        <v>50.908200000000001</v>
      </c>
      <c r="R1085" s="1" t="s">
        <v>4424</v>
      </c>
      <c r="S1085">
        <v>2014</v>
      </c>
      <c r="T1085" s="1" t="s">
        <v>72</v>
      </c>
    </row>
    <row r="1086" spans="1:20" x14ac:dyDescent="0.25">
      <c r="A1086" s="1" t="s">
        <v>3085</v>
      </c>
      <c r="B1086" s="2">
        <v>41902</v>
      </c>
      <c r="C1086" s="2">
        <v>41906</v>
      </c>
      <c r="D1086" s="1" t="s">
        <v>37</v>
      </c>
      <c r="E1086" s="1" t="s">
        <v>2633</v>
      </c>
      <c r="F1086" s="1" t="s">
        <v>2634</v>
      </c>
      <c r="G1086" s="1" t="s">
        <v>24</v>
      </c>
      <c r="H1086" s="1" t="s">
        <v>149</v>
      </c>
      <c r="I1086" s="1" t="s">
        <v>1080</v>
      </c>
      <c r="J1086" s="1" t="s">
        <v>63</v>
      </c>
      <c r="K1086" s="1" t="s">
        <v>533</v>
      </c>
      <c r="L1086" s="1" t="s">
        <v>29</v>
      </c>
      <c r="M1086" s="1" t="s">
        <v>30</v>
      </c>
      <c r="N1086" s="1" t="s">
        <v>534</v>
      </c>
      <c r="O1086">
        <v>362.94</v>
      </c>
      <c r="P1086">
        <v>3</v>
      </c>
      <c r="Q1086">
        <v>36.293999999999997</v>
      </c>
      <c r="R1086" s="1" t="s">
        <v>4424</v>
      </c>
      <c r="S1086">
        <v>2014</v>
      </c>
      <c r="T1086" s="1" t="s">
        <v>72</v>
      </c>
    </row>
    <row r="1087" spans="1:20" x14ac:dyDescent="0.25">
      <c r="A1087" s="1" t="s">
        <v>3086</v>
      </c>
      <c r="B1087" s="2">
        <v>42584</v>
      </c>
      <c r="C1087" s="2">
        <v>42586</v>
      </c>
      <c r="D1087" s="1" t="s">
        <v>21</v>
      </c>
      <c r="E1087" s="1" t="s">
        <v>1847</v>
      </c>
      <c r="F1087" s="1" t="s">
        <v>1848</v>
      </c>
      <c r="G1087" s="1" t="s">
        <v>84</v>
      </c>
      <c r="H1087" s="1" t="s">
        <v>49</v>
      </c>
      <c r="I1087" s="1" t="s">
        <v>50</v>
      </c>
      <c r="J1087" s="1" t="s">
        <v>51</v>
      </c>
      <c r="K1087" s="1" t="s">
        <v>3087</v>
      </c>
      <c r="L1087" s="1" t="s">
        <v>29</v>
      </c>
      <c r="M1087" s="1" t="s">
        <v>43</v>
      </c>
      <c r="N1087" s="1" t="s">
        <v>3088</v>
      </c>
      <c r="O1087">
        <v>136.464</v>
      </c>
      <c r="P1087">
        <v>2</v>
      </c>
      <c r="Q1087">
        <v>15.3522</v>
      </c>
      <c r="R1087" s="1" t="s">
        <v>4423</v>
      </c>
      <c r="S1087">
        <v>2016</v>
      </c>
      <c r="T1087" s="1" t="s">
        <v>245</v>
      </c>
    </row>
    <row r="1088" spans="1:20" x14ac:dyDescent="0.25">
      <c r="A1088" s="1" t="s">
        <v>3089</v>
      </c>
      <c r="B1088" s="2">
        <v>42068</v>
      </c>
      <c r="C1088" s="2">
        <v>42070</v>
      </c>
      <c r="D1088" s="1" t="s">
        <v>21</v>
      </c>
      <c r="E1088" s="1" t="s">
        <v>3090</v>
      </c>
      <c r="F1088" s="1" t="s">
        <v>3091</v>
      </c>
      <c r="G1088" s="1" t="s">
        <v>84</v>
      </c>
      <c r="H1088" s="1" t="s">
        <v>3092</v>
      </c>
      <c r="I1088" s="1" t="s">
        <v>62</v>
      </c>
      <c r="J1088" s="1" t="s">
        <v>63</v>
      </c>
      <c r="K1088" s="1" t="s">
        <v>581</v>
      </c>
      <c r="L1088" s="1" t="s">
        <v>29</v>
      </c>
      <c r="M1088" s="1" t="s">
        <v>34</v>
      </c>
      <c r="N1088" s="1" t="s">
        <v>582</v>
      </c>
      <c r="O1088">
        <v>99.372</v>
      </c>
      <c r="P1088">
        <v>2</v>
      </c>
      <c r="Q1088">
        <v>-7.0979999999999999</v>
      </c>
      <c r="R1088" s="1" t="s">
        <v>4423</v>
      </c>
      <c r="S1088">
        <v>2015</v>
      </c>
      <c r="T1088" s="1" t="s">
        <v>187</v>
      </c>
    </row>
    <row r="1089" spans="1:20" x14ac:dyDescent="0.25">
      <c r="A1089" s="1" t="s">
        <v>3089</v>
      </c>
      <c r="B1089" s="2">
        <v>42068</v>
      </c>
      <c r="C1089" s="2">
        <v>42070</v>
      </c>
      <c r="D1089" s="1" t="s">
        <v>21</v>
      </c>
      <c r="E1089" s="1" t="s">
        <v>3090</v>
      </c>
      <c r="F1089" s="1" t="s">
        <v>3091</v>
      </c>
      <c r="G1089" s="1" t="s">
        <v>84</v>
      </c>
      <c r="H1089" s="1" t="s">
        <v>3092</v>
      </c>
      <c r="I1089" s="1" t="s">
        <v>62</v>
      </c>
      <c r="J1089" s="1" t="s">
        <v>63</v>
      </c>
      <c r="K1089" s="1" t="s">
        <v>2272</v>
      </c>
      <c r="L1089" s="1" t="s">
        <v>29</v>
      </c>
      <c r="M1089" s="1" t="s">
        <v>53</v>
      </c>
      <c r="N1089" s="1" t="s">
        <v>2273</v>
      </c>
      <c r="O1089">
        <v>33.567999999999998</v>
      </c>
      <c r="P1089">
        <v>2</v>
      </c>
      <c r="Q1089">
        <v>-5.4547999999999996</v>
      </c>
      <c r="R1089" s="1" t="s">
        <v>4423</v>
      </c>
      <c r="S1089">
        <v>2015</v>
      </c>
      <c r="T1089" s="1" t="s">
        <v>187</v>
      </c>
    </row>
    <row r="1090" spans="1:20" x14ac:dyDescent="0.25">
      <c r="A1090" s="1" t="s">
        <v>3093</v>
      </c>
      <c r="B1090" s="2">
        <v>41889</v>
      </c>
      <c r="C1090" s="2">
        <v>41892</v>
      </c>
      <c r="D1090" s="1" t="s">
        <v>81</v>
      </c>
      <c r="E1090" s="1" t="s">
        <v>1215</v>
      </c>
      <c r="F1090" s="1" t="s">
        <v>1216</v>
      </c>
      <c r="G1090" s="1" t="s">
        <v>94</v>
      </c>
      <c r="H1090" s="1" t="s">
        <v>95</v>
      </c>
      <c r="I1090" s="1" t="s">
        <v>86</v>
      </c>
      <c r="J1090" s="1" t="s">
        <v>87</v>
      </c>
      <c r="K1090" s="1" t="s">
        <v>913</v>
      </c>
      <c r="L1090" s="1" t="s">
        <v>29</v>
      </c>
      <c r="M1090" s="1" t="s">
        <v>43</v>
      </c>
      <c r="N1090" s="1" t="s">
        <v>914</v>
      </c>
      <c r="O1090">
        <v>200.79499999999999</v>
      </c>
      <c r="P1090">
        <v>1</v>
      </c>
      <c r="Q1090">
        <v>-22.948</v>
      </c>
      <c r="R1090" s="1" t="s">
        <v>4420</v>
      </c>
      <c r="S1090">
        <v>2014</v>
      </c>
      <c r="T1090" s="1" t="s">
        <v>72</v>
      </c>
    </row>
    <row r="1091" spans="1:20" x14ac:dyDescent="0.25">
      <c r="A1091" s="1" t="s">
        <v>3094</v>
      </c>
      <c r="B1091" s="2">
        <v>42989</v>
      </c>
      <c r="C1091" s="2">
        <v>42989</v>
      </c>
      <c r="D1091" s="1" t="s">
        <v>417</v>
      </c>
      <c r="E1091" s="1" t="s">
        <v>678</v>
      </c>
      <c r="F1091" s="1" t="s">
        <v>679</v>
      </c>
      <c r="G1091" s="1" t="s">
        <v>24</v>
      </c>
      <c r="H1091" s="1" t="s">
        <v>320</v>
      </c>
      <c r="I1091" s="1" t="s">
        <v>50</v>
      </c>
      <c r="J1091" s="1" t="s">
        <v>51</v>
      </c>
      <c r="K1091" s="1" t="s">
        <v>141</v>
      </c>
      <c r="L1091" s="1" t="s">
        <v>29</v>
      </c>
      <c r="M1091" s="1" t="s">
        <v>53</v>
      </c>
      <c r="N1091" s="1" t="s">
        <v>142</v>
      </c>
      <c r="O1091">
        <v>32.36</v>
      </c>
      <c r="P1091">
        <v>4</v>
      </c>
      <c r="Q1091">
        <v>11.6496</v>
      </c>
      <c r="R1091" s="1" t="s">
        <v>4427</v>
      </c>
      <c r="S1091">
        <v>2017</v>
      </c>
      <c r="T1091" s="1" t="s">
        <v>72</v>
      </c>
    </row>
    <row r="1092" spans="1:20" x14ac:dyDescent="0.25">
      <c r="A1092" s="1" t="s">
        <v>3095</v>
      </c>
      <c r="B1092" s="2">
        <v>42751</v>
      </c>
      <c r="C1092" s="2">
        <v>42751</v>
      </c>
      <c r="D1092" s="1" t="s">
        <v>417</v>
      </c>
      <c r="E1092" s="1" t="s">
        <v>2687</v>
      </c>
      <c r="F1092" s="1" t="s">
        <v>2688</v>
      </c>
      <c r="G1092" s="1" t="s">
        <v>84</v>
      </c>
      <c r="H1092" s="1" t="s">
        <v>49</v>
      </c>
      <c r="I1092" s="1" t="s">
        <v>50</v>
      </c>
      <c r="J1092" s="1" t="s">
        <v>51</v>
      </c>
      <c r="K1092" s="1" t="s">
        <v>52</v>
      </c>
      <c r="L1092" s="1" t="s">
        <v>29</v>
      </c>
      <c r="M1092" s="1" t="s">
        <v>53</v>
      </c>
      <c r="N1092" s="1" t="s">
        <v>54</v>
      </c>
      <c r="O1092">
        <v>27.92</v>
      </c>
      <c r="P1092">
        <v>4</v>
      </c>
      <c r="Q1092">
        <v>8.0968</v>
      </c>
      <c r="R1092" s="1" t="s">
        <v>4427</v>
      </c>
      <c r="S1092">
        <v>2017</v>
      </c>
      <c r="T1092" s="1" t="s">
        <v>161</v>
      </c>
    </row>
    <row r="1093" spans="1:20" x14ac:dyDescent="0.25">
      <c r="A1093" s="1" t="s">
        <v>3095</v>
      </c>
      <c r="B1093" s="2">
        <v>42751</v>
      </c>
      <c r="C1093" s="2">
        <v>42751</v>
      </c>
      <c r="D1093" s="1" t="s">
        <v>417</v>
      </c>
      <c r="E1093" s="1" t="s">
        <v>2687</v>
      </c>
      <c r="F1093" s="1" t="s">
        <v>2688</v>
      </c>
      <c r="G1093" s="1" t="s">
        <v>84</v>
      </c>
      <c r="H1093" s="1" t="s">
        <v>49</v>
      </c>
      <c r="I1093" s="1" t="s">
        <v>50</v>
      </c>
      <c r="J1093" s="1" t="s">
        <v>51</v>
      </c>
      <c r="K1093" s="1" t="s">
        <v>898</v>
      </c>
      <c r="L1093" s="1" t="s">
        <v>29</v>
      </c>
      <c r="M1093" s="1" t="s">
        <v>43</v>
      </c>
      <c r="N1093" s="1" t="s">
        <v>899</v>
      </c>
      <c r="O1093">
        <v>399.67200000000003</v>
      </c>
      <c r="P1093">
        <v>7</v>
      </c>
      <c r="Q1093">
        <v>-14.9877</v>
      </c>
      <c r="R1093" s="1" t="s">
        <v>4427</v>
      </c>
      <c r="S1093">
        <v>2017</v>
      </c>
      <c r="T1093" s="1" t="s">
        <v>161</v>
      </c>
    </row>
    <row r="1094" spans="1:20" x14ac:dyDescent="0.25">
      <c r="A1094" s="1" t="s">
        <v>3096</v>
      </c>
      <c r="B1094" s="2">
        <v>42315</v>
      </c>
      <c r="C1094" s="2">
        <v>42317</v>
      </c>
      <c r="D1094" s="1" t="s">
        <v>21</v>
      </c>
      <c r="E1094" s="1" t="s">
        <v>2908</v>
      </c>
      <c r="F1094" s="1" t="s">
        <v>2909</v>
      </c>
      <c r="G1094" s="1" t="s">
        <v>24</v>
      </c>
      <c r="H1094" s="1" t="s">
        <v>3022</v>
      </c>
      <c r="I1094" s="1" t="s">
        <v>3097</v>
      </c>
      <c r="J1094" s="1" t="s">
        <v>63</v>
      </c>
      <c r="K1094" s="1" t="s">
        <v>571</v>
      </c>
      <c r="L1094" s="1" t="s">
        <v>29</v>
      </c>
      <c r="M1094" s="1" t="s">
        <v>34</v>
      </c>
      <c r="N1094" s="1" t="s">
        <v>572</v>
      </c>
      <c r="O1094">
        <v>715.2</v>
      </c>
      <c r="P1094">
        <v>3</v>
      </c>
      <c r="Q1094">
        <v>178.8</v>
      </c>
      <c r="R1094" s="1" t="s">
        <v>4423</v>
      </c>
      <c r="S1094">
        <v>2015</v>
      </c>
      <c r="T1094" s="1" t="s">
        <v>32</v>
      </c>
    </row>
    <row r="1095" spans="1:20" x14ac:dyDescent="0.25">
      <c r="A1095" s="1" t="s">
        <v>3098</v>
      </c>
      <c r="B1095" s="2">
        <v>41895</v>
      </c>
      <c r="C1095" s="2">
        <v>41899</v>
      </c>
      <c r="D1095" s="1" t="s">
        <v>37</v>
      </c>
      <c r="E1095" s="1" t="s">
        <v>1811</v>
      </c>
      <c r="F1095" s="1" t="s">
        <v>1812</v>
      </c>
      <c r="G1095" s="1" t="s">
        <v>94</v>
      </c>
      <c r="H1095" s="1" t="s">
        <v>2539</v>
      </c>
      <c r="I1095" s="1" t="s">
        <v>86</v>
      </c>
      <c r="J1095" s="1" t="s">
        <v>87</v>
      </c>
      <c r="K1095" s="1" t="s">
        <v>247</v>
      </c>
      <c r="L1095" s="1" t="s">
        <v>29</v>
      </c>
      <c r="M1095" s="1" t="s">
        <v>34</v>
      </c>
      <c r="N1095" s="1" t="s">
        <v>248</v>
      </c>
      <c r="O1095">
        <v>340.11599999999999</v>
      </c>
      <c r="P1095">
        <v>6</v>
      </c>
      <c r="Q1095">
        <v>-9.7175999999999991</v>
      </c>
      <c r="R1095" s="1" t="s">
        <v>4424</v>
      </c>
      <c r="S1095">
        <v>2014</v>
      </c>
      <c r="T1095" s="1" t="s">
        <v>72</v>
      </c>
    </row>
    <row r="1096" spans="1:20" x14ac:dyDescent="0.25">
      <c r="A1096" s="1" t="s">
        <v>3099</v>
      </c>
      <c r="B1096" s="2">
        <v>42252</v>
      </c>
      <c r="C1096" s="2">
        <v>42257</v>
      </c>
      <c r="D1096" s="1" t="s">
        <v>37</v>
      </c>
      <c r="E1096" s="1" t="s">
        <v>2608</v>
      </c>
      <c r="F1096" s="1" t="s">
        <v>2609</v>
      </c>
      <c r="G1096" s="1" t="s">
        <v>84</v>
      </c>
      <c r="H1096" s="1" t="s">
        <v>885</v>
      </c>
      <c r="I1096" s="1" t="s">
        <v>158</v>
      </c>
      <c r="J1096" s="1" t="s">
        <v>87</v>
      </c>
      <c r="K1096" s="1" t="s">
        <v>105</v>
      </c>
      <c r="L1096" s="1" t="s">
        <v>29</v>
      </c>
      <c r="M1096" s="1" t="s">
        <v>53</v>
      </c>
      <c r="N1096" s="1" t="s">
        <v>106</v>
      </c>
      <c r="O1096">
        <v>6.16</v>
      </c>
      <c r="P1096">
        <v>2</v>
      </c>
      <c r="Q1096">
        <v>2.9567999999999999</v>
      </c>
      <c r="R1096" s="1" t="s">
        <v>4422</v>
      </c>
      <c r="S1096">
        <v>2015</v>
      </c>
      <c r="T1096" s="1" t="s">
        <v>72</v>
      </c>
    </row>
    <row r="1097" spans="1:20" x14ac:dyDescent="0.25">
      <c r="A1097" s="1" t="s">
        <v>3100</v>
      </c>
      <c r="B1097" s="2">
        <v>42860</v>
      </c>
      <c r="C1097" s="2">
        <v>42861</v>
      </c>
      <c r="D1097" s="1" t="s">
        <v>81</v>
      </c>
      <c r="E1097" s="1" t="s">
        <v>2177</v>
      </c>
      <c r="F1097" s="1" t="s">
        <v>2178</v>
      </c>
      <c r="G1097" s="1" t="s">
        <v>24</v>
      </c>
      <c r="H1097" s="1" t="s">
        <v>856</v>
      </c>
      <c r="I1097" s="1" t="s">
        <v>172</v>
      </c>
      <c r="J1097" s="1" t="s">
        <v>51</v>
      </c>
      <c r="K1097" s="1" t="s">
        <v>1127</v>
      </c>
      <c r="L1097" s="1" t="s">
        <v>29</v>
      </c>
      <c r="M1097" s="1" t="s">
        <v>30</v>
      </c>
      <c r="N1097" s="1" t="s">
        <v>1128</v>
      </c>
      <c r="O1097">
        <v>89.991</v>
      </c>
      <c r="P1097">
        <v>3</v>
      </c>
      <c r="Q1097">
        <v>-152.9847</v>
      </c>
      <c r="R1097" s="1" t="s">
        <v>4425</v>
      </c>
      <c r="S1097">
        <v>2017</v>
      </c>
      <c r="T1097" s="1" t="s">
        <v>153</v>
      </c>
    </row>
    <row r="1098" spans="1:20" x14ac:dyDescent="0.25">
      <c r="A1098" s="1" t="s">
        <v>3101</v>
      </c>
      <c r="B1098" s="2">
        <v>41890</v>
      </c>
      <c r="C1098" s="2">
        <v>41897</v>
      </c>
      <c r="D1098" s="1" t="s">
        <v>37</v>
      </c>
      <c r="E1098" s="1" t="s">
        <v>1206</v>
      </c>
      <c r="F1098" s="1" t="s">
        <v>1207</v>
      </c>
      <c r="G1098" s="1" t="s">
        <v>24</v>
      </c>
      <c r="H1098" s="1" t="s">
        <v>95</v>
      </c>
      <c r="I1098" s="1" t="s">
        <v>86</v>
      </c>
      <c r="J1098" s="1" t="s">
        <v>87</v>
      </c>
      <c r="K1098" s="1" t="s">
        <v>238</v>
      </c>
      <c r="L1098" s="1" t="s">
        <v>29</v>
      </c>
      <c r="M1098" s="1" t="s">
        <v>34</v>
      </c>
      <c r="N1098" s="1" t="s">
        <v>239</v>
      </c>
      <c r="O1098">
        <v>966.7</v>
      </c>
      <c r="P1098">
        <v>5</v>
      </c>
      <c r="Q1098">
        <v>-13.81</v>
      </c>
      <c r="R1098" s="1" t="s">
        <v>4421</v>
      </c>
      <c r="S1098">
        <v>2014</v>
      </c>
      <c r="T1098" s="1" t="s">
        <v>72</v>
      </c>
    </row>
    <row r="1099" spans="1:20" x14ac:dyDescent="0.25">
      <c r="A1099" s="1" t="s">
        <v>3102</v>
      </c>
      <c r="B1099" s="2">
        <v>42364</v>
      </c>
      <c r="C1099" s="2">
        <v>42368</v>
      </c>
      <c r="D1099" s="1" t="s">
        <v>37</v>
      </c>
      <c r="E1099" s="1" t="s">
        <v>1363</v>
      </c>
      <c r="F1099" s="1" t="s">
        <v>1364</v>
      </c>
      <c r="G1099" s="1" t="s">
        <v>24</v>
      </c>
      <c r="H1099" s="1" t="s">
        <v>268</v>
      </c>
      <c r="I1099" s="1" t="s">
        <v>223</v>
      </c>
      <c r="J1099" s="1" t="s">
        <v>63</v>
      </c>
      <c r="K1099" s="1" t="s">
        <v>1053</v>
      </c>
      <c r="L1099" s="1" t="s">
        <v>29</v>
      </c>
      <c r="M1099" s="1" t="s">
        <v>43</v>
      </c>
      <c r="N1099" s="1" t="s">
        <v>1054</v>
      </c>
      <c r="O1099">
        <v>51.588000000000001</v>
      </c>
      <c r="P1099">
        <v>1</v>
      </c>
      <c r="Q1099">
        <v>-15.4764</v>
      </c>
      <c r="R1099" s="1" t="s">
        <v>4424</v>
      </c>
      <c r="S1099">
        <v>2015</v>
      </c>
      <c r="T1099" s="1" t="s">
        <v>90</v>
      </c>
    </row>
    <row r="1100" spans="1:20" x14ac:dyDescent="0.25">
      <c r="A1100" s="1" t="s">
        <v>3103</v>
      </c>
      <c r="B1100" s="2">
        <v>42943</v>
      </c>
      <c r="C1100" s="2">
        <v>42947</v>
      </c>
      <c r="D1100" s="1" t="s">
        <v>37</v>
      </c>
      <c r="E1100" s="1" t="s">
        <v>3083</v>
      </c>
      <c r="F1100" s="1" t="s">
        <v>3084</v>
      </c>
      <c r="G1100" s="1" t="s">
        <v>24</v>
      </c>
      <c r="H1100" s="1" t="s">
        <v>1024</v>
      </c>
      <c r="I1100" s="1" t="s">
        <v>114</v>
      </c>
      <c r="J1100" s="1" t="s">
        <v>63</v>
      </c>
      <c r="K1100" s="1" t="s">
        <v>1195</v>
      </c>
      <c r="L1100" s="1" t="s">
        <v>29</v>
      </c>
      <c r="M1100" s="1" t="s">
        <v>53</v>
      </c>
      <c r="N1100" s="1" t="s">
        <v>1196</v>
      </c>
      <c r="O1100">
        <v>14.89</v>
      </c>
      <c r="P1100">
        <v>1</v>
      </c>
      <c r="Q1100">
        <v>4.0202999999999998</v>
      </c>
      <c r="R1100" s="1" t="s">
        <v>4424</v>
      </c>
      <c r="S1100">
        <v>2017</v>
      </c>
      <c r="T1100" s="1" t="s">
        <v>66</v>
      </c>
    </row>
    <row r="1101" spans="1:20" x14ac:dyDescent="0.25">
      <c r="A1101" s="1" t="s">
        <v>3104</v>
      </c>
      <c r="B1101" s="2">
        <v>42520</v>
      </c>
      <c r="C1101" s="2">
        <v>42524</v>
      </c>
      <c r="D1101" s="1" t="s">
        <v>37</v>
      </c>
      <c r="E1101" s="1" t="s">
        <v>2567</v>
      </c>
      <c r="F1101" s="1" t="s">
        <v>2568</v>
      </c>
      <c r="G1101" s="1" t="s">
        <v>84</v>
      </c>
      <c r="H1101" s="1" t="s">
        <v>869</v>
      </c>
      <c r="I1101" s="1" t="s">
        <v>707</v>
      </c>
      <c r="J1101" s="1" t="s">
        <v>27</v>
      </c>
      <c r="K1101" s="1" t="s">
        <v>1874</v>
      </c>
      <c r="L1101" s="1" t="s">
        <v>29</v>
      </c>
      <c r="M1101" s="1" t="s">
        <v>43</v>
      </c>
      <c r="N1101" s="1" t="s">
        <v>1875</v>
      </c>
      <c r="O1101">
        <v>2275.5</v>
      </c>
      <c r="P1101">
        <v>10</v>
      </c>
      <c r="Q1101">
        <v>386.83499999999998</v>
      </c>
      <c r="R1101" s="1" t="s">
        <v>4424</v>
      </c>
      <c r="S1101">
        <v>2016</v>
      </c>
      <c r="T1101" s="1" t="s">
        <v>153</v>
      </c>
    </row>
    <row r="1102" spans="1:20" x14ac:dyDescent="0.25">
      <c r="A1102" s="1" t="s">
        <v>3105</v>
      </c>
      <c r="B1102" s="2">
        <v>41959</v>
      </c>
      <c r="C1102" s="2">
        <v>41963</v>
      </c>
      <c r="D1102" s="1" t="s">
        <v>37</v>
      </c>
      <c r="E1102" s="1" t="s">
        <v>3106</v>
      </c>
      <c r="F1102" s="1" t="s">
        <v>3107</v>
      </c>
      <c r="G1102" s="1" t="s">
        <v>24</v>
      </c>
      <c r="H1102" s="1" t="s">
        <v>504</v>
      </c>
      <c r="I1102" s="1" t="s">
        <v>126</v>
      </c>
      <c r="J1102" s="1" t="s">
        <v>87</v>
      </c>
      <c r="K1102" s="1" t="s">
        <v>1999</v>
      </c>
      <c r="L1102" s="1" t="s">
        <v>29</v>
      </c>
      <c r="M1102" s="1" t="s">
        <v>34</v>
      </c>
      <c r="N1102" s="1" t="s">
        <v>2000</v>
      </c>
      <c r="O1102">
        <v>37.295999999999999</v>
      </c>
      <c r="P1102">
        <v>2</v>
      </c>
      <c r="Q1102">
        <v>-1.0656000000000001</v>
      </c>
      <c r="R1102" s="1" t="s">
        <v>4424</v>
      </c>
      <c r="S1102">
        <v>2014</v>
      </c>
      <c r="T1102" s="1" t="s">
        <v>32</v>
      </c>
    </row>
    <row r="1103" spans="1:20" x14ac:dyDescent="0.25">
      <c r="A1103" s="1" t="s">
        <v>3108</v>
      </c>
      <c r="B1103" s="2">
        <v>41903</v>
      </c>
      <c r="C1103" s="2">
        <v>41905</v>
      </c>
      <c r="D1103" s="1" t="s">
        <v>81</v>
      </c>
      <c r="E1103" s="1" t="s">
        <v>515</v>
      </c>
      <c r="F1103" s="1" t="s">
        <v>516</v>
      </c>
      <c r="G1103" s="1" t="s">
        <v>94</v>
      </c>
      <c r="H1103" s="1" t="s">
        <v>3109</v>
      </c>
      <c r="I1103" s="1" t="s">
        <v>86</v>
      </c>
      <c r="J1103" s="1" t="s">
        <v>87</v>
      </c>
      <c r="K1103" s="1" t="s">
        <v>2131</v>
      </c>
      <c r="L1103" s="1" t="s">
        <v>29</v>
      </c>
      <c r="M1103" s="1" t="s">
        <v>53</v>
      </c>
      <c r="N1103" s="1" t="s">
        <v>2132</v>
      </c>
      <c r="O1103">
        <v>8.5440000000000005</v>
      </c>
      <c r="P1103">
        <v>2</v>
      </c>
      <c r="Q1103">
        <v>-7.476</v>
      </c>
      <c r="R1103" s="1" t="s">
        <v>4423</v>
      </c>
      <c r="S1103">
        <v>2014</v>
      </c>
      <c r="T1103" s="1" t="s">
        <v>72</v>
      </c>
    </row>
    <row r="1104" spans="1:20" x14ac:dyDescent="0.25">
      <c r="A1104" s="1" t="s">
        <v>3110</v>
      </c>
      <c r="B1104" s="2">
        <v>42421</v>
      </c>
      <c r="C1104" s="2">
        <v>42426</v>
      </c>
      <c r="D1104" s="1" t="s">
        <v>37</v>
      </c>
      <c r="E1104" s="1" t="s">
        <v>789</v>
      </c>
      <c r="F1104" s="1" t="s">
        <v>790</v>
      </c>
      <c r="G1104" s="1" t="s">
        <v>84</v>
      </c>
      <c r="H1104" s="1" t="s">
        <v>752</v>
      </c>
      <c r="I1104" s="1" t="s">
        <v>114</v>
      </c>
      <c r="J1104" s="1" t="s">
        <v>63</v>
      </c>
      <c r="K1104" s="1" t="s">
        <v>166</v>
      </c>
      <c r="L1104" s="1" t="s">
        <v>29</v>
      </c>
      <c r="M1104" s="1" t="s">
        <v>53</v>
      </c>
      <c r="N1104" s="1" t="s">
        <v>167</v>
      </c>
      <c r="O1104">
        <v>68.95</v>
      </c>
      <c r="P1104">
        <v>5</v>
      </c>
      <c r="Q1104">
        <v>28.959</v>
      </c>
      <c r="R1104" s="1" t="s">
        <v>4422</v>
      </c>
      <c r="S1104">
        <v>2016</v>
      </c>
      <c r="T1104" s="1" t="s">
        <v>289</v>
      </c>
    </row>
    <row r="1105" spans="1:20" x14ac:dyDescent="0.25">
      <c r="A1105" s="1" t="s">
        <v>3111</v>
      </c>
      <c r="B1105" s="2">
        <v>43058</v>
      </c>
      <c r="C1105" s="2">
        <v>43060</v>
      </c>
      <c r="D1105" s="1" t="s">
        <v>81</v>
      </c>
      <c r="E1105" s="1" t="s">
        <v>2562</v>
      </c>
      <c r="F1105" s="1" t="s">
        <v>2563</v>
      </c>
      <c r="G1105" s="1" t="s">
        <v>24</v>
      </c>
      <c r="H1105" s="1" t="s">
        <v>95</v>
      </c>
      <c r="I1105" s="1" t="s">
        <v>86</v>
      </c>
      <c r="J1105" s="1" t="s">
        <v>87</v>
      </c>
      <c r="K1105" s="1" t="s">
        <v>1608</v>
      </c>
      <c r="L1105" s="1" t="s">
        <v>29</v>
      </c>
      <c r="M1105" s="1" t="s">
        <v>34</v>
      </c>
      <c r="N1105" s="1" t="s">
        <v>1609</v>
      </c>
      <c r="O1105">
        <v>191.05799999999999</v>
      </c>
      <c r="P1105">
        <v>3</v>
      </c>
      <c r="Q1105">
        <v>-46.399799999999999</v>
      </c>
      <c r="R1105" s="1" t="s">
        <v>4423</v>
      </c>
      <c r="S1105">
        <v>2017</v>
      </c>
      <c r="T1105" s="1" t="s">
        <v>32</v>
      </c>
    </row>
    <row r="1106" spans="1:20" x14ac:dyDescent="0.25">
      <c r="A1106" s="1" t="s">
        <v>3112</v>
      </c>
      <c r="B1106" s="2">
        <v>42855</v>
      </c>
      <c r="C1106" s="2">
        <v>42860</v>
      </c>
      <c r="D1106" s="1" t="s">
        <v>37</v>
      </c>
      <c r="E1106" s="1" t="s">
        <v>389</v>
      </c>
      <c r="F1106" s="1" t="s">
        <v>390</v>
      </c>
      <c r="G1106" s="1" t="s">
        <v>84</v>
      </c>
      <c r="H1106" s="1" t="s">
        <v>320</v>
      </c>
      <c r="I1106" s="1" t="s">
        <v>50</v>
      </c>
      <c r="J1106" s="1" t="s">
        <v>51</v>
      </c>
      <c r="K1106" s="1" t="s">
        <v>747</v>
      </c>
      <c r="L1106" s="1" t="s">
        <v>29</v>
      </c>
      <c r="M1106" s="1" t="s">
        <v>53</v>
      </c>
      <c r="N1106" s="1" t="s">
        <v>748</v>
      </c>
      <c r="O1106">
        <v>64.959999999999994</v>
      </c>
      <c r="P1106">
        <v>2</v>
      </c>
      <c r="Q1106">
        <v>21.436800000000002</v>
      </c>
      <c r="R1106" s="1" t="s">
        <v>4422</v>
      </c>
      <c r="S1106">
        <v>2017</v>
      </c>
      <c r="T1106" s="1" t="s">
        <v>107</v>
      </c>
    </row>
    <row r="1107" spans="1:20" x14ac:dyDescent="0.25">
      <c r="A1107" s="1" t="s">
        <v>3113</v>
      </c>
      <c r="B1107" s="2">
        <v>42492</v>
      </c>
      <c r="C1107" s="2">
        <v>42498</v>
      </c>
      <c r="D1107" s="1" t="s">
        <v>37</v>
      </c>
      <c r="E1107" s="1" t="s">
        <v>2039</v>
      </c>
      <c r="F1107" s="1" t="s">
        <v>2040</v>
      </c>
      <c r="G1107" s="1" t="s">
        <v>24</v>
      </c>
      <c r="H1107" s="1" t="s">
        <v>2560</v>
      </c>
      <c r="I1107" s="1" t="s">
        <v>1027</v>
      </c>
      <c r="J1107" s="1" t="s">
        <v>27</v>
      </c>
      <c r="K1107" s="1" t="s">
        <v>994</v>
      </c>
      <c r="L1107" s="1" t="s">
        <v>29</v>
      </c>
      <c r="M1107" s="1" t="s">
        <v>34</v>
      </c>
      <c r="N1107" s="1" t="s">
        <v>995</v>
      </c>
      <c r="O1107">
        <v>187.05600000000001</v>
      </c>
      <c r="P1107">
        <v>9</v>
      </c>
      <c r="Q1107">
        <v>11.691000000000001</v>
      </c>
      <c r="R1107" s="1" t="s">
        <v>4426</v>
      </c>
      <c r="S1107">
        <v>2016</v>
      </c>
      <c r="T1107" s="1" t="s">
        <v>153</v>
      </c>
    </row>
    <row r="1108" spans="1:20" x14ac:dyDescent="0.25">
      <c r="A1108" s="1" t="s">
        <v>3114</v>
      </c>
      <c r="B1108" s="2">
        <v>43010</v>
      </c>
      <c r="C1108" s="2">
        <v>43013</v>
      </c>
      <c r="D1108" s="1" t="s">
        <v>81</v>
      </c>
      <c r="E1108" s="1" t="s">
        <v>2422</v>
      </c>
      <c r="F1108" s="1" t="s">
        <v>2423</v>
      </c>
      <c r="G1108" s="1" t="s">
        <v>94</v>
      </c>
      <c r="H1108" s="1" t="s">
        <v>3115</v>
      </c>
      <c r="I1108" s="1" t="s">
        <v>133</v>
      </c>
      <c r="J1108" s="1" t="s">
        <v>27</v>
      </c>
      <c r="K1108" s="1" t="s">
        <v>1709</v>
      </c>
      <c r="L1108" s="1" t="s">
        <v>29</v>
      </c>
      <c r="M1108" s="1" t="s">
        <v>53</v>
      </c>
      <c r="N1108" s="1" t="s">
        <v>1710</v>
      </c>
      <c r="O1108">
        <v>11.808</v>
      </c>
      <c r="P1108">
        <v>2</v>
      </c>
      <c r="Q1108">
        <v>1.3284</v>
      </c>
      <c r="R1108" s="1" t="s">
        <v>4420</v>
      </c>
      <c r="S1108">
        <v>2017</v>
      </c>
      <c r="T1108" s="1" t="s">
        <v>45</v>
      </c>
    </row>
    <row r="1109" spans="1:20" x14ac:dyDescent="0.25">
      <c r="A1109" s="1" t="s">
        <v>3114</v>
      </c>
      <c r="B1109" s="2">
        <v>43010</v>
      </c>
      <c r="C1109" s="2">
        <v>43013</v>
      </c>
      <c r="D1109" s="1" t="s">
        <v>81</v>
      </c>
      <c r="E1109" s="1" t="s">
        <v>2422</v>
      </c>
      <c r="F1109" s="1" t="s">
        <v>2423</v>
      </c>
      <c r="G1109" s="1" t="s">
        <v>94</v>
      </c>
      <c r="H1109" s="1" t="s">
        <v>3115</v>
      </c>
      <c r="I1109" s="1" t="s">
        <v>133</v>
      </c>
      <c r="J1109" s="1" t="s">
        <v>27</v>
      </c>
      <c r="K1109" s="1" t="s">
        <v>542</v>
      </c>
      <c r="L1109" s="1" t="s">
        <v>29</v>
      </c>
      <c r="M1109" s="1" t="s">
        <v>53</v>
      </c>
      <c r="N1109" s="1" t="s">
        <v>3116</v>
      </c>
      <c r="O1109">
        <v>9.6560000000000006</v>
      </c>
      <c r="P1109">
        <v>1</v>
      </c>
      <c r="Q1109">
        <v>1.5690999999999999</v>
      </c>
      <c r="R1109" s="1" t="s">
        <v>4420</v>
      </c>
      <c r="S1109">
        <v>2017</v>
      </c>
      <c r="T1109" s="1" t="s">
        <v>45</v>
      </c>
    </row>
    <row r="1110" spans="1:20" x14ac:dyDescent="0.25">
      <c r="A1110" s="1" t="s">
        <v>3114</v>
      </c>
      <c r="B1110" s="2">
        <v>43010</v>
      </c>
      <c r="C1110" s="2">
        <v>43013</v>
      </c>
      <c r="D1110" s="1" t="s">
        <v>81</v>
      </c>
      <c r="E1110" s="1" t="s">
        <v>2422</v>
      </c>
      <c r="F1110" s="1" t="s">
        <v>2423</v>
      </c>
      <c r="G1110" s="1" t="s">
        <v>94</v>
      </c>
      <c r="H1110" s="1" t="s">
        <v>3115</v>
      </c>
      <c r="I1110" s="1" t="s">
        <v>133</v>
      </c>
      <c r="J1110" s="1" t="s">
        <v>27</v>
      </c>
      <c r="K1110" s="1" t="s">
        <v>742</v>
      </c>
      <c r="L1110" s="1" t="s">
        <v>29</v>
      </c>
      <c r="M1110" s="1" t="s">
        <v>43</v>
      </c>
      <c r="N1110" s="1" t="s">
        <v>743</v>
      </c>
      <c r="O1110">
        <v>2314.116</v>
      </c>
      <c r="P1110">
        <v>7</v>
      </c>
      <c r="Q1110">
        <v>-1002.7836</v>
      </c>
      <c r="R1110" s="1" t="s">
        <v>4420</v>
      </c>
      <c r="S1110">
        <v>2017</v>
      </c>
      <c r="T1110" s="1" t="s">
        <v>45</v>
      </c>
    </row>
    <row r="1111" spans="1:20" x14ac:dyDescent="0.25">
      <c r="A1111" s="1" t="s">
        <v>3114</v>
      </c>
      <c r="B1111" s="2">
        <v>43010</v>
      </c>
      <c r="C1111" s="2">
        <v>43013</v>
      </c>
      <c r="D1111" s="1" t="s">
        <v>81</v>
      </c>
      <c r="E1111" s="1" t="s">
        <v>2422</v>
      </c>
      <c r="F1111" s="1" t="s">
        <v>2423</v>
      </c>
      <c r="G1111" s="1" t="s">
        <v>94</v>
      </c>
      <c r="H1111" s="1" t="s">
        <v>3115</v>
      </c>
      <c r="I1111" s="1" t="s">
        <v>133</v>
      </c>
      <c r="J1111" s="1" t="s">
        <v>27</v>
      </c>
      <c r="K1111" s="1" t="s">
        <v>1119</v>
      </c>
      <c r="L1111" s="1" t="s">
        <v>29</v>
      </c>
      <c r="M1111" s="1" t="s">
        <v>53</v>
      </c>
      <c r="N1111" s="1" t="s">
        <v>1120</v>
      </c>
      <c r="O1111">
        <v>19.760000000000002</v>
      </c>
      <c r="P1111">
        <v>2</v>
      </c>
      <c r="Q1111">
        <v>5.9279999999999999</v>
      </c>
      <c r="R1111" s="1" t="s">
        <v>4420</v>
      </c>
      <c r="S1111">
        <v>2017</v>
      </c>
      <c r="T1111" s="1" t="s">
        <v>45</v>
      </c>
    </row>
    <row r="1112" spans="1:20" x14ac:dyDescent="0.25">
      <c r="A1112" s="1" t="s">
        <v>3117</v>
      </c>
      <c r="B1112" s="2">
        <v>42342</v>
      </c>
      <c r="C1112" s="2">
        <v>42347</v>
      </c>
      <c r="D1112" s="1" t="s">
        <v>37</v>
      </c>
      <c r="E1112" s="1" t="s">
        <v>938</v>
      </c>
      <c r="F1112" s="1" t="s">
        <v>939</v>
      </c>
      <c r="G1112" s="1" t="s">
        <v>24</v>
      </c>
      <c r="H1112" s="1" t="s">
        <v>2051</v>
      </c>
      <c r="I1112" s="1" t="s">
        <v>50</v>
      </c>
      <c r="J1112" s="1" t="s">
        <v>51</v>
      </c>
      <c r="K1112" s="1" t="s">
        <v>1302</v>
      </c>
      <c r="L1112" s="1" t="s">
        <v>29</v>
      </c>
      <c r="M1112" s="1" t="s">
        <v>53</v>
      </c>
      <c r="N1112" s="1" t="s">
        <v>1303</v>
      </c>
      <c r="O1112">
        <v>25.08</v>
      </c>
      <c r="P1112">
        <v>6</v>
      </c>
      <c r="Q1112">
        <v>9.0288000000000004</v>
      </c>
      <c r="R1112" s="1" t="s">
        <v>4422</v>
      </c>
      <c r="S1112">
        <v>2015</v>
      </c>
      <c r="T1112" s="1" t="s">
        <v>90</v>
      </c>
    </row>
    <row r="1113" spans="1:20" x14ac:dyDescent="0.25">
      <c r="A1113" s="1" t="s">
        <v>3118</v>
      </c>
      <c r="B1113" s="2">
        <v>42617</v>
      </c>
      <c r="C1113" s="2">
        <v>42621</v>
      </c>
      <c r="D1113" s="1" t="s">
        <v>37</v>
      </c>
      <c r="E1113" s="1" t="s">
        <v>3119</v>
      </c>
      <c r="F1113" s="1" t="s">
        <v>3120</v>
      </c>
      <c r="G1113" s="1" t="s">
        <v>24</v>
      </c>
      <c r="H1113" s="1" t="s">
        <v>165</v>
      </c>
      <c r="I1113" s="1" t="s">
        <v>114</v>
      </c>
      <c r="J1113" s="1" t="s">
        <v>63</v>
      </c>
      <c r="K1113" s="1" t="s">
        <v>1746</v>
      </c>
      <c r="L1113" s="1" t="s">
        <v>29</v>
      </c>
      <c r="M1113" s="1" t="s">
        <v>53</v>
      </c>
      <c r="N1113" s="1" t="s">
        <v>1747</v>
      </c>
      <c r="O1113">
        <v>63.94</v>
      </c>
      <c r="P1113">
        <v>1</v>
      </c>
      <c r="Q1113">
        <v>24.936599999999999</v>
      </c>
      <c r="R1113" s="1" t="s">
        <v>4424</v>
      </c>
      <c r="S1113">
        <v>2016</v>
      </c>
      <c r="T1113" s="1" t="s">
        <v>72</v>
      </c>
    </row>
    <row r="1114" spans="1:20" x14ac:dyDescent="0.25">
      <c r="A1114" s="1" t="s">
        <v>3121</v>
      </c>
      <c r="B1114" s="2">
        <v>41877</v>
      </c>
      <c r="C1114" s="2">
        <v>41883</v>
      </c>
      <c r="D1114" s="1" t="s">
        <v>37</v>
      </c>
      <c r="E1114" s="1" t="s">
        <v>155</v>
      </c>
      <c r="F1114" s="1" t="s">
        <v>156</v>
      </c>
      <c r="G1114" s="1" t="s">
        <v>24</v>
      </c>
      <c r="H1114" s="1" t="s">
        <v>222</v>
      </c>
      <c r="I1114" s="1" t="s">
        <v>192</v>
      </c>
      <c r="J1114" s="1" t="s">
        <v>63</v>
      </c>
      <c r="K1114" s="1" t="s">
        <v>2504</v>
      </c>
      <c r="L1114" s="1" t="s">
        <v>29</v>
      </c>
      <c r="M1114" s="1" t="s">
        <v>53</v>
      </c>
      <c r="N1114" s="1" t="s">
        <v>2505</v>
      </c>
      <c r="O1114">
        <v>10.68</v>
      </c>
      <c r="P1114">
        <v>4</v>
      </c>
      <c r="Q1114">
        <v>4.0583999999999998</v>
      </c>
      <c r="R1114" s="1" t="s">
        <v>4426</v>
      </c>
      <c r="S1114">
        <v>2014</v>
      </c>
      <c r="T1114" s="1" t="s">
        <v>245</v>
      </c>
    </row>
    <row r="1115" spans="1:20" x14ac:dyDescent="0.25">
      <c r="A1115" s="1" t="s">
        <v>3122</v>
      </c>
      <c r="B1115" s="2">
        <v>41772</v>
      </c>
      <c r="C1115" s="2">
        <v>41778</v>
      </c>
      <c r="D1115" s="1" t="s">
        <v>37</v>
      </c>
      <c r="E1115" s="1" t="s">
        <v>2362</v>
      </c>
      <c r="F1115" s="1" t="s">
        <v>2363</v>
      </c>
      <c r="G1115" s="1" t="s">
        <v>84</v>
      </c>
      <c r="H1115" s="1" t="s">
        <v>49</v>
      </c>
      <c r="I1115" s="1" t="s">
        <v>50</v>
      </c>
      <c r="J1115" s="1" t="s">
        <v>51</v>
      </c>
      <c r="K1115" s="1" t="s">
        <v>1883</v>
      </c>
      <c r="L1115" s="1" t="s">
        <v>29</v>
      </c>
      <c r="M1115" s="1" t="s">
        <v>34</v>
      </c>
      <c r="N1115" s="1" t="s">
        <v>1884</v>
      </c>
      <c r="O1115">
        <v>279.45600000000002</v>
      </c>
      <c r="P1115">
        <v>6</v>
      </c>
      <c r="Q1115">
        <v>20.959199999999999</v>
      </c>
      <c r="R1115" s="1" t="s">
        <v>4426</v>
      </c>
      <c r="S1115">
        <v>2014</v>
      </c>
      <c r="T1115" s="1" t="s">
        <v>153</v>
      </c>
    </row>
    <row r="1116" spans="1:20" x14ac:dyDescent="0.25">
      <c r="A1116" s="1" t="s">
        <v>3123</v>
      </c>
      <c r="B1116" s="2">
        <v>42839</v>
      </c>
      <c r="C1116" s="2">
        <v>42843</v>
      </c>
      <c r="D1116" s="1" t="s">
        <v>37</v>
      </c>
      <c r="E1116" s="1" t="s">
        <v>1929</v>
      </c>
      <c r="F1116" s="1" t="s">
        <v>1930</v>
      </c>
      <c r="G1116" s="1" t="s">
        <v>84</v>
      </c>
      <c r="H1116" s="1" t="s">
        <v>1902</v>
      </c>
      <c r="I1116" s="1" t="s">
        <v>1027</v>
      </c>
      <c r="J1116" s="1" t="s">
        <v>27</v>
      </c>
      <c r="K1116" s="1" t="s">
        <v>1166</v>
      </c>
      <c r="L1116" s="1" t="s">
        <v>29</v>
      </c>
      <c r="M1116" s="1" t="s">
        <v>30</v>
      </c>
      <c r="N1116" s="1" t="s">
        <v>1167</v>
      </c>
      <c r="O1116">
        <v>198.27199999999999</v>
      </c>
      <c r="P1116">
        <v>8</v>
      </c>
      <c r="Q1116">
        <v>-32.219200000000001</v>
      </c>
      <c r="R1116" s="1" t="s">
        <v>4424</v>
      </c>
      <c r="S1116">
        <v>2017</v>
      </c>
      <c r="T1116" s="1" t="s">
        <v>107</v>
      </c>
    </row>
    <row r="1117" spans="1:20" x14ac:dyDescent="0.25">
      <c r="A1117" s="1" t="s">
        <v>3124</v>
      </c>
      <c r="B1117" s="2">
        <v>42733</v>
      </c>
      <c r="C1117" s="2">
        <v>42737</v>
      </c>
      <c r="D1117" s="1" t="s">
        <v>37</v>
      </c>
      <c r="E1117" s="1" t="s">
        <v>815</v>
      </c>
      <c r="F1117" s="1" t="s">
        <v>816</v>
      </c>
      <c r="G1117" s="1" t="s">
        <v>24</v>
      </c>
      <c r="H1117" s="1" t="s">
        <v>3125</v>
      </c>
      <c r="I1117" s="1" t="s">
        <v>3126</v>
      </c>
      <c r="J1117" s="1" t="s">
        <v>87</v>
      </c>
      <c r="K1117" s="1" t="s">
        <v>2400</v>
      </c>
      <c r="L1117" s="1" t="s">
        <v>29</v>
      </c>
      <c r="M1117" s="1" t="s">
        <v>53</v>
      </c>
      <c r="N1117" s="1" t="s">
        <v>2401</v>
      </c>
      <c r="O1117">
        <v>70.56</v>
      </c>
      <c r="P1117">
        <v>6</v>
      </c>
      <c r="Q1117">
        <v>23.990400000000001</v>
      </c>
      <c r="R1117" s="1" t="s">
        <v>4424</v>
      </c>
      <c r="S1117">
        <v>2016</v>
      </c>
      <c r="T1117" s="1" t="s">
        <v>90</v>
      </c>
    </row>
    <row r="1118" spans="1:20" x14ac:dyDescent="0.25">
      <c r="A1118" s="1" t="s">
        <v>3127</v>
      </c>
      <c r="B1118" s="2">
        <v>42833</v>
      </c>
      <c r="C1118" s="2">
        <v>42837</v>
      </c>
      <c r="D1118" s="1" t="s">
        <v>37</v>
      </c>
      <c r="E1118" s="1" t="s">
        <v>3128</v>
      </c>
      <c r="F1118" s="1" t="s">
        <v>3129</v>
      </c>
      <c r="G1118" s="1" t="s">
        <v>84</v>
      </c>
      <c r="H1118" s="1" t="s">
        <v>3130</v>
      </c>
      <c r="I1118" s="1" t="s">
        <v>281</v>
      </c>
      <c r="J1118" s="1" t="s">
        <v>87</v>
      </c>
      <c r="K1118" s="1" t="s">
        <v>1948</v>
      </c>
      <c r="L1118" s="1" t="s">
        <v>29</v>
      </c>
      <c r="M1118" s="1" t="s">
        <v>53</v>
      </c>
      <c r="N1118" s="1" t="s">
        <v>1949</v>
      </c>
      <c r="O1118">
        <v>273.95999999999998</v>
      </c>
      <c r="P1118">
        <v>2</v>
      </c>
      <c r="Q1118">
        <v>71.229600000000005</v>
      </c>
      <c r="R1118" s="1" t="s">
        <v>4424</v>
      </c>
      <c r="S1118">
        <v>2017</v>
      </c>
      <c r="T1118" s="1" t="s">
        <v>107</v>
      </c>
    </row>
    <row r="1119" spans="1:20" x14ac:dyDescent="0.25">
      <c r="A1119" s="1" t="s">
        <v>3127</v>
      </c>
      <c r="B1119" s="2">
        <v>42833</v>
      </c>
      <c r="C1119" s="2">
        <v>42837</v>
      </c>
      <c r="D1119" s="1" t="s">
        <v>37</v>
      </c>
      <c r="E1119" s="1" t="s">
        <v>3128</v>
      </c>
      <c r="F1119" s="1" t="s">
        <v>3129</v>
      </c>
      <c r="G1119" s="1" t="s">
        <v>84</v>
      </c>
      <c r="H1119" s="1" t="s">
        <v>3130</v>
      </c>
      <c r="I1119" s="1" t="s">
        <v>281</v>
      </c>
      <c r="J1119" s="1" t="s">
        <v>87</v>
      </c>
      <c r="K1119" s="1" t="s">
        <v>926</v>
      </c>
      <c r="L1119" s="1" t="s">
        <v>29</v>
      </c>
      <c r="M1119" s="1" t="s">
        <v>53</v>
      </c>
      <c r="N1119" s="1" t="s">
        <v>927</v>
      </c>
      <c r="O1119">
        <v>306.89999999999998</v>
      </c>
      <c r="P1119">
        <v>3</v>
      </c>
      <c r="Q1119">
        <v>79.793999999999997</v>
      </c>
      <c r="R1119" s="1" t="s">
        <v>4424</v>
      </c>
      <c r="S1119">
        <v>2017</v>
      </c>
      <c r="T1119" s="1" t="s">
        <v>107</v>
      </c>
    </row>
    <row r="1120" spans="1:20" x14ac:dyDescent="0.25">
      <c r="A1120" s="1" t="s">
        <v>3131</v>
      </c>
      <c r="B1120" s="2">
        <v>42301</v>
      </c>
      <c r="C1120" s="2">
        <v>42307</v>
      </c>
      <c r="D1120" s="1" t="s">
        <v>37</v>
      </c>
      <c r="E1120" s="1" t="s">
        <v>3132</v>
      </c>
      <c r="F1120" s="1" t="s">
        <v>3133</v>
      </c>
      <c r="G1120" s="1" t="s">
        <v>84</v>
      </c>
      <c r="H1120" s="1" t="s">
        <v>95</v>
      </c>
      <c r="I1120" s="1" t="s">
        <v>86</v>
      </c>
      <c r="J1120" s="1" t="s">
        <v>87</v>
      </c>
      <c r="K1120" s="1" t="s">
        <v>309</v>
      </c>
      <c r="L1120" s="1" t="s">
        <v>29</v>
      </c>
      <c r="M1120" s="1" t="s">
        <v>43</v>
      </c>
      <c r="N1120" s="1" t="s">
        <v>310</v>
      </c>
      <c r="O1120">
        <v>347.36099999999999</v>
      </c>
      <c r="P1120">
        <v>7</v>
      </c>
      <c r="Q1120">
        <v>-69.472200000000001</v>
      </c>
      <c r="R1120" s="1" t="s">
        <v>4426</v>
      </c>
      <c r="S1120">
        <v>2015</v>
      </c>
      <c r="T1120" s="1" t="s">
        <v>45</v>
      </c>
    </row>
    <row r="1121" spans="1:20" x14ac:dyDescent="0.25">
      <c r="A1121" s="1" t="s">
        <v>3134</v>
      </c>
      <c r="B1121" s="2">
        <v>41962</v>
      </c>
      <c r="C1121" s="2">
        <v>41968</v>
      </c>
      <c r="D1121" s="1" t="s">
        <v>37</v>
      </c>
      <c r="E1121" s="1" t="s">
        <v>3135</v>
      </c>
      <c r="F1121" s="1" t="s">
        <v>3136</v>
      </c>
      <c r="G1121" s="1" t="s">
        <v>84</v>
      </c>
      <c r="H1121" s="1" t="s">
        <v>191</v>
      </c>
      <c r="I1121" s="1" t="s">
        <v>192</v>
      </c>
      <c r="J1121" s="1" t="s">
        <v>63</v>
      </c>
      <c r="K1121" s="1" t="s">
        <v>1371</v>
      </c>
      <c r="L1121" s="1" t="s">
        <v>29</v>
      </c>
      <c r="M1121" s="1" t="s">
        <v>30</v>
      </c>
      <c r="N1121" s="1" t="s">
        <v>1372</v>
      </c>
      <c r="O1121">
        <v>1025.8800000000001</v>
      </c>
      <c r="P1121">
        <v>6</v>
      </c>
      <c r="Q1121">
        <v>235.95240000000001</v>
      </c>
      <c r="R1121" s="1" t="s">
        <v>4426</v>
      </c>
      <c r="S1121">
        <v>2014</v>
      </c>
      <c r="T1121" s="1" t="s">
        <v>32</v>
      </c>
    </row>
    <row r="1122" spans="1:20" x14ac:dyDescent="0.25">
      <c r="A1122" s="1" t="s">
        <v>3137</v>
      </c>
      <c r="B1122" s="2">
        <v>42637</v>
      </c>
      <c r="C1122" s="2">
        <v>42637</v>
      </c>
      <c r="D1122" s="1" t="s">
        <v>417</v>
      </c>
      <c r="E1122" s="1" t="s">
        <v>2372</v>
      </c>
      <c r="F1122" s="1" t="s">
        <v>2373</v>
      </c>
      <c r="G1122" s="1" t="s">
        <v>84</v>
      </c>
      <c r="H1122" s="1" t="s">
        <v>320</v>
      </c>
      <c r="I1122" s="1" t="s">
        <v>50</v>
      </c>
      <c r="J1122" s="1" t="s">
        <v>51</v>
      </c>
      <c r="K1122" s="1" t="s">
        <v>1825</v>
      </c>
      <c r="L1122" s="1" t="s">
        <v>29</v>
      </c>
      <c r="M1122" s="1" t="s">
        <v>53</v>
      </c>
      <c r="N1122" s="1" t="s">
        <v>1826</v>
      </c>
      <c r="O1122">
        <v>63.2</v>
      </c>
      <c r="P1122">
        <v>5</v>
      </c>
      <c r="Q1122">
        <v>23.384</v>
      </c>
      <c r="R1122" s="1" t="s">
        <v>4427</v>
      </c>
      <c r="S1122">
        <v>2016</v>
      </c>
      <c r="T1122" s="1" t="s">
        <v>72</v>
      </c>
    </row>
    <row r="1123" spans="1:20" x14ac:dyDescent="0.25">
      <c r="A1123" s="1" t="s">
        <v>3138</v>
      </c>
      <c r="B1123" s="2">
        <v>42469</v>
      </c>
      <c r="C1123" s="2">
        <v>42474</v>
      </c>
      <c r="D1123" s="1" t="s">
        <v>37</v>
      </c>
      <c r="E1123" s="1" t="s">
        <v>2026</v>
      </c>
      <c r="F1123" s="1" t="s">
        <v>2027</v>
      </c>
      <c r="G1123" s="1" t="s">
        <v>24</v>
      </c>
      <c r="H1123" s="1" t="s">
        <v>49</v>
      </c>
      <c r="I1123" s="1" t="s">
        <v>50</v>
      </c>
      <c r="J1123" s="1" t="s">
        <v>51</v>
      </c>
      <c r="K1123" s="1" t="s">
        <v>28</v>
      </c>
      <c r="L1123" s="1" t="s">
        <v>29</v>
      </c>
      <c r="M1123" s="1" t="s">
        <v>30</v>
      </c>
      <c r="N1123" s="1" t="s">
        <v>31</v>
      </c>
      <c r="O1123">
        <v>556.66499999999996</v>
      </c>
      <c r="P1123">
        <v>5</v>
      </c>
      <c r="Q1123">
        <v>6.5490000000000004</v>
      </c>
      <c r="R1123" s="1" t="s">
        <v>4422</v>
      </c>
      <c r="S1123">
        <v>2016</v>
      </c>
      <c r="T1123" s="1" t="s">
        <v>107</v>
      </c>
    </row>
    <row r="1124" spans="1:20" x14ac:dyDescent="0.25">
      <c r="A1124" s="1" t="s">
        <v>3139</v>
      </c>
      <c r="B1124" s="2">
        <v>42707</v>
      </c>
      <c r="C1124" s="2">
        <v>42710</v>
      </c>
      <c r="D1124" s="1" t="s">
        <v>81</v>
      </c>
      <c r="E1124" s="1" t="s">
        <v>1300</v>
      </c>
      <c r="F1124" s="1" t="s">
        <v>1301</v>
      </c>
      <c r="G1124" s="1" t="s">
        <v>24</v>
      </c>
      <c r="H1124" s="1" t="s">
        <v>49</v>
      </c>
      <c r="I1124" s="1" t="s">
        <v>50</v>
      </c>
      <c r="J1124" s="1" t="s">
        <v>51</v>
      </c>
      <c r="K1124" s="1" t="s">
        <v>2639</v>
      </c>
      <c r="L1124" s="1" t="s">
        <v>29</v>
      </c>
      <c r="M1124" s="1" t="s">
        <v>53</v>
      </c>
      <c r="N1124" s="1" t="s">
        <v>2640</v>
      </c>
      <c r="O1124">
        <v>111.9</v>
      </c>
      <c r="P1124">
        <v>6</v>
      </c>
      <c r="Q1124">
        <v>51.473999999999997</v>
      </c>
      <c r="R1124" s="1" t="s">
        <v>4420</v>
      </c>
      <c r="S1124">
        <v>2016</v>
      </c>
      <c r="T1124" s="1" t="s">
        <v>90</v>
      </c>
    </row>
    <row r="1125" spans="1:20" x14ac:dyDescent="0.25">
      <c r="A1125" s="1" t="s">
        <v>3140</v>
      </c>
      <c r="B1125" s="2">
        <v>42535</v>
      </c>
      <c r="C1125" s="2">
        <v>42535</v>
      </c>
      <c r="D1125" s="1" t="s">
        <v>417</v>
      </c>
      <c r="E1125" s="1" t="s">
        <v>3141</v>
      </c>
      <c r="F1125" s="1" t="s">
        <v>3142</v>
      </c>
      <c r="G1125" s="1" t="s">
        <v>94</v>
      </c>
      <c r="H1125" s="1" t="s">
        <v>49</v>
      </c>
      <c r="I1125" s="1" t="s">
        <v>50</v>
      </c>
      <c r="J1125" s="1" t="s">
        <v>51</v>
      </c>
      <c r="K1125" s="1" t="s">
        <v>2613</v>
      </c>
      <c r="L1125" s="1" t="s">
        <v>29</v>
      </c>
      <c r="M1125" s="1" t="s">
        <v>30</v>
      </c>
      <c r="N1125" s="1" t="s">
        <v>2614</v>
      </c>
      <c r="O1125">
        <v>599.16499999999996</v>
      </c>
      <c r="P1125">
        <v>5</v>
      </c>
      <c r="Q1125">
        <v>35.244999999999997</v>
      </c>
      <c r="R1125" s="1" t="s">
        <v>4427</v>
      </c>
      <c r="S1125">
        <v>2016</v>
      </c>
      <c r="T1125" s="1" t="s">
        <v>55</v>
      </c>
    </row>
    <row r="1126" spans="1:20" x14ac:dyDescent="0.25">
      <c r="A1126" s="1" t="s">
        <v>3143</v>
      </c>
      <c r="B1126" s="2">
        <v>41887</v>
      </c>
      <c r="C1126" s="2">
        <v>41889</v>
      </c>
      <c r="D1126" s="1" t="s">
        <v>81</v>
      </c>
      <c r="E1126" s="1" t="s">
        <v>2384</v>
      </c>
      <c r="F1126" s="1" t="s">
        <v>2385</v>
      </c>
      <c r="G1126" s="1" t="s">
        <v>24</v>
      </c>
      <c r="H1126" s="1" t="s">
        <v>780</v>
      </c>
      <c r="I1126" s="1" t="s">
        <v>41</v>
      </c>
      <c r="J1126" s="1" t="s">
        <v>27</v>
      </c>
      <c r="K1126" s="1" t="s">
        <v>392</v>
      </c>
      <c r="L1126" s="1" t="s">
        <v>29</v>
      </c>
      <c r="M1126" s="1" t="s">
        <v>53</v>
      </c>
      <c r="N1126" s="1" t="s">
        <v>393</v>
      </c>
      <c r="O1126">
        <v>31.984000000000002</v>
      </c>
      <c r="P1126">
        <v>2</v>
      </c>
      <c r="Q1126">
        <v>1.9990000000000001</v>
      </c>
      <c r="R1126" s="1" t="s">
        <v>4423</v>
      </c>
      <c r="S1126">
        <v>2014</v>
      </c>
      <c r="T1126" s="1" t="s">
        <v>72</v>
      </c>
    </row>
    <row r="1127" spans="1:20" x14ac:dyDescent="0.25">
      <c r="A1127" s="1" t="s">
        <v>3144</v>
      </c>
      <c r="B1127" s="2">
        <v>41825</v>
      </c>
      <c r="C1127" s="2">
        <v>41828</v>
      </c>
      <c r="D1127" s="1" t="s">
        <v>81</v>
      </c>
      <c r="E1127" s="1" t="s">
        <v>3145</v>
      </c>
      <c r="F1127" s="1" t="s">
        <v>3146</v>
      </c>
      <c r="G1127" s="1" t="s">
        <v>84</v>
      </c>
      <c r="H1127" s="1" t="s">
        <v>3147</v>
      </c>
      <c r="I1127" s="1" t="s">
        <v>41</v>
      </c>
      <c r="J1127" s="1" t="s">
        <v>27</v>
      </c>
      <c r="K1127" s="1" t="s">
        <v>1473</v>
      </c>
      <c r="L1127" s="1" t="s">
        <v>29</v>
      </c>
      <c r="M1127" s="1" t="s">
        <v>53</v>
      </c>
      <c r="N1127" s="1" t="s">
        <v>1474</v>
      </c>
      <c r="O1127">
        <v>19.52</v>
      </c>
      <c r="P1127">
        <v>2</v>
      </c>
      <c r="Q1127">
        <v>5.3680000000000003</v>
      </c>
      <c r="R1127" s="1" t="s">
        <v>4420</v>
      </c>
      <c r="S1127">
        <v>2014</v>
      </c>
      <c r="T1127" s="1" t="s">
        <v>66</v>
      </c>
    </row>
    <row r="1128" spans="1:20" x14ac:dyDescent="0.25">
      <c r="A1128" s="1" t="s">
        <v>3144</v>
      </c>
      <c r="B1128" s="2">
        <v>41825</v>
      </c>
      <c r="C1128" s="2">
        <v>41828</v>
      </c>
      <c r="D1128" s="1" t="s">
        <v>81</v>
      </c>
      <c r="E1128" s="1" t="s">
        <v>3145</v>
      </c>
      <c r="F1128" s="1" t="s">
        <v>3146</v>
      </c>
      <c r="G1128" s="1" t="s">
        <v>84</v>
      </c>
      <c r="H1128" s="1" t="s">
        <v>3147</v>
      </c>
      <c r="I1128" s="1" t="s">
        <v>41</v>
      </c>
      <c r="J1128" s="1" t="s">
        <v>27</v>
      </c>
      <c r="K1128" s="1" t="s">
        <v>3148</v>
      </c>
      <c r="L1128" s="1" t="s">
        <v>29</v>
      </c>
      <c r="M1128" s="1" t="s">
        <v>53</v>
      </c>
      <c r="N1128" s="1" t="s">
        <v>3149</v>
      </c>
      <c r="O1128">
        <v>213.21600000000001</v>
      </c>
      <c r="P1128">
        <v>3</v>
      </c>
      <c r="Q1128">
        <v>15.991199999999999</v>
      </c>
      <c r="R1128" s="1" t="s">
        <v>4420</v>
      </c>
      <c r="S1128">
        <v>2014</v>
      </c>
      <c r="T1128" s="1" t="s">
        <v>66</v>
      </c>
    </row>
    <row r="1129" spans="1:20" x14ac:dyDescent="0.25">
      <c r="A1129" s="1" t="s">
        <v>3150</v>
      </c>
      <c r="B1129" s="2">
        <v>41894</v>
      </c>
      <c r="C1129" s="2">
        <v>41901</v>
      </c>
      <c r="D1129" s="1" t="s">
        <v>37</v>
      </c>
      <c r="E1129" s="1" t="s">
        <v>3151</v>
      </c>
      <c r="F1129" s="1" t="s">
        <v>3152</v>
      </c>
      <c r="G1129" s="1" t="s">
        <v>94</v>
      </c>
      <c r="H1129" s="1" t="s">
        <v>3153</v>
      </c>
      <c r="I1129" s="1" t="s">
        <v>3126</v>
      </c>
      <c r="J1129" s="1" t="s">
        <v>87</v>
      </c>
      <c r="K1129" s="1" t="s">
        <v>2309</v>
      </c>
      <c r="L1129" s="1" t="s">
        <v>29</v>
      </c>
      <c r="M1129" s="1" t="s">
        <v>53</v>
      </c>
      <c r="N1129" s="1" t="s">
        <v>2310</v>
      </c>
      <c r="O1129">
        <v>40.56</v>
      </c>
      <c r="P1129">
        <v>2</v>
      </c>
      <c r="Q1129">
        <v>12.979200000000001</v>
      </c>
      <c r="R1129" s="1" t="s">
        <v>4421</v>
      </c>
      <c r="S1129">
        <v>2014</v>
      </c>
      <c r="T1129" s="1" t="s">
        <v>72</v>
      </c>
    </row>
    <row r="1130" spans="1:20" x14ac:dyDescent="0.25">
      <c r="A1130" s="1" t="s">
        <v>3154</v>
      </c>
      <c r="B1130" s="2">
        <v>43098</v>
      </c>
      <c r="C1130" s="2">
        <v>43102</v>
      </c>
      <c r="D1130" s="1" t="s">
        <v>37</v>
      </c>
      <c r="E1130" s="1" t="s">
        <v>255</v>
      </c>
      <c r="F1130" s="1" t="s">
        <v>256</v>
      </c>
      <c r="G1130" s="1" t="s">
        <v>24</v>
      </c>
      <c r="H1130" s="1" t="s">
        <v>836</v>
      </c>
      <c r="I1130" s="1" t="s">
        <v>184</v>
      </c>
      <c r="J1130" s="1" t="s">
        <v>51</v>
      </c>
      <c r="K1130" s="1" t="s">
        <v>1581</v>
      </c>
      <c r="L1130" s="1" t="s">
        <v>29</v>
      </c>
      <c r="M1130" s="1" t="s">
        <v>53</v>
      </c>
      <c r="N1130" s="1" t="s">
        <v>1582</v>
      </c>
      <c r="O1130">
        <v>68.459999999999994</v>
      </c>
      <c r="P1130">
        <v>2</v>
      </c>
      <c r="Q1130">
        <v>20.538</v>
      </c>
      <c r="R1130" s="1" t="s">
        <v>4424</v>
      </c>
      <c r="S1130">
        <v>2017</v>
      </c>
      <c r="T1130" s="1" t="s">
        <v>90</v>
      </c>
    </row>
    <row r="1131" spans="1:20" x14ac:dyDescent="0.25">
      <c r="A1131" s="1" t="s">
        <v>3155</v>
      </c>
      <c r="B1131" s="2">
        <v>42982</v>
      </c>
      <c r="C1131" s="2">
        <v>42984</v>
      </c>
      <c r="D1131" s="1" t="s">
        <v>21</v>
      </c>
      <c r="E1131" s="1" t="s">
        <v>482</v>
      </c>
      <c r="F1131" s="1" t="s">
        <v>483</v>
      </c>
      <c r="G1131" s="1" t="s">
        <v>24</v>
      </c>
      <c r="H1131" s="1" t="s">
        <v>320</v>
      </c>
      <c r="I1131" s="1" t="s">
        <v>50</v>
      </c>
      <c r="J1131" s="1" t="s">
        <v>51</v>
      </c>
      <c r="K1131" s="1" t="s">
        <v>3156</v>
      </c>
      <c r="L1131" s="1" t="s">
        <v>29</v>
      </c>
      <c r="M1131" s="1" t="s">
        <v>43</v>
      </c>
      <c r="N1131" s="1" t="s">
        <v>3157</v>
      </c>
      <c r="O1131">
        <v>1478.2719999999999</v>
      </c>
      <c r="P1131">
        <v>8</v>
      </c>
      <c r="Q1131">
        <v>92.391999999999996</v>
      </c>
      <c r="R1131" s="1" t="s">
        <v>4423</v>
      </c>
      <c r="S1131">
        <v>2017</v>
      </c>
      <c r="T1131" s="1" t="s">
        <v>72</v>
      </c>
    </row>
    <row r="1132" spans="1:20" x14ac:dyDescent="0.25">
      <c r="A1132" s="1" t="s">
        <v>3158</v>
      </c>
      <c r="B1132" s="2">
        <v>43006</v>
      </c>
      <c r="C1132" s="2">
        <v>43012</v>
      </c>
      <c r="D1132" s="1" t="s">
        <v>37</v>
      </c>
      <c r="E1132" s="1" t="s">
        <v>624</v>
      </c>
      <c r="F1132" s="1" t="s">
        <v>625</v>
      </c>
      <c r="G1132" s="1" t="s">
        <v>24</v>
      </c>
      <c r="H1132" s="1" t="s">
        <v>49</v>
      </c>
      <c r="I1132" s="1" t="s">
        <v>50</v>
      </c>
      <c r="J1132" s="1" t="s">
        <v>51</v>
      </c>
      <c r="K1132" s="1" t="s">
        <v>105</v>
      </c>
      <c r="L1132" s="1" t="s">
        <v>29</v>
      </c>
      <c r="M1132" s="1" t="s">
        <v>53</v>
      </c>
      <c r="N1132" s="1" t="s">
        <v>106</v>
      </c>
      <c r="O1132">
        <v>9.24</v>
      </c>
      <c r="P1132">
        <v>3</v>
      </c>
      <c r="Q1132">
        <v>4.4352</v>
      </c>
      <c r="R1132" s="1" t="s">
        <v>4426</v>
      </c>
      <c r="S1132">
        <v>2017</v>
      </c>
      <c r="T1132" s="1" t="s">
        <v>72</v>
      </c>
    </row>
    <row r="1133" spans="1:20" x14ac:dyDescent="0.25">
      <c r="A1133" s="1" t="s">
        <v>3159</v>
      </c>
      <c r="B1133" s="2">
        <v>41658</v>
      </c>
      <c r="C1133" s="2">
        <v>41659</v>
      </c>
      <c r="D1133" s="1" t="s">
        <v>81</v>
      </c>
      <c r="E1133" s="1" t="s">
        <v>2628</v>
      </c>
      <c r="F1133" s="1" t="s">
        <v>2629</v>
      </c>
      <c r="G1133" s="1" t="s">
        <v>24</v>
      </c>
      <c r="H1133" s="1" t="s">
        <v>1939</v>
      </c>
      <c r="I1133" s="1" t="s">
        <v>511</v>
      </c>
      <c r="J1133" s="1" t="s">
        <v>51</v>
      </c>
      <c r="K1133" s="1" t="s">
        <v>447</v>
      </c>
      <c r="L1133" s="1" t="s">
        <v>29</v>
      </c>
      <c r="M1133" s="1" t="s">
        <v>30</v>
      </c>
      <c r="N1133" s="1" t="s">
        <v>448</v>
      </c>
      <c r="O1133">
        <v>181.47</v>
      </c>
      <c r="P1133">
        <v>5</v>
      </c>
      <c r="Q1133">
        <v>-320.59699999999998</v>
      </c>
      <c r="R1133" s="1" t="s">
        <v>4425</v>
      </c>
      <c r="S1133">
        <v>2014</v>
      </c>
      <c r="T1133" s="1" t="s">
        <v>161</v>
      </c>
    </row>
    <row r="1134" spans="1:20" x14ac:dyDescent="0.25">
      <c r="A1134" s="1" t="s">
        <v>3160</v>
      </c>
      <c r="B1134" s="2">
        <v>42530</v>
      </c>
      <c r="C1134" s="2">
        <v>42535</v>
      </c>
      <c r="D1134" s="1" t="s">
        <v>37</v>
      </c>
      <c r="E1134" s="1" t="s">
        <v>3161</v>
      </c>
      <c r="F1134" s="1" t="s">
        <v>3162</v>
      </c>
      <c r="G1134" s="1" t="s">
        <v>24</v>
      </c>
      <c r="H1134" s="1" t="s">
        <v>320</v>
      </c>
      <c r="I1134" s="1" t="s">
        <v>50</v>
      </c>
      <c r="J1134" s="1" t="s">
        <v>51</v>
      </c>
      <c r="K1134" s="1" t="s">
        <v>64</v>
      </c>
      <c r="L1134" s="1" t="s">
        <v>29</v>
      </c>
      <c r="M1134" s="1" t="s">
        <v>34</v>
      </c>
      <c r="N1134" s="1" t="s">
        <v>65</v>
      </c>
      <c r="O1134">
        <v>122.352</v>
      </c>
      <c r="P1134">
        <v>3</v>
      </c>
      <c r="Q1134">
        <v>13.7646</v>
      </c>
      <c r="R1134" s="1" t="s">
        <v>4422</v>
      </c>
      <c r="S1134">
        <v>2016</v>
      </c>
      <c r="T1134" s="1" t="s">
        <v>55</v>
      </c>
    </row>
    <row r="1135" spans="1:20" x14ac:dyDescent="0.25">
      <c r="A1135" s="1" t="s">
        <v>3163</v>
      </c>
      <c r="B1135" s="2">
        <v>41908</v>
      </c>
      <c r="C1135" s="2">
        <v>41909</v>
      </c>
      <c r="D1135" s="1" t="s">
        <v>81</v>
      </c>
      <c r="E1135" s="1" t="s">
        <v>2262</v>
      </c>
      <c r="F1135" s="1" t="s">
        <v>2263</v>
      </c>
      <c r="G1135" s="1" t="s">
        <v>94</v>
      </c>
      <c r="H1135" s="1" t="s">
        <v>630</v>
      </c>
      <c r="I1135" s="1" t="s">
        <v>50</v>
      </c>
      <c r="J1135" s="1" t="s">
        <v>51</v>
      </c>
      <c r="K1135" s="1" t="s">
        <v>33</v>
      </c>
      <c r="L1135" s="1" t="s">
        <v>29</v>
      </c>
      <c r="M1135" s="1" t="s">
        <v>34</v>
      </c>
      <c r="N1135" s="1" t="s">
        <v>35</v>
      </c>
      <c r="O1135">
        <v>585.55200000000002</v>
      </c>
      <c r="P1135">
        <v>3</v>
      </c>
      <c r="Q1135">
        <v>73.194000000000003</v>
      </c>
      <c r="R1135" s="1" t="s">
        <v>4425</v>
      </c>
      <c r="S1135">
        <v>2014</v>
      </c>
      <c r="T1135" s="1" t="s">
        <v>72</v>
      </c>
    </row>
    <row r="1136" spans="1:20" x14ac:dyDescent="0.25">
      <c r="A1136" s="1" t="s">
        <v>3164</v>
      </c>
      <c r="B1136" s="2">
        <v>43088</v>
      </c>
      <c r="C1136" s="2">
        <v>43092</v>
      </c>
      <c r="D1136" s="1" t="s">
        <v>37</v>
      </c>
      <c r="E1136" s="1" t="s">
        <v>2375</v>
      </c>
      <c r="F1136" s="1" t="s">
        <v>2376</v>
      </c>
      <c r="G1136" s="1" t="s">
        <v>24</v>
      </c>
      <c r="H1136" s="1" t="s">
        <v>549</v>
      </c>
      <c r="I1136" s="1" t="s">
        <v>172</v>
      </c>
      <c r="J1136" s="1" t="s">
        <v>51</v>
      </c>
      <c r="K1136" s="1" t="s">
        <v>2416</v>
      </c>
      <c r="L1136" s="1" t="s">
        <v>29</v>
      </c>
      <c r="M1136" s="1" t="s">
        <v>53</v>
      </c>
      <c r="N1136" s="1" t="s">
        <v>2417</v>
      </c>
      <c r="O1136">
        <v>13.36</v>
      </c>
      <c r="P1136">
        <v>5</v>
      </c>
      <c r="Q1136">
        <v>4.008</v>
      </c>
      <c r="R1136" s="1" t="s">
        <v>4424</v>
      </c>
      <c r="S1136">
        <v>2017</v>
      </c>
      <c r="T1136" s="1" t="s">
        <v>90</v>
      </c>
    </row>
    <row r="1137" spans="1:20" x14ac:dyDescent="0.25">
      <c r="A1137" s="1" t="s">
        <v>3164</v>
      </c>
      <c r="B1137" s="2">
        <v>43088</v>
      </c>
      <c r="C1137" s="2">
        <v>43092</v>
      </c>
      <c r="D1137" s="1" t="s">
        <v>37</v>
      </c>
      <c r="E1137" s="1" t="s">
        <v>2375</v>
      </c>
      <c r="F1137" s="1" t="s">
        <v>2376</v>
      </c>
      <c r="G1137" s="1" t="s">
        <v>24</v>
      </c>
      <c r="H1137" s="1" t="s">
        <v>549</v>
      </c>
      <c r="I1137" s="1" t="s">
        <v>172</v>
      </c>
      <c r="J1137" s="1" t="s">
        <v>51</v>
      </c>
      <c r="K1137" s="1" t="s">
        <v>1594</v>
      </c>
      <c r="L1137" s="1" t="s">
        <v>29</v>
      </c>
      <c r="M1137" s="1" t="s">
        <v>30</v>
      </c>
      <c r="N1137" s="1" t="s">
        <v>1595</v>
      </c>
      <c r="O1137">
        <v>102.018</v>
      </c>
      <c r="P1137">
        <v>7</v>
      </c>
      <c r="Q1137">
        <v>-183.63239999999999</v>
      </c>
      <c r="R1137" s="1" t="s">
        <v>4424</v>
      </c>
      <c r="S1137">
        <v>2017</v>
      </c>
      <c r="T1137" s="1" t="s">
        <v>90</v>
      </c>
    </row>
    <row r="1138" spans="1:20" x14ac:dyDescent="0.25">
      <c r="A1138" s="1" t="s">
        <v>3165</v>
      </c>
      <c r="B1138" s="2">
        <v>42765</v>
      </c>
      <c r="C1138" s="2">
        <v>42770</v>
      </c>
      <c r="D1138" s="1" t="s">
        <v>37</v>
      </c>
      <c r="E1138" s="1" t="s">
        <v>68</v>
      </c>
      <c r="F1138" s="1" t="s">
        <v>69</v>
      </c>
      <c r="G1138" s="1" t="s">
        <v>24</v>
      </c>
      <c r="H1138" s="1" t="s">
        <v>997</v>
      </c>
      <c r="I1138" s="1" t="s">
        <v>41</v>
      </c>
      <c r="J1138" s="1" t="s">
        <v>27</v>
      </c>
      <c r="K1138" s="1" t="s">
        <v>3166</v>
      </c>
      <c r="L1138" s="1" t="s">
        <v>29</v>
      </c>
      <c r="M1138" s="1" t="s">
        <v>34</v>
      </c>
      <c r="N1138" s="1" t="s">
        <v>3167</v>
      </c>
      <c r="O1138">
        <v>419.13600000000002</v>
      </c>
      <c r="P1138">
        <v>4</v>
      </c>
      <c r="Q1138">
        <v>-68.1096</v>
      </c>
      <c r="R1138" s="1" t="s">
        <v>4422</v>
      </c>
      <c r="S1138">
        <v>2017</v>
      </c>
      <c r="T1138" s="1" t="s">
        <v>161</v>
      </c>
    </row>
    <row r="1139" spans="1:20" x14ac:dyDescent="0.25">
      <c r="A1139" s="1" t="s">
        <v>3168</v>
      </c>
      <c r="B1139" s="2">
        <v>42826</v>
      </c>
      <c r="C1139" s="2">
        <v>42829</v>
      </c>
      <c r="D1139" s="1" t="s">
        <v>21</v>
      </c>
      <c r="E1139" s="1" t="s">
        <v>1847</v>
      </c>
      <c r="F1139" s="1" t="s">
        <v>1848</v>
      </c>
      <c r="G1139" s="1" t="s">
        <v>84</v>
      </c>
      <c r="H1139" s="1" t="s">
        <v>597</v>
      </c>
      <c r="I1139" s="1" t="s">
        <v>41</v>
      </c>
      <c r="J1139" s="1" t="s">
        <v>27</v>
      </c>
      <c r="K1139" s="1" t="s">
        <v>1608</v>
      </c>
      <c r="L1139" s="1" t="s">
        <v>29</v>
      </c>
      <c r="M1139" s="1" t="s">
        <v>34</v>
      </c>
      <c r="N1139" s="1" t="s">
        <v>1609</v>
      </c>
      <c r="O1139">
        <v>218.352</v>
      </c>
      <c r="P1139">
        <v>3</v>
      </c>
      <c r="Q1139">
        <v>-19.105799999999999</v>
      </c>
      <c r="R1139" s="1" t="s">
        <v>4420</v>
      </c>
      <c r="S1139">
        <v>2017</v>
      </c>
      <c r="T1139" s="1" t="s">
        <v>107</v>
      </c>
    </row>
    <row r="1140" spans="1:20" x14ac:dyDescent="0.25">
      <c r="A1140" s="1" t="s">
        <v>3169</v>
      </c>
      <c r="B1140" s="2">
        <v>41971</v>
      </c>
      <c r="C1140" s="2">
        <v>41971</v>
      </c>
      <c r="D1140" s="1" t="s">
        <v>417</v>
      </c>
      <c r="E1140" s="1" t="s">
        <v>2587</v>
      </c>
      <c r="F1140" s="1" t="s">
        <v>2588</v>
      </c>
      <c r="G1140" s="1" t="s">
        <v>94</v>
      </c>
      <c r="H1140" s="1" t="s">
        <v>320</v>
      </c>
      <c r="I1140" s="1" t="s">
        <v>50</v>
      </c>
      <c r="J1140" s="1" t="s">
        <v>51</v>
      </c>
      <c r="K1140" s="1" t="s">
        <v>1465</v>
      </c>
      <c r="L1140" s="1" t="s">
        <v>29</v>
      </c>
      <c r="M1140" s="1" t="s">
        <v>30</v>
      </c>
      <c r="N1140" s="1" t="s">
        <v>1466</v>
      </c>
      <c r="O1140">
        <v>411.33199999999999</v>
      </c>
      <c r="P1140">
        <v>4</v>
      </c>
      <c r="Q1140">
        <v>-4.8391999999999999</v>
      </c>
      <c r="R1140" s="1" t="s">
        <v>4427</v>
      </c>
      <c r="S1140">
        <v>2014</v>
      </c>
      <c r="T1140" s="1" t="s">
        <v>32</v>
      </c>
    </row>
    <row r="1141" spans="1:20" x14ac:dyDescent="0.25">
      <c r="A1141" s="1" t="s">
        <v>3170</v>
      </c>
      <c r="B1141" s="2">
        <v>42931</v>
      </c>
      <c r="C1141" s="2">
        <v>42934</v>
      </c>
      <c r="D1141" s="1" t="s">
        <v>21</v>
      </c>
      <c r="E1141" s="1" t="s">
        <v>1432</v>
      </c>
      <c r="F1141" s="1" t="s">
        <v>1433</v>
      </c>
      <c r="G1141" s="1" t="s">
        <v>24</v>
      </c>
      <c r="H1141" s="1" t="s">
        <v>165</v>
      </c>
      <c r="I1141" s="1" t="s">
        <v>114</v>
      </c>
      <c r="J1141" s="1" t="s">
        <v>63</v>
      </c>
      <c r="K1141" s="1" t="s">
        <v>1738</v>
      </c>
      <c r="L1141" s="1" t="s">
        <v>29</v>
      </c>
      <c r="M1141" s="1" t="s">
        <v>34</v>
      </c>
      <c r="N1141" s="1" t="s">
        <v>1739</v>
      </c>
      <c r="O1141">
        <v>664.14599999999996</v>
      </c>
      <c r="P1141">
        <v>6</v>
      </c>
      <c r="Q1141">
        <v>88.552800000000005</v>
      </c>
      <c r="R1141" s="1" t="s">
        <v>4420</v>
      </c>
      <c r="S1141">
        <v>2017</v>
      </c>
      <c r="T1141" s="1" t="s">
        <v>66</v>
      </c>
    </row>
    <row r="1142" spans="1:20" x14ac:dyDescent="0.25">
      <c r="A1142" s="1" t="s">
        <v>3171</v>
      </c>
      <c r="B1142" s="2">
        <v>43041</v>
      </c>
      <c r="C1142" s="2">
        <v>43045</v>
      </c>
      <c r="D1142" s="1" t="s">
        <v>37</v>
      </c>
      <c r="E1142" s="1" t="s">
        <v>3172</v>
      </c>
      <c r="F1142" s="1" t="s">
        <v>3173</v>
      </c>
      <c r="G1142" s="1" t="s">
        <v>84</v>
      </c>
      <c r="H1142" s="1" t="s">
        <v>61</v>
      </c>
      <c r="I1142" s="1" t="s">
        <v>62</v>
      </c>
      <c r="J1142" s="1" t="s">
        <v>63</v>
      </c>
      <c r="K1142" s="1" t="s">
        <v>1971</v>
      </c>
      <c r="L1142" s="1" t="s">
        <v>29</v>
      </c>
      <c r="M1142" s="1" t="s">
        <v>53</v>
      </c>
      <c r="N1142" s="1" t="s">
        <v>1972</v>
      </c>
      <c r="O1142">
        <v>3.3119999999999998</v>
      </c>
      <c r="P1142">
        <v>1</v>
      </c>
      <c r="Q1142">
        <v>0.66239999999999999</v>
      </c>
      <c r="R1142" s="1" t="s">
        <v>4424</v>
      </c>
      <c r="S1142">
        <v>2017</v>
      </c>
      <c r="T1142" s="1" t="s">
        <v>32</v>
      </c>
    </row>
    <row r="1143" spans="1:20" x14ac:dyDescent="0.25">
      <c r="A1143" s="1" t="s">
        <v>3174</v>
      </c>
      <c r="B1143" s="2">
        <v>42285</v>
      </c>
      <c r="C1143" s="2">
        <v>42289</v>
      </c>
      <c r="D1143" s="1" t="s">
        <v>37</v>
      </c>
      <c r="E1143" s="1" t="s">
        <v>1291</v>
      </c>
      <c r="F1143" s="1" t="s">
        <v>1292</v>
      </c>
      <c r="G1143" s="1" t="s">
        <v>24</v>
      </c>
      <c r="H1143" s="1" t="s">
        <v>320</v>
      </c>
      <c r="I1143" s="1" t="s">
        <v>50</v>
      </c>
      <c r="J1143" s="1" t="s">
        <v>51</v>
      </c>
      <c r="K1143" s="1" t="s">
        <v>381</v>
      </c>
      <c r="L1143" s="1" t="s">
        <v>29</v>
      </c>
      <c r="M1143" s="1" t="s">
        <v>53</v>
      </c>
      <c r="N1143" s="1" t="s">
        <v>382</v>
      </c>
      <c r="O1143">
        <v>145.9</v>
      </c>
      <c r="P1143">
        <v>5</v>
      </c>
      <c r="Q1143">
        <v>62.737000000000002</v>
      </c>
      <c r="R1143" s="1" t="s">
        <v>4424</v>
      </c>
      <c r="S1143">
        <v>2015</v>
      </c>
      <c r="T1143" s="1" t="s">
        <v>45</v>
      </c>
    </row>
    <row r="1144" spans="1:20" x14ac:dyDescent="0.25">
      <c r="A1144" s="1" t="s">
        <v>3175</v>
      </c>
      <c r="B1144" s="2">
        <v>43073</v>
      </c>
      <c r="C1144" s="2">
        <v>43078</v>
      </c>
      <c r="D1144" s="1" t="s">
        <v>37</v>
      </c>
      <c r="E1144" s="1" t="s">
        <v>3176</v>
      </c>
      <c r="F1144" s="1" t="s">
        <v>3177</v>
      </c>
      <c r="G1144" s="1" t="s">
        <v>84</v>
      </c>
      <c r="H1144" s="1" t="s">
        <v>61</v>
      </c>
      <c r="I1144" s="1" t="s">
        <v>62</v>
      </c>
      <c r="J1144" s="1" t="s">
        <v>63</v>
      </c>
      <c r="K1144" s="1" t="s">
        <v>1093</v>
      </c>
      <c r="L1144" s="1" t="s">
        <v>29</v>
      </c>
      <c r="M1144" s="1" t="s">
        <v>34</v>
      </c>
      <c r="N1144" s="1" t="s">
        <v>1094</v>
      </c>
      <c r="O1144">
        <v>239.96</v>
      </c>
      <c r="P1144">
        <v>10</v>
      </c>
      <c r="Q1144">
        <v>-10.284000000000001</v>
      </c>
      <c r="R1144" s="1" t="s">
        <v>4422</v>
      </c>
      <c r="S1144">
        <v>2017</v>
      </c>
      <c r="T1144" s="1" t="s">
        <v>90</v>
      </c>
    </row>
    <row r="1145" spans="1:20" x14ac:dyDescent="0.25">
      <c r="A1145" s="1" t="s">
        <v>3175</v>
      </c>
      <c r="B1145" s="2">
        <v>43073</v>
      </c>
      <c r="C1145" s="2">
        <v>43078</v>
      </c>
      <c r="D1145" s="1" t="s">
        <v>37</v>
      </c>
      <c r="E1145" s="1" t="s">
        <v>3176</v>
      </c>
      <c r="F1145" s="1" t="s">
        <v>3177</v>
      </c>
      <c r="G1145" s="1" t="s">
        <v>84</v>
      </c>
      <c r="H1145" s="1" t="s">
        <v>61</v>
      </c>
      <c r="I1145" s="1" t="s">
        <v>62</v>
      </c>
      <c r="J1145" s="1" t="s">
        <v>63</v>
      </c>
      <c r="K1145" s="1" t="s">
        <v>1581</v>
      </c>
      <c r="L1145" s="1" t="s">
        <v>29</v>
      </c>
      <c r="M1145" s="1" t="s">
        <v>53</v>
      </c>
      <c r="N1145" s="1" t="s">
        <v>1582</v>
      </c>
      <c r="O1145">
        <v>54.768000000000001</v>
      </c>
      <c r="P1145">
        <v>2</v>
      </c>
      <c r="Q1145">
        <v>6.8460000000000001</v>
      </c>
      <c r="R1145" s="1" t="s">
        <v>4422</v>
      </c>
      <c r="S1145">
        <v>2017</v>
      </c>
      <c r="T1145" s="1" t="s">
        <v>90</v>
      </c>
    </row>
    <row r="1146" spans="1:20" x14ac:dyDescent="0.25">
      <c r="A1146" s="1" t="s">
        <v>3178</v>
      </c>
      <c r="B1146" s="2">
        <v>42877</v>
      </c>
      <c r="C1146" s="2">
        <v>42881</v>
      </c>
      <c r="D1146" s="1" t="s">
        <v>37</v>
      </c>
      <c r="E1146" s="1" t="s">
        <v>784</v>
      </c>
      <c r="F1146" s="1" t="s">
        <v>785</v>
      </c>
      <c r="G1146" s="1" t="s">
        <v>24</v>
      </c>
      <c r="H1146" s="1" t="s">
        <v>125</v>
      </c>
      <c r="I1146" s="1" t="s">
        <v>126</v>
      </c>
      <c r="J1146" s="1" t="s">
        <v>87</v>
      </c>
      <c r="K1146" s="1" t="s">
        <v>134</v>
      </c>
      <c r="L1146" s="1" t="s">
        <v>29</v>
      </c>
      <c r="M1146" s="1" t="s">
        <v>34</v>
      </c>
      <c r="N1146" s="1" t="s">
        <v>135</v>
      </c>
      <c r="O1146">
        <v>181.98599999999999</v>
      </c>
      <c r="P1146">
        <v>2</v>
      </c>
      <c r="Q1146">
        <v>-54.595799999999997</v>
      </c>
      <c r="R1146" s="1" t="s">
        <v>4424</v>
      </c>
      <c r="S1146">
        <v>2017</v>
      </c>
      <c r="T1146" s="1" t="s">
        <v>153</v>
      </c>
    </row>
    <row r="1147" spans="1:20" x14ac:dyDescent="0.25">
      <c r="A1147" s="1" t="s">
        <v>3179</v>
      </c>
      <c r="B1147" s="2">
        <v>42723</v>
      </c>
      <c r="C1147" s="2">
        <v>42729</v>
      </c>
      <c r="D1147" s="1" t="s">
        <v>37</v>
      </c>
      <c r="E1147" s="1" t="s">
        <v>2855</v>
      </c>
      <c r="F1147" s="1" t="s">
        <v>2856</v>
      </c>
      <c r="G1147" s="1" t="s">
        <v>84</v>
      </c>
      <c r="H1147" s="1" t="s">
        <v>1213</v>
      </c>
      <c r="I1147" s="1" t="s">
        <v>511</v>
      </c>
      <c r="J1147" s="1" t="s">
        <v>51</v>
      </c>
      <c r="K1147" s="1" t="s">
        <v>3180</v>
      </c>
      <c r="L1147" s="1" t="s">
        <v>29</v>
      </c>
      <c r="M1147" s="1" t="s">
        <v>43</v>
      </c>
      <c r="N1147" s="1" t="s">
        <v>3181</v>
      </c>
      <c r="O1147">
        <v>455.97</v>
      </c>
      <c r="P1147">
        <v>6</v>
      </c>
      <c r="Q1147">
        <v>-218.8656</v>
      </c>
      <c r="R1147" s="1" t="s">
        <v>4426</v>
      </c>
      <c r="S1147">
        <v>2016</v>
      </c>
      <c r="T1147" s="1" t="s">
        <v>90</v>
      </c>
    </row>
    <row r="1148" spans="1:20" x14ac:dyDescent="0.25">
      <c r="A1148" s="1" t="s">
        <v>3182</v>
      </c>
      <c r="B1148" s="2">
        <v>42985</v>
      </c>
      <c r="C1148" s="2">
        <v>42986</v>
      </c>
      <c r="D1148" s="1" t="s">
        <v>81</v>
      </c>
      <c r="E1148" s="1" t="s">
        <v>2158</v>
      </c>
      <c r="F1148" s="1" t="s">
        <v>2159</v>
      </c>
      <c r="G1148" s="1" t="s">
        <v>24</v>
      </c>
      <c r="H1148" s="1" t="s">
        <v>3183</v>
      </c>
      <c r="I1148" s="1" t="s">
        <v>71</v>
      </c>
      <c r="J1148" s="1" t="s">
        <v>51</v>
      </c>
      <c r="K1148" s="1" t="s">
        <v>2605</v>
      </c>
      <c r="L1148" s="1" t="s">
        <v>29</v>
      </c>
      <c r="M1148" s="1" t="s">
        <v>53</v>
      </c>
      <c r="N1148" s="1" t="s">
        <v>2606</v>
      </c>
      <c r="O1148">
        <v>25.16</v>
      </c>
      <c r="P1148">
        <v>2</v>
      </c>
      <c r="Q1148">
        <v>10.5672</v>
      </c>
      <c r="R1148" s="1" t="s">
        <v>4425</v>
      </c>
      <c r="S1148">
        <v>2017</v>
      </c>
      <c r="T1148" s="1" t="s">
        <v>72</v>
      </c>
    </row>
    <row r="1149" spans="1:20" x14ac:dyDescent="0.25">
      <c r="A1149" s="1" t="s">
        <v>3184</v>
      </c>
      <c r="B1149" s="2">
        <v>41955</v>
      </c>
      <c r="C1149" s="2">
        <v>41959</v>
      </c>
      <c r="D1149" s="1" t="s">
        <v>37</v>
      </c>
      <c r="E1149" s="1" t="s">
        <v>3185</v>
      </c>
      <c r="F1149" s="1" t="s">
        <v>3186</v>
      </c>
      <c r="G1149" s="1" t="s">
        <v>84</v>
      </c>
      <c r="H1149" s="1" t="s">
        <v>95</v>
      </c>
      <c r="I1149" s="1" t="s">
        <v>86</v>
      </c>
      <c r="J1149" s="1" t="s">
        <v>87</v>
      </c>
      <c r="K1149" s="1" t="s">
        <v>1127</v>
      </c>
      <c r="L1149" s="1" t="s">
        <v>29</v>
      </c>
      <c r="M1149" s="1" t="s">
        <v>30</v>
      </c>
      <c r="N1149" s="1" t="s">
        <v>1128</v>
      </c>
      <c r="O1149">
        <v>67.993200000000002</v>
      </c>
      <c r="P1149">
        <v>1</v>
      </c>
      <c r="Q1149">
        <v>-12.998699999999999</v>
      </c>
      <c r="R1149" s="1" t="s">
        <v>4424</v>
      </c>
      <c r="S1149">
        <v>2014</v>
      </c>
      <c r="T1149" s="1" t="s">
        <v>32</v>
      </c>
    </row>
    <row r="1150" spans="1:20" x14ac:dyDescent="0.25">
      <c r="A1150" s="1" t="s">
        <v>3187</v>
      </c>
      <c r="B1150" s="2">
        <v>43010</v>
      </c>
      <c r="C1150" s="2">
        <v>43014</v>
      </c>
      <c r="D1150" s="1" t="s">
        <v>21</v>
      </c>
      <c r="E1150" s="1" t="s">
        <v>1311</v>
      </c>
      <c r="F1150" s="1" t="s">
        <v>1312</v>
      </c>
      <c r="G1150" s="1" t="s">
        <v>84</v>
      </c>
      <c r="H1150" s="1" t="s">
        <v>1607</v>
      </c>
      <c r="I1150" s="1" t="s">
        <v>1267</v>
      </c>
      <c r="J1150" s="1" t="s">
        <v>27</v>
      </c>
      <c r="K1150" s="1" t="s">
        <v>2381</v>
      </c>
      <c r="L1150" s="1" t="s">
        <v>29</v>
      </c>
      <c r="M1150" s="1" t="s">
        <v>53</v>
      </c>
      <c r="N1150" s="1" t="s">
        <v>2382</v>
      </c>
      <c r="O1150">
        <v>10.16</v>
      </c>
      <c r="P1150">
        <v>2</v>
      </c>
      <c r="Q1150">
        <v>3.4544000000000001</v>
      </c>
      <c r="R1150" s="1" t="s">
        <v>4424</v>
      </c>
      <c r="S1150">
        <v>2017</v>
      </c>
      <c r="T1150" s="1" t="s">
        <v>45</v>
      </c>
    </row>
    <row r="1151" spans="1:20" x14ac:dyDescent="0.25">
      <c r="A1151" s="1" t="s">
        <v>3188</v>
      </c>
      <c r="B1151" s="2">
        <v>42352</v>
      </c>
      <c r="C1151" s="2">
        <v>42356</v>
      </c>
      <c r="D1151" s="1" t="s">
        <v>37</v>
      </c>
      <c r="E1151" s="1" t="s">
        <v>2488</v>
      </c>
      <c r="F1151" s="1" t="s">
        <v>2489</v>
      </c>
      <c r="G1151" s="1" t="s">
        <v>84</v>
      </c>
      <c r="H1151" s="1" t="s">
        <v>468</v>
      </c>
      <c r="I1151" s="1" t="s">
        <v>469</v>
      </c>
      <c r="J1151" s="1" t="s">
        <v>27</v>
      </c>
      <c r="K1151" s="1" t="s">
        <v>2002</v>
      </c>
      <c r="L1151" s="1" t="s">
        <v>29</v>
      </c>
      <c r="M1151" s="1" t="s">
        <v>53</v>
      </c>
      <c r="N1151" s="1" t="s">
        <v>2003</v>
      </c>
      <c r="O1151">
        <v>6.16</v>
      </c>
      <c r="P1151">
        <v>2</v>
      </c>
      <c r="Q1151">
        <v>1.9712000000000001</v>
      </c>
      <c r="R1151" s="1" t="s">
        <v>4424</v>
      </c>
      <c r="S1151">
        <v>2015</v>
      </c>
      <c r="T1151" s="1" t="s">
        <v>90</v>
      </c>
    </row>
    <row r="1152" spans="1:20" x14ac:dyDescent="0.25">
      <c r="A1152" s="1" t="s">
        <v>3189</v>
      </c>
      <c r="B1152" s="2">
        <v>42807</v>
      </c>
      <c r="C1152" s="2">
        <v>42807</v>
      </c>
      <c r="D1152" s="1" t="s">
        <v>417</v>
      </c>
      <c r="E1152" s="1" t="s">
        <v>3190</v>
      </c>
      <c r="F1152" s="1" t="s">
        <v>3191</v>
      </c>
      <c r="G1152" s="1" t="s">
        <v>94</v>
      </c>
      <c r="H1152" s="1" t="s">
        <v>125</v>
      </c>
      <c r="I1152" s="1" t="s">
        <v>126</v>
      </c>
      <c r="J1152" s="1" t="s">
        <v>87</v>
      </c>
      <c r="K1152" s="1" t="s">
        <v>2564</v>
      </c>
      <c r="L1152" s="1" t="s">
        <v>29</v>
      </c>
      <c r="M1152" s="1" t="s">
        <v>34</v>
      </c>
      <c r="N1152" s="1" t="s">
        <v>2565</v>
      </c>
      <c r="O1152">
        <v>89.768000000000001</v>
      </c>
      <c r="P1152">
        <v>1</v>
      </c>
      <c r="Q1152">
        <v>-2.5648</v>
      </c>
      <c r="R1152" s="1" t="s">
        <v>4427</v>
      </c>
      <c r="S1152">
        <v>2017</v>
      </c>
      <c r="T1152" s="1" t="s">
        <v>187</v>
      </c>
    </row>
    <row r="1153" spans="1:20" x14ac:dyDescent="0.25">
      <c r="A1153" s="1" t="s">
        <v>3192</v>
      </c>
      <c r="B1153" s="2">
        <v>42716</v>
      </c>
      <c r="C1153" s="2">
        <v>42720</v>
      </c>
      <c r="D1153" s="1" t="s">
        <v>37</v>
      </c>
      <c r="E1153" s="1" t="s">
        <v>3193</v>
      </c>
      <c r="F1153" s="1" t="s">
        <v>3194</v>
      </c>
      <c r="G1153" s="1" t="s">
        <v>24</v>
      </c>
      <c r="H1153" s="1" t="s">
        <v>1176</v>
      </c>
      <c r="I1153" s="1" t="s">
        <v>50</v>
      </c>
      <c r="J1153" s="1" t="s">
        <v>51</v>
      </c>
      <c r="K1153" s="1" t="s">
        <v>542</v>
      </c>
      <c r="L1153" s="1" t="s">
        <v>29</v>
      </c>
      <c r="M1153" s="1" t="s">
        <v>53</v>
      </c>
      <c r="N1153" s="1" t="s">
        <v>543</v>
      </c>
      <c r="O1153">
        <v>383.64</v>
      </c>
      <c r="P1153">
        <v>6</v>
      </c>
      <c r="Q1153">
        <v>122.76479999999999</v>
      </c>
      <c r="R1153" s="1" t="s">
        <v>4424</v>
      </c>
      <c r="S1153">
        <v>2016</v>
      </c>
      <c r="T1153" s="1" t="s">
        <v>90</v>
      </c>
    </row>
    <row r="1154" spans="1:20" x14ac:dyDescent="0.25">
      <c r="A1154" s="1" t="s">
        <v>3195</v>
      </c>
      <c r="B1154" s="2">
        <v>42987</v>
      </c>
      <c r="C1154" s="2">
        <v>42992</v>
      </c>
      <c r="D1154" s="1" t="s">
        <v>21</v>
      </c>
      <c r="E1154" s="1" t="s">
        <v>2406</v>
      </c>
      <c r="F1154" s="1" t="s">
        <v>2407</v>
      </c>
      <c r="G1154" s="1" t="s">
        <v>24</v>
      </c>
      <c r="H1154" s="1" t="s">
        <v>49</v>
      </c>
      <c r="I1154" s="1" t="s">
        <v>50</v>
      </c>
      <c r="J1154" s="1" t="s">
        <v>51</v>
      </c>
      <c r="K1154" s="1" t="s">
        <v>1647</v>
      </c>
      <c r="L1154" s="1" t="s">
        <v>29</v>
      </c>
      <c r="M1154" s="1" t="s">
        <v>34</v>
      </c>
      <c r="N1154" s="1" t="s">
        <v>1648</v>
      </c>
      <c r="O1154">
        <v>243.92</v>
      </c>
      <c r="P1154">
        <v>5</v>
      </c>
      <c r="Q1154">
        <v>-15.244999999999999</v>
      </c>
      <c r="R1154" s="1" t="s">
        <v>4422</v>
      </c>
      <c r="S1154">
        <v>2017</v>
      </c>
      <c r="T1154" s="1" t="s">
        <v>72</v>
      </c>
    </row>
    <row r="1155" spans="1:20" x14ac:dyDescent="0.25">
      <c r="A1155" s="1" t="s">
        <v>3196</v>
      </c>
      <c r="B1155" s="2">
        <v>43012</v>
      </c>
      <c r="C1155" s="2">
        <v>43016</v>
      </c>
      <c r="D1155" s="1" t="s">
        <v>37</v>
      </c>
      <c r="E1155" s="1" t="s">
        <v>123</v>
      </c>
      <c r="F1155" s="1" t="s">
        <v>124</v>
      </c>
      <c r="G1155" s="1" t="s">
        <v>94</v>
      </c>
      <c r="H1155" s="1" t="s">
        <v>2513</v>
      </c>
      <c r="I1155" s="1" t="s">
        <v>1080</v>
      </c>
      <c r="J1155" s="1" t="s">
        <v>63</v>
      </c>
      <c r="K1155" s="1" t="s">
        <v>1112</v>
      </c>
      <c r="L1155" s="1" t="s">
        <v>29</v>
      </c>
      <c r="M1155" s="1" t="s">
        <v>53</v>
      </c>
      <c r="N1155" s="1" t="s">
        <v>1113</v>
      </c>
      <c r="O1155">
        <v>19.98</v>
      </c>
      <c r="P1155">
        <v>1</v>
      </c>
      <c r="Q1155">
        <v>8.5914000000000001</v>
      </c>
      <c r="R1155" s="1" t="s">
        <v>4424</v>
      </c>
      <c r="S1155">
        <v>2017</v>
      </c>
      <c r="T1155" s="1" t="s">
        <v>45</v>
      </c>
    </row>
    <row r="1156" spans="1:20" x14ac:dyDescent="0.25">
      <c r="A1156" s="1" t="s">
        <v>3197</v>
      </c>
      <c r="B1156" s="2">
        <v>41988</v>
      </c>
      <c r="C1156" s="2">
        <v>41992</v>
      </c>
      <c r="D1156" s="1" t="s">
        <v>21</v>
      </c>
      <c r="E1156" s="1" t="s">
        <v>332</v>
      </c>
      <c r="F1156" s="1" t="s">
        <v>333</v>
      </c>
      <c r="G1156" s="1" t="s">
        <v>24</v>
      </c>
      <c r="H1156" s="1" t="s">
        <v>630</v>
      </c>
      <c r="I1156" s="1" t="s">
        <v>50</v>
      </c>
      <c r="J1156" s="1" t="s">
        <v>51</v>
      </c>
      <c r="K1156" s="1" t="s">
        <v>2002</v>
      </c>
      <c r="L1156" s="1" t="s">
        <v>29</v>
      </c>
      <c r="M1156" s="1" t="s">
        <v>53</v>
      </c>
      <c r="N1156" s="1" t="s">
        <v>2003</v>
      </c>
      <c r="O1156">
        <v>6.16</v>
      </c>
      <c r="P1156">
        <v>2</v>
      </c>
      <c r="Q1156">
        <v>1.9712000000000001</v>
      </c>
      <c r="R1156" s="1" t="s">
        <v>4424</v>
      </c>
      <c r="S1156">
        <v>2014</v>
      </c>
      <c r="T1156" s="1" t="s">
        <v>90</v>
      </c>
    </row>
    <row r="1157" spans="1:20" x14ac:dyDescent="0.25">
      <c r="A1157" s="1" t="s">
        <v>3198</v>
      </c>
      <c r="B1157" s="2">
        <v>41925</v>
      </c>
      <c r="C1157" s="2">
        <v>41930</v>
      </c>
      <c r="D1157" s="1" t="s">
        <v>21</v>
      </c>
      <c r="E1157" s="1" t="s">
        <v>1385</v>
      </c>
      <c r="F1157" s="1" t="s">
        <v>1386</v>
      </c>
      <c r="G1157" s="1" t="s">
        <v>84</v>
      </c>
      <c r="H1157" s="1" t="s">
        <v>2051</v>
      </c>
      <c r="I1157" s="1" t="s">
        <v>354</v>
      </c>
      <c r="J1157" s="1" t="s">
        <v>63</v>
      </c>
      <c r="K1157" s="1" t="s">
        <v>1019</v>
      </c>
      <c r="L1157" s="1" t="s">
        <v>29</v>
      </c>
      <c r="M1157" s="1" t="s">
        <v>34</v>
      </c>
      <c r="N1157" s="1" t="s">
        <v>1020</v>
      </c>
      <c r="O1157">
        <v>245.98</v>
      </c>
      <c r="P1157">
        <v>2</v>
      </c>
      <c r="Q1157">
        <v>27.0578</v>
      </c>
      <c r="R1157" s="1" t="s">
        <v>4422</v>
      </c>
      <c r="S1157">
        <v>2014</v>
      </c>
      <c r="T1157" s="1" t="s">
        <v>45</v>
      </c>
    </row>
    <row r="1158" spans="1:20" x14ac:dyDescent="0.25">
      <c r="A1158" s="1" t="s">
        <v>3199</v>
      </c>
      <c r="B1158" s="2">
        <v>42633</v>
      </c>
      <c r="C1158" s="2">
        <v>42638</v>
      </c>
      <c r="D1158" s="1" t="s">
        <v>37</v>
      </c>
      <c r="E1158" s="1" t="s">
        <v>1450</v>
      </c>
      <c r="F1158" s="1" t="s">
        <v>1451</v>
      </c>
      <c r="G1158" s="1" t="s">
        <v>84</v>
      </c>
      <c r="H1158" s="1" t="s">
        <v>2560</v>
      </c>
      <c r="I1158" s="1" t="s">
        <v>1027</v>
      </c>
      <c r="J1158" s="1" t="s">
        <v>27</v>
      </c>
      <c r="K1158" s="1" t="s">
        <v>2131</v>
      </c>
      <c r="L1158" s="1" t="s">
        <v>29</v>
      </c>
      <c r="M1158" s="1" t="s">
        <v>53</v>
      </c>
      <c r="N1158" s="1" t="s">
        <v>2132</v>
      </c>
      <c r="O1158">
        <v>17.088000000000001</v>
      </c>
      <c r="P1158">
        <v>2</v>
      </c>
      <c r="Q1158">
        <v>1.0680000000000001</v>
      </c>
      <c r="R1158" s="1" t="s">
        <v>4422</v>
      </c>
      <c r="S1158">
        <v>2016</v>
      </c>
      <c r="T1158" s="1" t="s">
        <v>72</v>
      </c>
    </row>
    <row r="1159" spans="1:20" x14ac:dyDescent="0.25">
      <c r="A1159" s="1" t="s">
        <v>3199</v>
      </c>
      <c r="B1159" s="2">
        <v>42633</v>
      </c>
      <c r="C1159" s="2">
        <v>42638</v>
      </c>
      <c r="D1159" s="1" t="s">
        <v>37</v>
      </c>
      <c r="E1159" s="1" t="s">
        <v>1450</v>
      </c>
      <c r="F1159" s="1" t="s">
        <v>1451</v>
      </c>
      <c r="G1159" s="1" t="s">
        <v>84</v>
      </c>
      <c r="H1159" s="1" t="s">
        <v>2560</v>
      </c>
      <c r="I1159" s="1" t="s">
        <v>1027</v>
      </c>
      <c r="J1159" s="1" t="s">
        <v>27</v>
      </c>
      <c r="K1159" s="1" t="s">
        <v>1019</v>
      </c>
      <c r="L1159" s="1" t="s">
        <v>29</v>
      </c>
      <c r="M1159" s="1" t="s">
        <v>34</v>
      </c>
      <c r="N1159" s="1" t="s">
        <v>1020</v>
      </c>
      <c r="O1159">
        <v>98.391999999999996</v>
      </c>
      <c r="P1159">
        <v>1</v>
      </c>
      <c r="Q1159">
        <v>-11.069100000000001</v>
      </c>
      <c r="R1159" s="1" t="s">
        <v>4422</v>
      </c>
      <c r="S1159">
        <v>2016</v>
      </c>
      <c r="T1159" s="1" t="s">
        <v>72</v>
      </c>
    </row>
    <row r="1160" spans="1:20" x14ac:dyDescent="0.25">
      <c r="A1160" s="1" t="s">
        <v>3200</v>
      </c>
      <c r="B1160" s="2">
        <v>42916</v>
      </c>
      <c r="C1160" s="2">
        <v>42920</v>
      </c>
      <c r="D1160" s="1" t="s">
        <v>37</v>
      </c>
      <c r="E1160" s="1" t="s">
        <v>2207</v>
      </c>
      <c r="F1160" s="1" t="s">
        <v>2208</v>
      </c>
      <c r="G1160" s="1" t="s">
        <v>84</v>
      </c>
      <c r="H1160" s="1" t="s">
        <v>132</v>
      </c>
      <c r="I1160" s="1" t="s">
        <v>133</v>
      </c>
      <c r="J1160" s="1" t="s">
        <v>27</v>
      </c>
      <c r="K1160" s="1" t="s">
        <v>1473</v>
      </c>
      <c r="L1160" s="1" t="s">
        <v>29</v>
      </c>
      <c r="M1160" s="1" t="s">
        <v>53</v>
      </c>
      <c r="N1160" s="1" t="s">
        <v>1474</v>
      </c>
      <c r="O1160">
        <v>19.52</v>
      </c>
      <c r="P1160">
        <v>2</v>
      </c>
      <c r="Q1160">
        <v>5.3680000000000003</v>
      </c>
      <c r="R1160" s="1" t="s">
        <v>4424</v>
      </c>
      <c r="S1160">
        <v>2017</v>
      </c>
      <c r="T1160" s="1" t="s">
        <v>55</v>
      </c>
    </row>
    <row r="1161" spans="1:20" x14ac:dyDescent="0.25">
      <c r="A1161" s="1" t="s">
        <v>3201</v>
      </c>
      <c r="B1161" s="2">
        <v>42638</v>
      </c>
      <c r="C1161" s="2">
        <v>42643</v>
      </c>
      <c r="D1161" s="1" t="s">
        <v>37</v>
      </c>
      <c r="E1161" s="1" t="s">
        <v>3202</v>
      </c>
      <c r="F1161" s="1" t="s">
        <v>3203</v>
      </c>
      <c r="G1161" s="1" t="s">
        <v>84</v>
      </c>
      <c r="H1161" s="1" t="s">
        <v>3204</v>
      </c>
      <c r="I1161" s="1" t="s">
        <v>230</v>
      </c>
      <c r="J1161" s="1" t="s">
        <v>87</v>
      </c>
      <c r="K1161" s="1" t="s">
        <v>98</v>
      </c>
      <c r="L1161" s="1" t="s">
        <v>29</v>
      </c>
      <c r="M1161" s="1" t="s">
        <v>34</v>
      </c>
      <c r="N1161" s="1" t="s">
        <v>99</v>
      </c>
      <c r="O1161">
        <v>201.96</v>
      </c>
      <c r="P1161">
        <v>2</v>
      </c>
      <c r="Q1161">
        <v>50.49</v>
      </c>
      <c r="R1161" s="1" t="s">
        <v>4422</v>
      </c>
      <c r="S1161">
        <v>2016</v>
      </c>
      <c r="T1161" s="1" t="s">
        <v>72</v>
      </c>
    </row>
    <row r="1162" spans="1:20" x14ac:dyDescent="0.25">
      <c r="A1162" s="1" t="s">
        <v>3201</v>
      </c>
      <c r="B1162" s="2">
        <v>42638</v>
      </c>
      <c r="C1162" s="2">
        <v>42643</v>
      </c>
      <c r="D1162" s="1" t="s">
        <v>37</v>
      </c>
      <c r="E1162" s="1" t="s">
        <v>3202</v>
      </c>
      <c r="F1162" s="1" t="s">
        <v>3203</v>
      </c>
      <c r="G1162" s="1" t="s">
        <v>84</v>
      </c>
      <c r="H1162" s="1" t="s">
        <v>3204</v>
      </c>
      <c r="I1162" s="1" t="s">
        <v>230</v>
      </c>
      <c r="J1162" s="1" t="s">
        <v>87</v>
      </c>
      <c r="K1162" s="1" t="s">
        <v>2223</v>
      </c>
      <c r="L1162" s="1" t="s">
        <v>29</v>
      </c>
      <c r="M1162" s="1" t="s">
        <v>53</v>
      </c>
      <c r="N1162" s="1" t="s">
        <v>2224</v>
      </c>
      <c r="O1162">
        <v>68.64</v>
      </c>
      <c r="P1162">
        <v>11</v>
      </c>
      <c r="Q1162">
        <v>17.16</v>
      </c>
      <c r="R1162" s="1" t="s">
        <v>4422</v>
      </c>
      <c r="S1162">
        <v>2016</v>
      </c>
      <c r="T1162" s="1" t="s">
        <v>72</v>
      </c>
    </row>
    <row r="1163" spans="1:20" x14ac:dyDescent="0.25">
      <c r="A1163" s="1" t="s">
        <v>3205</v>
      </c>
      <c r="B1163" s="2">
        <v>41911</v>
      </c>
      <c r="C1163" s="2">
        <v>41913</v>
      </c>
      <c r="D1163" s="1" t="s">
        <v>21</v>
      </c>
      <c r="E1163" s="1" t="s">
        <v>1231</v>
      </c>
      <c r="F1163" s="1" t="s">
        <v>1232</v>
      </c>
      <c r="G1163" s="1" t="s">
        <v>94</v>
      </c>
      <c r="H1163" s="1" t="s">
        <v>183</v>
      </c>
      <c r="I1163" s="1" t="s">
        <v>184</v>
      </c>
      <c r="J1163" s="1" t="s">
        <v>51</v>
      </c>
      <c r="K1163" s="1" t="s">
        <v>105</v>
      </c>
      <c r="L1163" s="1" t="s">
        <v>29</v>
      </c>
      <c r="M1163" s="1" t="s">
        <v>53</v>
      </c>
      <c r="N1163" s="1" t="s">
        <v>106</v>
      </c>
      <c r="O1163">
        <v>6.16</v>
      </c>
      <c r="P1163">
        <v>2</v>
      </c>
      <c r="Q1163">
        <v>2.9567999999999999</v>
      </c>
      <c r="R1163" s="1" t="s">
        <v>4423</v>
      </c>
      <c r="S1163">
        <v>2014</v>
      </c>
      <c r="T1163" s="1" t="s">
        <v>72</v>
      </c>
    </row>
    <row r="1164" spans="1:20" x14ac:dyDescent="0.25">
      <c r="A1164" s="1" t="s">
        <v>3205</v>
      </c>
      <c r="B1164" s="2">
        <v>41911</v>
      </c>
      <c r="C1164" s="2">
        <v>41913</v>
      </c>
      <c r="D1164" s="1" t="s">
        <v>21</v>
      </c>
      <c r="E1164" s="1" t="s">
        <v>1231</v>
      </c>
      <c r="F1164" s="1" t="s">
        <v>1232</v>
      </c>
      <c r="G1164" s="1" t="s">
        <v>94</v>
      </c>
      <c r="H1164" s="1" t="s">
        <v>183</v>
      </c>
      <c r="I1164" s="1" t="s">
        <v>184</v>
      </c>
      <c r="J1164" s="1" t="s">
        <v>51</v>
      </c>
      <c r="K1164" s="1" t="s">
        <v>1238</v>
      </c>
      <c r="L1164" s="1" t="s">
        <v>29</v>
      </c>
      <c r="M1164" s="1" t="s">
        <v>43</v>
      </c>
      <c r="N1164" s="1" t="s">
        <v>1239</v>
      </c>
      <c r="O1164">
        <v>2348.8200000000002</v>
      </c>
      <c r="P1164">
        <v>9</v>
      </c>
      <c r="Q1164">
        <v>399.29939999999999</v>
      </c>
      <c r="R1164" s="1" t="s">
        <v>4423</v>
      </c>
      <c r="S1164">
        <v>2014</v>
      </c>
      <c r="T1164" s="1" t="s">
        <v>72</v>
      </c>
    </row>
    <row r="1165" spans="1:20" x14ac:dyDescent="0.25">
      <c r="A1165" s="1" t="s">
        <v>3206</v>
      </c>
      <c r="B1165" s="2">
        <v>42912</v>
      </c>
      <c r="C1165" s="2">
        <v>42917</v>
      </c>
      <c r="D1165" s="1" t="s">
        <v>37</v>
      </c>
      <c r="E1165" s="1" t="s">
        <v>324</v>
      </c>
      <c r="F1165" s="1" t="s">
        <v>325</v>
      </c>
      <c r="G1165" s="1" t="s">
        <v>84</v>
      </c>
      <c r="H1165" s="1" t="s">
        <v>997</v>
      </c>
      <c r="I1165" s="1" t="s">
        <v>41</v>
      </c>
      <c r="J1165" s="1" t="s">
        <v>27</v>
      </c>
      <c r="K1165" s="1" t="s">
        <v>3207</v>
      </c>
      <c r="L1165" s="1" t="s">
        <v>29</v>
      </c>
      <c r="M1165" s="1" t="s">
        <v>34</v>
      </c>
      <c r="N1165" s="1" t="s">
        <v>3208</v>
      </c>
      <c r="O1165">
        <v>273.55200000000002</v>
      </c>
      <c r="P1165">
        <v>3</v>
      </c>
      <c r="Q1165">
        <v>-13.6776</v>
      </c>
      <c r="R1165" s="1" t="s">
        <v>4422</v>
      </c>
      <c r="S1165">
        <v>2017</v>
      </c>
      <c r="T1165" s="1" t="s">
        <v>55</v>
      </c>
    </row>
    <row r="1166" spans="1:20" x14ac:dyDescent="0.25">
      <c r="A1166" s="1" t="s">
        <v>3209</v>
      </c>
      <c r="B1166" s="2">
        <v>42603</v>
      </c>
      <c r="C1166" s="2">
        <v>42605</v>
      </c>
      <c r="D1166" s="1" t="s">
        <v>21</v>
      </c>
      <c r="E1166" s="1" t="s">
        <v>662</v>
      </c>
      <c r="F1166" s="1" t="s">
        <v>663</v>
      </c>
      <c r="G1166" s="1" t="s">
        <v>94</v>
      </c>
      <c r="H1166" s="1" t="s">
        <v>61</v>
      </c>
      <c r="I1166" s="1" t="s">
        <v>62</v>
      </c>
      <c r="J1166" s="1" t="s">
        <v>63</v>
      </c>
      <c r="K1166" s="1" t="s">
        <v>1275</v>
      </c>
      <c r="L1166" s="1" t="s">
        <v>29</v>
      </c>
      <c r="M1166" s="1" t="s">
        <v>43</v>
      </c>
      <c r="N1166" s="1" t="s">
        <v>1276</v>
      </c>
      <c r="O1166">
        <v>815.29200000000003</v>
      </c>
      <c r="P1166">
        <v>9</v>
      </c>
      <c r="Q1166">
        <v>-339.70499999999998</v>
      </c>
      <c r="R1166" s="1" t="s">
        <v>4423</v>
      </c>
      <c r="S1166">
        <v>2016</v>
      </c>
      <c r="T1166" s="1" t="s">
        <v>245</v>
      </c>
    </row>
    <row r="1167" spans="1:20" x14ac:dyDescent="0.25">
      <c r="A1167" s="1" t="s">
        <v>3210</v>
      </c>
      <c r="B1167" s="2">
        <v>41681</v>
      </c>
      <c r="C1167" s="2">
        <v>41685</v>
      </c>
      <c r="D1167" s="1" t="s">
        <v>37</v>
      </c>
      <c r="E1167" s="1" t="s">
        <v>466</v>
      </c>
      <c r="F1167" s="1" t="s">
        <v>467</v>
      </c>
      <c r="G1167" s="1" t="s">
        <v>24</v>
      </c>
      <c r="H1167" s="1" t="s">
        <v>2111</v>
      </c>
      <c r="I1167" s="1" t="s">
        <v>707</v>
      </c>
      <c r="J1167" s="1" t="s">
        <v>27</v>
      </c>
      <c r="K1167" s="1" t="s">
        <v>1319</v>
      </c>
      <c r="L1167" s="1" t="s">
        <v>29</v>
      </c>
      <c r="M1167" s="1" t="s">
        <v>43</v>
      </c>
      <c r="N1167" s="1" t="s">
        <v>1320</v>
      </c>
      <c r="O1167">
        <v>1256.22</v>
      </c>
      <c r="P1167">
        <v>6</v>
      </c>
      <c r="Q1167">
        <v>75.373199999999997</v>
      </c>
      <c r="R1167" s="1" t="s">
        <v>4424</v>
      </c>
      <c r="S1167">
        <v>2014</v>
      </c>
      <c r="T1167" s="1" t="s">
        <v>289</v>
      </c>
    </row>
    <row r="1168" spans="1:20" x14ac:dyDescent="0.25">
      <c r="A1168" s="1" t="s">
        <v>3211</v>
      </c>
      <c r="B1168" s="2">
        <v>42820</v>
      </c>
      <c r="C1168" s="2">
        <v>42827</v>
      </c>
      <c r="D1168" s="1" t="s">
        <v>37</v>
      </c>
      <c r="E1168" s="1" t="s">
        <v>3212</v>
      </c>
      <c r="F1168" s="1" t="s">
        <v>3213</v>
      </c>
      <c r="G1168" s="1" t="s">
        <v>84</v>
      </c>
      <c r="H1168" s="1" t="s">
        <v>646</v>
      </c>
      <c r="I1168" s="1" t="s">
        <v>281</v>
      </c>
      <c r="J1168" s="1" t="s">
        <v>87</v>
      </c>
      <c r="K1168" s="1" t="s">
        <v>3214</v>
      </c>
      <c r="L1168" s="1" t="s">
        <v>29</v>
      </c>
      <c r="M1168" s="1" t="s">
        <v>53</v>
      </c>
      <c r="N1168" s="1" t="s">
        <v>3215</v>
      </c>
      <c r="O1168">
        <v>60.84</v>
      </c>
      <c r="P1168">
        <v>3</v>
      </c>
      <c r="Q1168">
        <v>23.119199999999999</v>
      </c>
      <c r="R1168" s="1" t="s">
        <v>4421</v>
      </c>
      <c r="S1168">
        <v>2017</v>
      </c>
      <c r="T1168" s="1" t="s">
        <v>187</v>
      </c>
    </row>
    <row r="1169" spans="1:20" x14ac:dyDescent="0.25">
      <c r="A1169" s="1" t="s">
        <v>3216</v>
      </c>
      <c r="B1169" s="2">
        <v>41994</v>
      </c>
      <c r="C1169" s="2">
        <v>42000</v>
      </c>
      <c r="D1169" s="1" t="s">
        <v>37</v>
      </c>
      <c r="E1169" s="1" t="s">
        <v>824</v>
      </c>
      <c r="F1169" s="1" t="s">
        <v>825</v>
      </c>
      <c r="G1169" s="1" t="s">
        <v>24</v>
      </c>
      <c r="H1169" s="1" t="s">
        <v>630</v>
      </c>
      <c r="I1169" s="1" t="s">
        <v>50</v>
      </c>
      <c r="J1169" s="1" t="s">
        <v>51</v>
      </c>
      <c r="K1169" s="1" t="s">
        <v>238</v>
      </c>
      <c r="L1169" s="1" t="s">
        <v>29</v>
      </c>
      <c r="M1169" s="1" t="s">
        <v>34</v>
      </c>
      <c r="N1169" s="1" t="s">
        <v>239</v>
      </c>
      <c r="O1169">
        <v>1325.76</v>
      </c>
      <c r="P1169">
        <v>6</v>
      </c>
      <c r="Q1169">
        <v>149.148</v>
      </c>
      <c r="R1169" s="1" t="s">
        <v>4426</v>
      </c>
      <c r="S1169">
        <v>2014</v>
      </c>
      <c r="T1169" s="1" t="s">
        <v>90</v>
      </c>
    </row>
    <row r="1170" spans="1:20" x14ac:dyDescent="0.25">
      <c r="A1170" s="1" t="s">
        <v>3216</v>
      </c>
      <c r="B1170" s="2">
        <v>41994</v>
      </c>
      <c r="C1170" s="2">
        <v>42000</v>
      </c>
      <c r="D1170" s="1" t="s">
        <v>37</v>
      </c>
      <c r="E1170" s="1" t="s">
        <v>824</v>
      </c>
      <c r="F1170" s="1" t="s">
        <v>825</v>
      </c>
      <c r="G1170" s="1" t="s">
        <v>24</v>
      </c>
      <c r="H1170" s="1" t="s">
        <v>630</v>
      </c>
      <c r="I1170" s="1" t="s">
        <v>50</v>
      </c>
      <c r="J1170" s="1" t="s">
        <v>51</v>
      </c>
      <c r="K1170" s="1" t="s">
        <v>571</v>
      </c>
      <c r="L1170" s="1" t="s">
        <v>29</v>
      </c>
      <c r="M1170" s="1" t="s">
        <v>34</v>
      </c>
      <c r="N1170" s="1" t="s">
        <v>572</v>
      </c>
      <c r="O1170">
        <v>572.16</v>
      </c>
      <c r="P1170">
        <v>3</v>
      </c>
      <c r="Q1170">
        <v>35.76</v>
      </c>
      <c r="R1170" s="1" t="s">
        <v>4426</v>
      </c>
      <c r="S1170">
        <v>2014</v>
      </c>
      <c r="T1170" s="1" t="s">
        <v>90</v>
      </c>
    </row>
    <row r="1171" spans="1:20" x14ac:dyDescent="0.25">
      <c r="A1171" s="1" t="s">
        <v>3217</v>
      </c>
      <c r="B1171" s="2">
        <v>42461</v>
      </c>
      <c r="C1171" s="2">
        <v>42465</v>
      </c>
      <c r="D1171" s="1" t="s">
        <v>21</v>
      </c>
      <c r="E1171" s="1" t="s">
        <v>2292</v>
      </c>
      <c r="F1171" s="1" t="s">
        <v>2293</v>
      </c>
      <c r="G1171" s="1" t="s">
        <v>94</v>
      </c>
      <c r="H1171" s="1" t="s">
        <v>339</v>
      </c>
      <c r="I1171" s="1" t="s">
        <v>658</v>
      </c>
      <c r="J1171" s="1" t="s">
        <v>27</v>
      </c>
      <c r="K1171" s="1" t="s">
        <v>329</v>
      </c>
      <c r="L1171" s="1" t="s">
        <v>29</v>
      </c>
      <c r="M1171" s="1" t="s">
        <v>53</v>
      </c>
      <c r="N1171" s="1" t="s">
        <v>330</v>
      </c>
      <c r="O1171">
        <v>7.04</v>
      </c>
      <c r="P1171">
        <v>4</v>
      </c>
      <c r="Q1171">
        <v>3.0975999999999999</v>
      </c>
      <c r="R1171" s="1" t="s">
        <v>4424</v>
      </c>
      <c r="S1171">
        <v>2016</v>
      </c>
      <c r="T1171" s="1" t="s">
        <v>107</v>
      </c>
    </row>
    <row r="1172" spans="1:20" x14ac:dyDescent="0.25">
      <c r="A1172" s="1" t="s">
        <v>3218</v>
      </c>
      <c r="B1172" s="2">
        <v>42839</v>
      </c>
      <c r="C1172" s="2">
        <v>42844</v>
      </c>
      <c r="D1172" s="1" t="s">
        <v>37</v>
      </c>
      <c r="E1172" s="1" t="s">
        <v>1857</v>
      </c>
      <c r="F1172" s="1" t="s">
        <v>1858</v>
      </c>
      <c r="G1172" s="1" t="s">
        <v>84</v>
      </c>
      <c r="H1172" s="1" t="s">
        <v>3219</v>
      </c>
      <c r="I1172" s="1" t="s">
        <v>354</v>
      </c>
      <c r="J1172" s="1" t="s">
        <v>63</v>
      </c>
      <c r="K1172" s="1" t="s">
        <v>1195</v>
      </c>
      <c r="L1172" s="1" t="s">
        <v>29</v>
      </c>
      <c r="M1172" s="1" t="s">
        <v>53</v>
      </c>
      <c r="N1172" s="1" t="s">
        <v>1196</v>
      </c>
      <c r="O1172">
        <v>74.45</v>
      </c>
      <c r="P1172">
        <v>5</v>
      </c>
      <c r="Q1172">
        <v>20.101500000000001</v>
      </c>
      <c r="R1172" s="1" t="s">
        <v>4422</v>
      </c>
      <c r="S1172">
        <v>2017</v>
      </c>
      <c r="T1172" s="1" t="s">
        <v>107</v>
      </c>
    </row>
    <row r="1173" spans="1:20" x14ac:dyDescent="0.25">
      <c r="A1173" s="1" t="s">
        <v>3220</v>
      </c>
      <c r="B1173" s="2">
        <v>42008</v>
      </c>
      <c r="C1173" s="2">
        <v>42013</v>
      </c>
      <c r="D1173" s="1" t="s">
        <v>37</v>
      </c>
      <c r="E1173" s="1" t="s">
        <v>3132</v>
      </c>
      <c r="F1173" s="1" t="s">
        <v>3133</v>
      </c>
      <c r="G1173" s="1" t="s">
        <v>84</v>
      </c>
      <c r="H1173" s="1" t="s">
        <v>1968</v>
      </c>
      <c r="I1173" s="1" t="s">
        <v>707</v>
      </c>
      <c r="J1173" s="1" t="s">
        <v>27</v>
      </c>
      <c r="K1173" s="1" t="s">
        <v>1281</v>
      </c>
      <c r="L1173" s="1" t="s">
        <v>29</v>
      </c>
      <c r="M1173" s="1" t="s">
        <v>53</v>
      </c>
      <c r="N1173" s="1" t="s">
        <v>1282</v>
      </c>
      <c r="O1173">
        <v>192.22</v>
      </c>
      <c r="P1173">
        <v>14</v>
      </c>
      <c r="Q1173">
        <v>69.199200000000005</v>
      </c>
      <c r="R1173" s="1" t="s">
        <v>4422</v>
      </c>
      <c r="S1173">
        <v>2015</v>
      </c>
      <c r="T1173" s="1" t="s">
        <v>161</v>
      </c>
    </row>
    <row r="1174" spans="1:20" x14ac:dyDescent="0.25">
      <c r="A1174" s="1" t="s">
        <v>3221</v>
      </c>
      <c r="B1174" s="2">
        <v>42933</v>
      </c>
      <c r="C1174" s="2">
        <v>42935</v>
      </c>
      <c r="D1174" s="1" t="s">
        <v>21</v>
      </c>
      <c r="E1174" s="1" t="s">
        <v>778</v>
      </c>
      <c r="F1174" s="1" t="s">
        <v>779</v>
      </c>
      <c r="G1174" s="1" t="s">
        <v>84</v>
      </c>
      <c r="H1174" s="1" t="s">
        <v>3222</v>
      </c>
      <c r="I1174" s="1" t="s">
        <v>50</v>
      </c>
      <c r="J1174" s="1" t="s">
        <v>51</v>
      </c>
      <c r="K1174" s="1" t="s">
        <v>252</v>
      </c>
      <c r="L1174" s="1" t="s">
        <v>29</v>
      </c>
      <c r="M1174" s="1" t="s">
        <v>30</v>
      </c>
      <c r="N1174" s="1" t="s">
        <v>253</v>
      </c>
      <c r="O1174">
        <v>1194.165</v>
      </c>
      <c r="P1174">
        <v>5</v>
      </c>
      <c r="Q1174">
        <v>210.73500000000001</v>
      </c>
      <c r="R1174" s="1" t="s">
        <v>4423</v>
      </c>
      <c r="S1174">
        <v>2017</v>
      </c>
      <c r="T1174" s="1" t="s">
        <v>66</v>
      </c>
    </row>
    <row r="1175" spans="1:20" x14ac:dyDescent="0.25">
      <c r="A1175" s="1" t="s">
        <v>3223</v>
      </c>
      <c r="B1175" s="2">
        <v>42722</v>
      </c>
      <c r="C1175" s="2">
        <v>42725</v>
      </c>
      <c r="D1175" s="1" t="s">
        <v>81</v>
      </c>
      <c r="E1175" s="1" t="s">
        <v>1680</v>
      </c>
      <c r="F1175" s="1" t="s">
        <v>1681</v>
      </c>
      <c r="G1175" s="1" t="s">
        <v>94</v>
      </c>
      <c r="H1175" s="1" t="s">
        <v>3224</v>
      </c>
      <c r="I1175" s="1" t="s">
        <v>1508</v>
      </c>
      <c r="J1175" s="1" t="s">
        <v>51</v>
      </c>
      <c r="K1175" s="1" t="s">
        <v>1275</v>
      </c>
      <c r="L1175" s="1" t="s">
        <v>29</v>
      </c>
      <c r="M1175" s="1" t="s">
        <v>43</v>
      </c>
      <c r="N1175" s="1" t="s">
        <v>1276</v>
      </c>
      <c r="O1175">
        <v>377.45</v>
      </c>
      <c r="P1175">
        <v>5</v>
      </c>
      <c r="Q1175">
        <v>-264.21499999999997</v>
      </c>
      <c r="R1175" s="1" t="s">
        <v>4420</v>
      </c>
      <c r="S1175">
        <v>2016</v>
      </c>
      <c r="T1175" s="1" t="s">
        <v>90</v>
      </c>
    </row>
    <row r="1176" spans="1:20" x14ac:dyDescent="0.25">
      <c r="A1176" s="1" t="s">
        <v>3225</v>
      </c>
      <c r="B1176" s="2">
        <v>42637</v>
      </c>
      <c r="C1176" s="2">
        <v>42644</v>
      </c>
      <c r="D1176" s="1" t="s">
        <v>37</v>
      </c>
      <c r="E1176" s="1" t="s">
        <v>2995</v>
      </c>
      <c r="F1176" s="1" t="s">
        <v>2996</v>
      </c>
      <c r="G1176" s="1" t="s">
        <v>94</v>
      </c>
      <c r="H1176" s="1" t="s">
        <v>171</v>
      </c>
      <c r="I1176" s="1" t="s">
        <v>172</v>
      </c>
      <c r="J1176" s="1" t="s">
        <v>51</v>
      </c>
      <c r="K1176" s="1" t="s">
        <v>365</v>
      </c>
      <c r="L1176" s="1" t="s">
        <v>29</v>
      </c>
      <c r="M1176" s="1" t="s">
        <v>53</v>
      </c>
      <c r="N1176" s="1" t="s">
        <v>366</v>
      </c>
      <c r="O1176">
        <v>21.44</v>
      </c>
      <c r="P1176">
        <v>2</v>
      </c>
      <c r="Q1176">
        <v>7.5039999999999996</v>
      </c>
      <c r="R1176" s="1" t="s">
        <v>4421</v>
      </c>
      <c r="S1176">
        <v>2016</v>
      </c>
      <c r="T1176" s="1" t="s">
        <v>72</v>
      </c>
    </row>
    <row r="1177" spans="1:20" x14ac:dyDescent="0.25">
      <c r="A1177" s="1" t="s">
        <v>3226</v>
      </c>
      <c r="B1177" s="2">
        <v>42164</v>
      </c>
      <c r="C1177" s="2">
        <v>42166</v>
      </c>
      <c r="D1177" s="1" t="s">
        <v>21</v>
      </c>
      <c r="E1177" s="1" t="s">
        <v>3227</v>
      </c>
      <c r="F1177" s="1" t="s">
        <v>3228</v>
      </c>
      <c r="G1177" s="1" t="s">
        <v>24</v>
      </c>
      <c r="H1177" s="1" t="s">
        <v>3229</v>
      </c>
      <c r="I1177" s="1" t="s">
        <v>2271</v>
      </c>
      <c r="J1177" s="1" t="s">
        <v>51</v>
      </c>
      <c r="K1177" s="1" t="s">
        <v>3148</v>
      </c>
      <c r="L1177" s="1" t="s">
        <v>29</v>
      </c>
      <c r="M1177" s="1" t="s">
        <v>53</v>
      </c>
      <c r="N1177" s="1" t="s">
        <v>3149</v>
      </c>
      <c r="O1177">
        <v>355.36</v>
      </c>
      <c r="P1177">
        <v>4</v>
      </c>
      <c r="Q1177">
        <v>92.393600000000006</v>
      </c>
      <c r="R1177" s="1" t="s">
        <v>4423</v>
      </c>
      <c r="S1177">
        <v>2015</v>
      </c>
      <c r="T1177" s="1" t="s">
        <v>55</v>
      </c>
    </row>
    <row r="1178" spans="1:20" x14ac:dyDescent="0.25">
      <c r="A1178" s="1" t="s">
        <v>3230</v>
      </c>
      <c r="B1178" s="2">
        <v>42002</v>
      </c>
      <c r="C1178" s="2">
        <v>42009</v>
      </c>
      <c r="D1178" s="1" t="s">
        <v>37</v>
      </c>
      <c r="E1178" s="1" t="s">
        <v>834</v>
      </c>
      <c r="F1178" s="1" t="s">
        <v>835</v>
      </c>
      <c r="G1178" s="1" t="s">
        <v>24</v>
      </c>
      <c r="H1178" s="1" t="s">
        <v>125</v>
      </c>
      <c r="I1178" s="1" t="s">
        <v>126</v>
      </c>
      <c r="J1178" s="1" t="s">
        <v>87</v>
      </c>
      <c r="K1178" s="1" t="s">
        <v>2386</v>
      </c>
      <c r="L1178" s="1" t="s">
        <v>29</v>
      </c>
      <c r="M1178" s="1" t="s">
        <v>53</v>
      </c>
      <c r="N1178" s="1" t="s">
        <v>2387</v>
      </c>
      <c r="O1178">
        <v>38.975999999999999</v>
      </c>
      <c r="P1178">
        <v>3</v>
      </c>
      <c r="Q1178">
        <v>-50.668799999999997</v>
      </c>
      <c r="R1178" s="1" t="s">
        <v>4421</v>
      </c>
      <c r="S1178">
        <v>2014</v>
      </c>
      <c r="T1178" s="1" t="s">
        <v>90</v>
      </c>
    </row>
    <row r="1179" spans="1:20" x14ac:dyDescent="0.25">
      <c r="A1179" s="1" t="s">
        <v>3231</v>
      </c>
      <c r="B1179" s="2">
        <v>41848</v>
      </c>
      <c r="C1179" s="2">
        <v>41848</v>
      </c>
      <c r="D1179" s="1" t="s">
        <v>417</v>
      </c>
      <c r="E1179" s="1" t="s">
        <v>1350</v>
      </c>
      <c r="F1179" s="1" t="s">
        <v>1351</v>
      </c>
      <c r="G1179" s="1" t="s">
        <v>24</v>
      </c>
      <c r="H1179" s="1" t="s">
        <v>3232</v>
      </c>
      <c r="I1179" s="1" t="s">
        <v>41</v>
      </c>
      <c r="J1179" s="1" t="s">
        <v>27</v>
      </c>
      <c r="K1179" s="1" t="s">
        <v>1700</v>
      </c>
      <c r="L1179" s="1" t="s">
        <v>29</v>
      </c>
      <c r="M1179" s="1" t="s">
        <v>53</v>
      </c>
      <c r="N1179" s="1" t="s">
        <v>1701</v>
      </c>
      <c r="O1179">
        <v>129.88800000000001</v>
      </c>
      <c r="P1179">
        <v>6</v>
      </c>
      <c r="Q1179">
        <v>12.988799999999999</v>
      </c>
      <c r="R1179" s="1" t="s">
        <v>4427</v>
      </c>
      <c r="S1179">
        <v>2014</v>
      </c>
      <c r="T1179" s="1" t="s">
        <v>66</v>
      </c>
    </row>
    <row r="1180" spans="1:20" x14ac:dyDescent="0.25">
      <c r="A1180" s="1" t="s">
        <v>3233</v>
      </c>
      <c r="B1180" s="2">
        <v>42364</v>
      </c>
      <c r="C1180" s="2">
        <v>42369</v>
      </c>
      <c r="D1180" s="1" t="s">
        <v>37</v>
      </c>
      <c r="E1180" s="1" t="s">
        <v>3234</v>
      </c>
      <c r="F1180" s="1" t="s">
        <v>3235</v>
      </c>
      <c r="G1180" s="1" t="s">
        <v>94</v>
      </c>
      <c r="H1180" s="1" t="s">
        <v>95</v>
      </c>
      <c r="I1180" s="1" t="s">
        <v>86</v>
      </c>
      <c r="J1180" s="1" t="s">
        <v>87</v>
      </c>
      <c r="K1180" s="1" t="s">
        <v>3166</v>
      </c>
      <c r="L1180" s="1" t="s">
        <v>29</v>
      </c>
      <c r="M1180" s="1" t="s">
        <v>34</v>
      </c>
      <c r="N1180" s="1" t="s">
        <v>3167</v>
      </c>
      <c r="O1180">
        <v>275.05799999999999</v>
      </c>
      <c r="P1180">
        <v>3</v>
      </c>
      <c r="Q1180">
        <v>-90.376199999999997</v>
      </c>
      <c r="R1180" s="1" t="s">
        <v>4422</v>
      </c>
      <c r="S1180">
        <v>2015</v>
      </c>
      <c r="T1180" s="1" t="s">
        <v>90</v>
      </c>
    </row>
    <row r="1181" spans="1:20" x14ac:dyDescent="0.25">
      <c r="A1181" s="1" t="s">
        <v>3236</v>
      </c>
      <c r="B1181" s="2">
        <v>42348</v>
      </c>
      <c r="C1181" s="2">
        <v>42354</v>
      </c>
      <c r="D1181" s="1" t="s">
        <v>37</v>
      </c>
      <c r="E1181" s="1" t="s">
        <v>966</v>
      </c>
      <c r="F1181" s="1" t="s">
        <v>967</v>
      </c>
      <c r="G1181" s="1" t="s">
        <v>84</v>
      </c>
      <c r="H1181" s="1" t="s">
        <v>2745</v>
      </c>
      <c r="I1181" s="1" t="s">
        <v>1080</v>
      </c>
      <c r="J1181" s="1" t="s">
        <v>63</v>
      </c>
      <c r="K1181" s="1" t="s">
        <v>412</v>
      </c>
      <c r="L1181" s="1" t="s">
        <v>29</v>
      </c>
      <c r="M1181" s="1" t="s">
        <v>34</v>
      </c>
      <c r="N1181" s="1" t="s">
        <v>413</v>
      </c>
      <c r="O1181">
        <v>542.94000000000005</v>
      </c>
      <c r="P1181">
        <v>3</v>
      </c>
      <c r="Q1181">
        <v>141.1644</v>
      </c>
      <c r="R1181" s="1" t="s">
        <v>4426</v>
      </c>
      <c r="S1181">
        <v>2015</v>
      </c>
      <c r="T1181" s="1" t="s">
        <v>90</v>
      </c>
    </row>
    <row r="1182" spans="1:20" x14ac:dyDescent="0.25">
      <c r="A1182" s="1" t="s">
        <v>3237</v>
      </c>
      <c r="B1182" s="2">
        <v>42495</v>
      </c>
      <c r="C1182" s="2">
        <v>42497</v>
      </c>
      <c r="D1182" s="1" t="s">
        <v>21</v>
      </c>
      <c r="E1182" s="1" t="s">
        <v>3018</v>
      </c>
      <c r="F1182" s="1" t="s">
        <v>3019</v>
      </c>
      <c r="G1182" s="1" t="s">
        <v>24</v>
      </c>
      <c r="H1182" s="1" t="s">
        <v>320</v>
      </c>
      <c r="I1182" s="1" t="s">
        <v>50</v>
      </c>
      <c r="J1182" s="1" t="s">
        <v>51</v>
      </c>
      <c r="K1182" s="1" t="s">
        <v>1240</v>
      </c>
      <c r="L1182" s="1" t="s">
        <v>29</v>
      </c>
      <c r="M1182" s="1" t="s">
        <v>43</v>
      </c>
      <c r="N1182" s="1" t="s">
        <v>1241</v>
      </c>
      <c r="O1182">
        <v>71.087999999999994</v>
      </c>
      <c r="P1182">
        <v>2</v>
      </c>
      <c r="Q1182">
        <v>-1.7771999999999999</v>
      </c>
      <c r="R1182" s="1" t="s">
        <v>4423</v>
      </c>
      <c r="S1182">
        <v>2016</v>
      </c>
      <c r="T1182" s="1" t="s">
        <v>153</v>
      </c>
    </row>
    <row r="1183" spans="1:20" x14ac:dyDescent="0.25">
      <c r="A1183" s="1" t="s">
        <v>3238</v>
      </c>
      <c r="B1183" s="2">
        <v>41987</v>
      </c>
      <c r="C1183" s="2">
        <v>41994</v>
      </c>
      <c r="D1183" s="1" t="s">
        <v>37</v>
      </c>
      <c r="E1183" s="1" t="s">
        <v>3239</v>
      </c>
      <c r="F1183" s="1" t="s">
        <v>3240</v>
      </c>
      <c r="G1183" s="1" t="s">
        <v>24</v>
      </c>
      <c r="H1183" s="1" t="s">
        <v>1761</v>
      </c>
      <c r="I1183" s="1" t="s">
        <v>223</v>
      </c>
      <c r="J1183" s="1" t="s">
        <v>63</v>
      </c>
      <c r="K1183" s="1" t="s">
        <v>1874</v>
      </c>
      <c r="L1183" s="1" t="s">
        <v>29</v>
      </c>
      <c r="M1183" s="1" t="s">
        <v>43</v>
      </c>
      <c r="N1183" s="1" t="s">
        <v>1875</v>
      </c>
      <c r="O1183">
        <v>136.53</v>
      </c>
      <c r="P1183">
        <v>1</v>
      </c>
      <c r="Q1183">
        <v>-52.336500000000001</v>
      </c>
      <c r="R1183" s="1" t="s">
        <v>4421</v>
      </c>
      <c r="S1183">
        <v>2014</v>
      </c>
      <c r="T1183" s="1" t="s">
        <v>90</v>
      </c>
    </row>
    <row r="1184" spans="1:20" x14ac:dyDescent="0.25">
      <c r="A1184" s="1" t="s">
        <v>3241</v>
      </c>
      <c r="B1184" s="2">
        <v>42132</v>
      </c>
      <c r="C1184" s="2">
        <v>42139</v>
      </c>
      <c r="D1184" s="1" t="s">
        <v>37</v>
      </c>
      <c r="E1184" s="1" t="s">
        <v>2226</v>
      </c>
      <c r="F1184" s="1" t="s">
        <v>2227</v>
      </c>
      <c r="G1184" s="1" t="s">
        <v>24</v>
      </c>
      <c r="H1184" s="1" t="s">
        <v>165</v>
      </c>
      <c r="I1184" s="1" t="s">
        <v>114</v>
      </c>
      <c r="J1184" s="1" t="s">
        <v>63</v>
      </c>
      <c r="K1184" s="1" t="s">
        <v>934</v>
      </c>
      <c r="L1184" s="1" t="s">
        <v>29</v>
      </c>
      <c r="M1184" s="1" t="s">
        <v>53</v>
      </c>
      <c r="N1184" s="1" t="s">
        <v>935</v>
      </c>
      <c r="O1184">
        <v>79.44</v>
      </c>
      <c r="P1184">
        <v>3</v>
      </c>
      <c r="Q1184">
        <v>30.187200000000001</v>
      </c>
      <c r="R1184" s="1" t="s">
        <v>4421</v>
      </c>
      <c r="S1184">
        <v>2015</v>
      </c>
      <c r="T1184" s="1" t="s">
        <v>153</v>
      </c>
    </row>
    <row r="1185" spans="1:20" x14ac:dyDescent="0.25">
      <c r="A1185" s="1" t="s">
        <v>3241</v>
      </c>
      <c r="B1185" s="2">
        <v>42132</v>
      </c>
      <c r="C1185" s="2">
        <v>42139</v>
      </c>
      <c r="D1185" s="1" t="s">
        <v>37</v>
      </c>
      <c r="E1185" s="1" t="s">
        <v>2226</v>
      </c>
      <c r="F1185" s="1" t="s">
        <v>2227</v>
      </c>
      <c r="G1185" s="1" t="s">
        <v>24</v>
      </c>
      <c r="H1185" s="1" t="s">
        <v>165</v>
      </c>
      <c r="I1185" s="1" t="s">
        <v>114</v>
      </c>
      <c r="J1185" s="1" t="s">
        <v>63</v>
      </c>
      <c r="K1185" s="1" t="s">
        <v>581</v>
      </c>
      <c r="L1185" s="1" t="s">
        <v>29</v>
      </c>
      <c r="M1185" s="1" t="s">
        <v>34</v>
      </c>
      <c r="N1185" s="1" t="s">
        <v>582</v>
      </c>
      <c r="O1185">
        <v>127.764</v>
      </c>
      <c r="P1185">
        <v>2</v>
      </c>
      <c r="Q1185">
        <v>21.294</v>
      </c>
      <c r="R1185" s="1" t="s">
        <v>4421</v>
      </c>
      <c r="S1185">
        <v>2015</v>
      </c>
      <c r="T1185" s="1" t="s">
        <v>153</v>
      </c>
    </row>
    <row r="1186" spans="1:20" x14ac:dyDescent="0.25">
      <c r="A1186" s="1" t="s">
        <v>3242</v>
      </c>
      <c r="B1186" s="2">
        <v>43077</v>
      </c>
      <c r="C1186" s="2">
        <v>43082</v>
      </c>
      <c r="D1186" s="1" t="s">
        <v>37</v>
      </c>
      <c r="E1186" s="1" t="s">
        <v>523</v>
      </c>
      <c r="F1186" s="1" t="s">
        <v>524</v>
      </c>
      <c r="G1186" s="1" t="s">
        <v>24</v>
      </c>
      <c r="H1186" s="1" t="s">
        <v>1476</v>
      </c>
      <c r="I1186" s="1" t="s">
        <v>230</v>
      </c>
      <c r="J1186" s="1" t="s">
        <v>87</v>
      </c>
      <c r="K1186" s="1" t="s">
        <v>1467</v>
      </c>
      <c r="L1186" s="1" t="s">
        <v>29</v>
      </c>
      <c r="M1186" s="1" t="s">
        <v>30</v>
      </c>
      <c r="N1186" s="1" t="s">
        <v>1468</v>
      </c>
      <c r="O1186">
        <v>459.92</v>
      </c>
      <c r="P1186">
        <v>4</v>
      </c>
      <c r="Q1186">
        <v>41.392800000000001</v>
      </c>
      <c r="R1186" s="1" t="s">
        <v>4422</v>
      </c>
      <c r="S1186">
        <v>2017</v>
      </c>
      <c r="T1186" s="1" t="s">
        <v>90</v>
      </c>
    </row>
    <row r="1187" spans="1:20" x14ac:dyDescent="0.25">
      <c r="A1187" s="1" t="s">
        <v>3243</v>
      </c>
      <c r="B1187" s="2">
        <v>42915</v>
      </c>
      <c r="C1187" s="2">
        <v>42918</v>
      </c>
      <c r="D1187" s="1" t="s">
        <v>81</v>
      </c>
      <c r="E1187" s="1" t="s">
        <v>324</v>
      </c>
      <c r="F1187" s="1" t="s">
        <v>325</v>
      </c>
      <c r="G1187" s="1" t="s">
        <v>84</v>
      </c>
      <c r="H1187" s="1" t="s">
        <v>3244</v>
      </c>
      <c r="I1187" s="1" t="s">
        <v>421</v>
      </c>
      <c r="J1187" s="1" t="s">
        <v>63</v>
      </c>
      <c r="K1187" s="1" t="s">
        <v>2411</v>
      </c>
      <c r="L1187" s="1" t="s">
        <v>29</v>
      </c>
      <c r="M1187" s="1" t="s">
        <v>30</v>
      </c>
      <c r="N1187" s="1" t="s">
        <v>2412</v>
      </c>
      <c r="O1187">
        <v>638.82000000000005</v>
      </c>
      <c r="P1187">
        <v>9</v>
      </c>
      <c r="Q1187">
        <v>185.2578</v>
      </c>
      <c r="R1187" s="1" t="s">
        <v>4420</v>
      </c>
      <c r="S1187">
        <v>2017</v>
      </c>
      <c r="T1187" s="1" t="s">
        <v>55</v>
      </c>
    </row>
    <row r="1188" spans="1:20" x14ac:dyDescent="0.25">
      <c r="A1188" s="1" t="s">
        <v>3243</v>
      </c>
      <c r="B1188" s="2">
        <v>42915</v>
      </c>
      <c r="C1188" s="2">
        <v>42918</v>
      </c>
      <c r="D1188" s="1" t="s">
        <v>81</v>
      </c>
      <c r="E1188" s="1" t="s">
        <v>324</v>
      </c>
      <c r="F1188" s="1" t="s">
        <v>325</v>
      </c>
      <c r="G1188" s="1" t="s">
        <v>84</v>
      </c>
      <c r="H1188" s="1" t="s">
        <v>3244</v>
      </c>
      <c r="I1188" s="1" t="s">
        <v>421</v>
      </c>
      <c r="J1188" s="1" t="s">
        <v>63</v>
      </c>
      <c r="K1188" s="1" t="s">
        <v>1259</v>
      </c>
      <c r="L1188" s="1" t="s">
        <v>29</v>
      </c>
      <c r="M1188" s="1" t="s">
        <v>53</v>
      </c>
      <c r="N1188" s="1" t="s">
        <v>1260</v>
      </c>
      <c r="O1188">
        <v>25.16</v>
      </c>
      <c r="P1188">
        <v>2</v>
      </c>
      <c r="Q1188">
        <v>8.5543999999999993</v>
      </c>
      <c r="R1188" s="1" t="s">
        <v>4420</v>
      </c>
      <c r="S1188">
        <v>2017</v>
      </c>
      <c r="T1188" s="1" t="s">
        <v>55</v>
      </c>
    </row>
    <row r="1189" spans="1:20" x14ac:dyDescent="0.25">
      <c r="A1189" s="1" t="s">
        <v>3245</v>
      </c>
      <c r="B1189" s="2">
        <v>41659</v>
      </c>
      <c r="C1189" s="2">
        <v>41664</v>
      </c>
      <c r="D1189" s="1" t="s">
        <v>37</v>
      </c>
      <c r="E1189" s="1" t="s">
        <v>1782</v>
      </c>
      <c r="F1189" s="1" t="s">
        <v>1783</v>
      </c>
      <c r="G1189" s="1" t="s">
        <v>24</v>
      </c>
      <c r="H1189" s="1" t="s">
        <v>49</v>
      </c>
      <c r="I1189" s="1" t="s">
        <v>50</v>
      </c>
      <c r="J1189" s="1" t="s">
        <v>51</v>
      </c>
      <c r="K1189" s="1" t="s">
        <v>144</v>
      </c>
      <c r="L1189" s="1" t="s">
        <v>29</v>
      </c>
      <c r="M1189" s="1" t="s">
        <v>53</v>
      </c>
      <c r="N1189" s="1" t="s">
        <v>145</v>
      </c>
      <c r="O1189">
        <v>19.3</v>
      </c>
      <c r="P1189">
        <v>2</v>
      </c>
      <c r="Q1189">
        <v>5.79</v>
      </c>
      <c r="R1189" s="1" t="s">
        <v>4422</v>
      </c>
      <c r="S1189">
        <v>2014</v>
      </c>
      <c r="T1189" s="1" t="s">
        <v>161</v>
      </c>
    </row>
    <row r="1190" spans="1:20" x14ac:dyDescent="0.25">
      <c r="A1190" s="1" t="s">
        <v>3246</v>
      </c>
      <c r="B1190" s="2">
        <v>42822</v>
      </c>
      <c r="C1190" s="2">
        <v>42825</v>
      </c>
      <c r="D1190" s="1" t="s">
        <v>81</v>
      </c>
      <c r="E1190" s="1" t="s">
        <v>3247</v>
      </c>
      <c r="F1190" s="1" t="s">
        <v>3248</v>
      </c>
      <c r="G1190" s="1" t="s">
        <v>84</v>
      </c>
      <c r="H1190" s="1" t="s">
        <v>1571</v>
      </c>
      <c r="I1190" s="1" t="s">
        <v>50</v>
      </c>
      <c r="J1190" s="1" t="s">
        <v>51</v>
      </c>
      <c r="K1190" s="1" t="s">
        <v>934</v>
      </c>
      <c r="L1190" s="1" t="s">
        <v>29</v>
      </c>
      <c r="M1190" s="1" t="s">
        <v>53</v>
      </c>
      <c r="N1190" s="1" t="s">
        <v>935</v>
      </c>
      <c r="O1190">
        <v>26.48</v>
      </c>
      <c r="P1190">
        <v>1</v>
      </c>
      <c r="Q1190">
        <v>10.0624</v>
      </c>
      <c r="R1190" s="1" t="s">
        <v>4420</v>
      </c>
      <c r="S1190">
        <v>2017</v>
      </c>
      <c r="T1190" s="1" t="s">
        <v>187</v>
      </c>
    </row>
    <row r="1191" spans="1:20" x14ac:dyDescent="0.25">
      <c r="A1191" s="1" t="s">
        <v>3246</v>
      </c>
      <c r="B1191" s="2">
        <v>42822</v>
      </c>
      <c r="C1191" s="2">
        <v>42825</v>
      </c>
      <c r="D1191" s="1" t="s">
        <v>81</v>
      </c>
      <c r="E1191" s="1" t="s">
        <v>3247</v>
      </c>
      <c r="F1191" s="1" t="s">
        <v>3248</v>
      </c>
      <c r="G1191" s="1" t="s">
        <v>84</v>
      </c>
      <c r="H1191" s="1" t="s">
        <v>1571</v>
      </c>
      <c r="I1191" s="1" t="s">
        <v>50</v>
      </c>
      <c r="J1191" s="1" t="s">
        <v>51</v>
      </c>
      <c r="K1191" s="1" t="s">
        <v>2002</v>
      </c>
      <c r="L1191" s="1" t="s">
        <v>29</v>
      </c>
      <c r="M1191" s="1" t="s">
        <v>53</v>
      </c>
      <c r="N1191" s="1" t="s">
        <v>2003</v>
      </c>
      <c r="O1191">
        <v>21.56</v>
      </c>
      <c r="P1191">
        <v>7</v>
      </c>
      <c r="Q1191">
        <v>6.8992000000000004</v>
      </c>
      <c r="R1191" s="1" t="s">
        <v>4420</v>
      </c>
      <c r="S1191">
        <v>2017</v>
      </c>
      <c r="T1191" s="1" t="s">
        <v>187</v>
      </c>
    </row>
    <row r="1192" spans="1:20" x14ac:dyDescent="0.25">
      <c r="A1192" s="1" t="s">
        <v>3249</v>
      </c>
      <c r="B1192" s="2">
        <v>41789</v>
      </c>
      <c r="C1192" s="2">
        <v>41795</v>
      </c>
      <c r="D1192" s="1" t="s">
        <v>37</v>
      </c>
      <c r="E1192" s="1" t="s">
        <v>3003</v>
      </c>
      <c r="F1192" s="1" t="s">
        <v>3004</v>
      </c>
      <c r="G1192" s="1" t="s">
        <v>24</v>
      </c>
      <c r="H1192" s="1" t="s">
        <v>3250</v>
      </c>
      <c r="I1192" s="1" t="s">
        <v>126</v>
      </c>
      <c r="J1192" s="1" t="s">
        <v>87</v>
      </c>
      <c r="K1192" s="1" t="s">
        <v>56</v>
      </c>
      <c r="L1192" s="1" t="s">
        <v>29</v>
      </c>
      <c r="M1192" s="1" t="s">
        <v>43</v>
      </c>
      <c r="N1192" s="1" t="s">
        <v>57</v>
      </c>
      <c r="O1192">
        <v>355.45499999999998</v>
      </c>
      <c r="P1192">
        <v>3</v>
      </c>
      <c r="Q1192">
        <v>-184.8366</v>
      </c>
      <c r="R1192" s="1" t="s">
        <v>4426</v>
      </c>
      <c r="S1192">
        <v>2014</v>
      </c>
      <c r="T1192" s="1" t="s">
        <v>153</v>
      </c>
    </row>
    <row r="1193" spans="1:20" x14ac:dyDescent="0.25">
      <c r="A1193" s="1" t="s">
        <v>3251</v>
      </c>
      <c r="B1193" s="2">
        <v>42403</v>
      </c>
      <c r="C1193" s="2">
        <v>42410</v>
      </c>
      <c r="D1193" s="1" t="s">
        <v>37</v>
      </c>
      <c r="E1193" s="1" t="s">
        <v>2406</v>
      </c>
      <c r="F1193" s="1" t="s">
        <v>2407</v>
      </c>
      <c r="G1193" s="1" t="s">
        <v>24</v>
      </c>
      <c r="H1193" s="1" t="s">
        <v>626</v>
      </c>
      <c r="I1193" s="1" t="s">
        <v>26</v>
      </c>
      <c r="J1193" s="1" t="s">
        <v>27</v>
      </c>
      <c r="K1193" s="1" t="s">
        <v>470</v>
      </c>
      <c r="L1193" s="1" t="s">
        <v>29</v>
      </c>
      <c r="M1193" s="1" t="s">
        <v>34</v>
      </c>
      <c r="N1193" s="1" t="s">
        <v>471</v>
      </c>
      <c r="O1193">
        <v>866.4</v>
      </c>
      <c r="P1193">
        <v>4</v>
      </c>
      <c r="Q1193">
        <v>225.26400000000001</v>
      </c>
      <c r="R1193" s="1" t="s">
        <v>4421</v>
      </c>
      <c r="S1193">
        <v>2016</v>
      </c>
      <c r="T1193" s="1" t="s">
        <v>289</v>
      </c>
    </row>
    <row r="1194" spans="1:20" x14ac:dyDescent="0.25">
      <c r="A1194" s="1" t="s">
        <v>3252</v>
      </c>
      <c r="B1194" s="2">
        <v>42227</v>
      </c>
      <c r="C1194" s="2">
        <v>42232</v>
      </c>
      <c r="D1194" s="1" t="s">
        <v>37</v>
      </c>
      <c r="E1194" s="1" t="s">
        <v>3253</v>
      </c>
      <c r="F1194" s="1" t="s">
        <v>3254</v>
      </c>
      <c r="G1194" s="1" t="s">
        <v>24</v>
      </c>
      <c r="H1194" s="1" t="s">
        <v>2008</v>
      </c>
      <c r="I1194" s="1" t="s">
        <v>1027</v>
      </c>
      <c r="J1194" s="1" t="s">
        <v>27</v>
      </c>
      <c r="K1194" s="1" t="s">
        <v>1302</v>
      </c>
      <c r="L1194" s="1" t="s">
        <v>29</v>
      </c>
      <c r="M1194" s="1" t="s">
        <v>53</v>
      </c>
      <c r="N1194" s="1" t="s">
        <v>2013</v>
      </c>
      <c r="O1194">
        <v>46.152000000000001</v>
      </c>
      <c r="P1194">
        <v>3</v>
      </c>
      <c r="Q1194">
        <v>12.1149</v>
      </c>
      <c r="R1194" s="1" t="s">
        <v>4422</v>
      </c>
      <c r="S1194">
        <v>2015</v>
      </c>
      <c r="T1194" s="1" t="s">
        <v>245</v>
      </c>
    </row>
    <row r="1195" spans="1:20" x14ac:dyDescent="0.25">
      <c r="A1195" s="1" t="s">
        <v>3255</v>
      </c>
      <c r="B1195" s="2">
        <v>42959</v>
      </c>
      <c r="C1195" s="2">
        <v>42962</v>
      </c>
      <c r="D1195" s="1" t="s">
        <v>81</v>
      </c>
      <c r="E1195" s="1" t="s">
        <v>2158</v>
      </c>
      <c r="F1195" s="1" t="s">
        <v>2159</v>
      </c>
      <c r="G1195" s="1" t="s">
        <v>24</v>
      </c>
      <c r="H1195" s="1" t="s">
        <v>3256</v>
      </c>
      <c r="I1195" s="1" t="s">
        <v>50</v>
      </c>
      <c r="J1195" s="1" t="s">
        <v>51</v>
      </c>
      <c r="K1195" s="1" t="s">
        <v>1281</v>
      </c>
      <c r="L1195" s="1" t="s">
        <v>29</v>
      </c>
      <c r="M1195" s="1" t="s">
        <v>53</v>
      </c>
      <c r="N1195" s="1" t="s">
        <v>1282</v>
      </c>
      <c r="O1195">
        <v>54.92</v>
      </c>
      <c r="P1195">
        <v>4</v>
      </c>
      <c r="Q1195">
        <v>19.7712</v>
      </c>
      <c r="R1195" s="1" t="s">
        <v>4420</v>
      </c>
      <c r="S1195">
        <v>2017</v>
      </c>
      <c r="T1195" s="1" t="s">
        <v>245</v>
      </c>
    </row>
    <row r="1196" spans="1:20" x14ac:dyDescent="0.25">
      <c r="A1196" s="1" t="s">
        <v>3257</v>
      </c>
      <c r="B1196" s="2">
        <v>42311</v>
      </c>
      <c r="C1196" s="2">
        <v>42313</v>
      </c>
      <c r="D1196" s="1" t="s">
        <v>81</v>
      </c>
      <c r="E1196" s="1" t="s">
        <v>3258</v>
      </c>
      <c r="F1196" s="1" t="s">
        <v>3259</v>
      </c>
      <c r="G1196" s="1" t="s">
        <v>84</v>
      </c>
      <c r="H1196" s="1" t="s">
        <v>721</v>
      </c>
      <c r="I1196" s="1" t="s">
        <v>114</v>
      </c>
      <c r="J1196" s="1" t="s">
        <v>63</v>
      </c>
      <c r="K1196" s="1" t="s">
        <v>2540</v>
      </c>
      <c r="L1196" s="1" t="s">
        <v>29</v>
      </c>
      <c r="M1196" s="1" t="s">
        <v>34</v>
      </c>
      <c r="N1196" s="1" t="s">
        <v>2541</v>
      </c>
      <c r="O1196">
        <v>1448.82</v>
      </c>
      <c r="P1196">
        <v>10</v>
      </c>
      <c r="Q1196">
        <v>209.274</v>
      </c>
      <c r="R1196" s="1" t="s">
        <v>4423</v>
      </c>
      <c r="S1196">
        <v>2015</v>
      </c>
      <c r="T1196" s="1" t="s">
        <v>32</v>
      </c>
    </row>
    <row r="1197" spans="1:20" x14ac:dyDescent="0.25">
      <c r="A1197" s="1" t="s">
        <v>3260</v>
      </c>
      <c r="B1197" s="2">
        <v>42271</v>
      </c>
      <c r="C1197" s="2">
        <v>42275</v>
      </c>
      <c r="D1197" s="1" t="s">
        <v>37</v>
      </c>
      <c r="E1197" s="1" t="s">
        <v>3261</v>
      </c>
      <c r="F1197" s="1" t="s">
        <v>3262</v>
      </c>
      <c r="G1197" s="1" t="s">
        <v>84</v>
      </c>
      <c r="H1197" s="1" t="s">
        <v>49</v>
      </c>
      <c r="I1197" s="1" t="s">
        <v>50</v>
      </c>
      <c r="J1197" s="1" t="s">
        <v>51</v>
      </c>
      <c r="K1197" s="1" t="s">
        <v>641</v>
      </c>
      <c r="L1197" s="1" t="s">
        <v>29</v>
      </c>
      <c r="M1197" s="1" t="s">
        <v>53</v>
      </c>
      <c r="N1197" s="1" t="s">
        <v>642</v>
      </c>
      <c r="O1197">
        <v>14.91</v>
      </c>
      <c r="P1197">
        <v>3</v>
      </c>
      <c r="Q1197">
        <v>4.6220999999999997</v>
      </c>
      <c r="R1197" s="1" t="s">
        <v>4424</v>
      </c>
      <c r="S1197">
        <v>2015</v>
      </c>
      <c r="T1197" s="1" t="s">
        <v>72</v>
      </c>
    </row>
    <row r="1198" spans="1:20" x14ac:dyDescent="0.25">
      <c r="A1198" s="1" t="s">
        <v>3263</v>
      </c>
      <c r="B1198" s="2">
        <v>42472</v>
      </c>
      <c r="C1198" s="2">
        <v>42476</v>
      </c>
      <c r="D1198" s="1" t="s">
        <v>37</v>
      </c>
      <c r="E1198" s="1" t="s">
        <v>1198</v>
      </c>
      <c r="F1198" s="1" t="s">
        <v>1199</v>
      </c>
      <c r="G1198" s="1" t="s">
        <v>24</v>
      </c>
      <c r="H1198" s="1" t="s">
        <v>49</v>
      </c>
      <c r="I1198" s="1" t="s">
        <v>50</v>
      </c>
      <c r="J1198" s="1" t="s">
        <v>51</v>
      </c>
      <c r="K1198" s="1" t="s">
        <v>3207</v>
      </c>
      <c r="L1198" s="1" t="s">
        <v>29</v>
      </c>
      <c r="M1198" s="1" t="s">
        <v>34</v>
      </c>
      <c r="N1198" s="1" t="s">
        <v>3208</v>
      </c>
      <c r="O1198">
        <v>638.28800000000001</v>
      </c>
      <c r="P1198">
        <v>7</v>
      </c>
      <c r="Q1198">
        <v>-31.914400000000001</v>
      </c>
      <c r="R1198" s="1" t="s">
        <v>4424</v>
      </c>
      <c r="S1198">
        <v>2016</v>
      </c>
      <c r="T1198" s="1" t="s">
        <v>107</v>
      </c>
    </row>
    <row r="1199" spans="1:20" x14ac:dyDescent="0.25">
      <c r="A1199" s="1" t="s">
        <v>3264</v>
      </c>
      <c r="B1199" s="2">
        <v>41954</v>
      </c>
      <c r="C1199" s="2">
        <v>41961</v>
      </c>
      <c r="D1199" s="1" t="s">
        <v>37</v>
      </c>
      <c r="E1199" s="1" t="s">
        <v>1056</v>
      </c>
      <c r="F1199" s="1" t="s">
        <v>1057</v>
      </c>
      <c r="G1199" s="1" t="s">
        <v>24</v>
      </c>
      <c r="H1199" s="1" t="s">
        <v>49</v>
      </c>
      <c r="I1199" s="1" t="s">
        <v>50</v>
      </c>
      <c r="J1199" s="1" t="s">
        <v>51</v>
      </c>
      <c r="K1199" s="1" t="s">
        <v>1523</v>
      </c>
      <c r="L1199" s="1" t="s">
        <v>29</v>
      </c>
      <c r="M1199" s="1" t="s">
        <v>34</v>
      </c>
      <c r="N1199" s="1" t="s">
        <v>1524</v>
      </c>
      <c r="O1199">
        <v>112.648</v>
      </c>
      <c r="P1199">
        <v>1</v>
      </c>
      <c r="Q1199">
        <v>11.264799999999999</v>
      </c>
      <c r="R1199" s="1" t="s">
        <v>4421</v>
      </c>
      <c r="S1199">
        <v>2014</v>
      </c>
      <c r="T1199" s="1" t="s">
        <v>32</v>
      </c>
    </row>
    <row r="1200" spans="1:20" x14ac:dyDescent="0.25">
      <c r="A1200" s="1" t="s">
        <v>3265</v>
      </c>
      <c r="B1200" s="2">
        <v>43010</v>
      </c>
      <c r="C1200" s="2">
        <v>43016</v>
      </c>
      <c r="D1200" s="1" t="s">
        <v>37</v>
      </c>
      <c r="E1200" s="1" t="s">
        <v>3266</v>
      </c>
      <c r="F1200" s="1" t="s">
        <v>3267</v>
      </c>
      <c r="G1200" s="1" t="s">
        <v>24</v>
      </c>
      <c r="H1200" s="1" t="s">
        <v>869</v>
      </c>
      <c r="I1200" s="1" t="s">
        <v>1508</v>
      </c>
      <c r="J1200" s="1" t="s">
        <v>51</v>
      </c>
      <c r="K1200" s="1" t="s">
        <v>447</v>
      </c>
      <c r="L1200" s="1" t="s">
        <v>29</v>
      </c>
      <c r="M1200" s="1" t="s">
        <v>30</v>
      </c>
      <c r="N1200" s="1" t="s">
        <v>448</v>
      </c>
      <c r="O1200">
        <v>217.76400000000001</v>
      </c>
      <c r="P1200">
        <v>6</v>
      </c>
      <c r="Q1200">
        <v>-384.71640000000002</v>
      </c>
      <c r="R1200" s="1" t="s">
        <v>4426</v>
      </c>
      <c r="S1200">
        <v>2017</v>
      </c>
      <c r="T1200" s="1" t="s">
        <v>45</v>
      </c>
    </row>
    <row r="1201" spans="1:20" x14ac:dyDescent="0.25">
      <c r="A1201" s="1" t="s">
        <v>3268</v>
      </c>
      <c r="B1201" s="2">
        <v>42835</v>
      </c>
      <c r="C1201" s="2">
        <v>42839</v>
      </c>
      <c r="D1201" s="1" t="s">
        <v>21</v>
      </c>
      <c r="E1201" s="1" t="s">
        <v>3269</v>
      </c>
      <c r="F1201" s="1" t="s">
        <v>3270</v>
      </c>
      <c r="G1201" s="1" t="s">
        <v>84</v>
      </c>
      <c r="H1201" s="1" t="s">
        <v>597</v>
      </c>
      <c r="I1201" s="1" t="s">
        <v>41</v>
      </c>
      <c r="J1201" s="1" t="s">
        <v>27</v>
      </c>
      <c r="K1201" s="1" t="s">
        <v>2002</v>
      </c>
      <c r="L1201" s="1" t="s">
        <v>29</v>
      </c>
      <c r="M1201" s="1" t="s">
        <v>53</v>
      </c>
      <c r="N1201" s="1" t="s">
        <v>2003</v>
      </c>
      <c r="O1201">
        <v>12.32</v>
      </c>
      <c r="P1201">
        <v>5</v>
      </c>
      <c r="Q1201">
        <v>1.8480000000000001</v>
      </c>
      <c r="R1201" s="1" t="s">
        <v>4424</v>
      </c>
      <c r="S1201">
        <v>2017</v>
      </c>
      <c r="T1201" s="1" t="s">
        <v>107</v>
      </c>
    </row>
    <row r="1202" spans="1:20" x14ac:dyDescent="0.25">
      <c r="A1202" s="1" t="s">
        <v>3271</v>
      </c>
      <c r="B1202" s="2">
        <v>43007</v>
      </c>
      <c r="C1202" s="2">
        <v>43010</v>
      </c>
      <c r="D1202" s="1" t="s">
        <v>81</v>
      </c>
      <c r="E1202" s="1" t="s">
        <v>1109</v>
      </c>
      <c r="F1202" s="1" t="s">
        <v>1110</v>
      </c>
      <c r="G1202" s="1" t="s">
        <v>24</v>
      </c>
      <c r="H1202" s="1" t="s">
        <v>2076</v>
      </c>
      <c r="I1202" s="1" t="s">
        <v>50</v>
      </c>
      <c r="J1202" s="1" t="s">
        <v>51</v>
      </c>
      <c r="K1202" s="1" t="s">
        <v>1208</v>
      </c>
      <c r="L1202" s="1" t="s">
        <v>29</v>
      </c>
      <c r="M1202" s="1" t="s">
        <v>34</v>
      </c>
      <c r="N1202" s="1" t="s">
        <v>1209</v>
      </c>
      <c r="O1202">
        <v>72.784000000000006</v>
      </c>
      <c r="P1202">
        <v>1</v>
      </c>
      <c r="Q1202">
        <v>0</v>
      </c>
      <c r="R1202" s="1" t="s">
        <v>4420</v>
      </c>
      <c r="S1202">
        <v>2017</v>
      </c>
      <c r="T1202" s="1" t="s">
        <v>72</v>
      </c>
    </row>
    <row r="1203" spans="1:20" x14ac:dyDescent="0.25">
      <c r="A1203" s="1" t="s">
        <v>3271</v>
      </c>
      <c r="B1203" s="2">
        <v>43007</v>
      </c>
      <c r="C1203" s="2">
        <v>43010</v>
      </c>
      <c r="D1203" s="1" t="s">
        <v>81</v>
      </c>
      <c r="E1203" s="1" t="s">
        <v>1109</v>
      </c>
      <c r="F1203" s="1" t="s">
        <v>1110</v>
      </c>
      <c r="G1203" s="1" t="s">
        <v>24</v>
      </c>
      <c r="H1203" s="1" t="s">
        <v>2076</v>
      </c>
      <c r="I1203" s="1" t="s">
        <v>50</v>
      </c>
      <c r="J1203" s="1" t="s">
        <v>51</v>
      </c>
      <c r="K1203" s="1" t="s">
        <v>78</v>
      </c>
      <c r="L1203" s="1" t="s">
        <v>29</v>
      </c>
      <c r="M1203" s="1" t="s">
        <v>53</v>
      </c>
      <c r="N1203" s="1" t="s">
        <v>79</v>
      </c>
      <c r="O1203">
        <v>51.75</v>
      </c>
      <c r="P1203">
        <v>1</v>
      </c>
      <c r="Q1203">
        <v>15.525</v>
      </c>
      <c r="R1203" s="1" t="s">
        <v>4420</v>
      </c>
      <c r="S1203">
        <v>2017</v>
      </c>
      <c r="T1203" s="1" t="s">
        <v>72</v>
      </c>
    </row>
    <row r="1204" spans="1:20" x14ac:dyDescent="0.25">
      <c r="A1204" s="1" t="s">
        <v>3272</v>
      </c>
      <c r="B1204" s="2">
        <v>41911</v>
      </c>
      <c r="C1204" s="2">
        <v>41915</v>
      </c>
      <c r="D1204" s="1" t="s">
        <v>21</v>
      </c>
      <c r="E1204" s="1" t="s">
        <v>1187</v>
      </c>
      <c r="F1204" s="1" t="s">
        <v>1188</v>
      </c>
      <c r="G1204" s="1" t="s">
        <v>24</v>
      </c>
      <c r="H1204" s="1" t="s">
        <v>165</v>
      </c>
      <c r="I1204" s="1" t="s">
        <v>114</v>
      </c>
      <c r="J1204" s="1" t="s">
        <v>63</v>
      </c>
      <c r="K1204" s="1" t="s">
        <v>224</v>
      </c>
      <c r="L1204" s="1" t="s">
        <v>29</v>
      </c>
      <c r="M1204" s="1" t="s">
        <v>53</v>
      </c>
      <c r="N1204" s="1" t="s">
        <v>225</v>
      </c>
      <c r="O1204">
        <v>117.36</v>
      </c>
      <c r="P1204">
        <v>4</v>
      </c>
      <c r="Q1204">
        <v>36.381599999999999</v>
      </c>
      <c r="R1204" s="1" t="s">
        <v>4424</v>
      </c>
      <c r="S1204">
        <v>2014</v>
      </c>
      <c r="T1204" s="1" t="s">
        <v>72</v>
      </c>
    </row>
    <row r="1205" spans="1:20" x14ac:dyDescent="0.25">
      <c r="A1205" s="1" t="s">
        <v>3273</v>
      </c>
      <c r="B1205" s="2">
        <v>41871</v>
      </c>
      <c r="C1205" s="2">
        <v>41876</v>
      </c>
      <c r="D1205" s="1" t="s">
        <v>21</v>
      </c>
      <c r="E1205" s="1" t="s">
        <v>3274</v>
      </c>
      <c r="F1205" s="1" t="s">
        <v>3275</v>
      </c>
      <c r="G1205" s="1" t="s">
        <v>24</v>
      </c>
      <c r="H1205" s="1" t="s">
        <v>125</v>
      </c>
      <c r="I1205" s="1" t="s">
        <v>126</v>
      </c>
      <c r="J1205" s="1" t="s">
        <v>87</v>
      </c>
      <c r="K1205" s="1" t="s">
        <v>2325</v>
      </c>
      <c r="L1205" s="1" t="s">
        <v>29</v>
      </c>
      <c r="M1205" s="1" t="s">
        <v>34</v>
      </c>
      <c r="N1205" s="1" t="s">
        <v>2326</v>
      </c>
      <c r="O1205">
        <v>421.37200000000001</v>
      </c>
      <c r="P1205">
        <v>2</v>
      </c>
      <c r="Q1205">
        <v>-6.0195999999999996</v>
      </c>
      <c r="R1205" s="1" t="s">
        <v>4422</v>
      </c>
      <c r="S1205">
        <v>2014</v>
      </c>
      <c r="T1205" s="1" t="s">
        <v>245</v>
      </c>
    </row>
    <row r="1206" spans="1:20" x14ac:dyDescent="0.25">
      <c r="A1206" s="1" t="s">
        <v>3276</v>
      </c>
      <c r="B1206" s="2">
        <v>43052</v>
      </c>
      <c r="C1206" s="2">
        <v>43058</v>
      </c>
      <c r="D1206" s="1" t="s">
        <v>37</v>
      </c>
      <c r="E1206" s="1" t="s">
        <v>2583</v>
      </c>
      <c r="F1206" s="1" t="s">
        <v>2584</v>
      </c>
      <c r="G1206" s="1" t="s">
        <v>84</v>
      </c>
      <c r="H1206" s="1" t="s">
        <v>1730</v>
      </c>
      <c r="I1206" s="1" t="s">
        <v>86</v>
      </c>
      <c r="J1206" s="1" t="s">
        <v>87</v>
      </c>
      <c r="K1206" s="1" t="s">
        <v>889</v>
      </c>
      <c r="L1206" s="1" t="s">
        <v>29</v>
      </c>
      <c r="M1206" s="1" t="s">
        <v>30</v>
      </c>
      <c r="N1206" s="1" t="s">
        <v>890</v>
      </c>
      <c r="O1206">
        <v>205.9992</v>
      </c>
      <c r="P1206">
        <v>3</v>
      </c>
      <c r="Q1206">
        <v>-27.264600000000002</v>
      </c>
      <c r="R1206" s="1" t="s">
        <v>4426</v>
      </c>
      <c r="S1206">
        <v>2017</v>
      </c>
      <c r="T1206" s="1" t="s">
        <v>32</v>
      </c>
    </row>
    <row r="1207" spans="1:20" x14ac:dyDescent="0.25">
      <c r="A1207" s="1" t="s">
        <v>3277</v>
      </c>
      <c r="B1207" s="2">
        <v>42406</v>
      </c>
      <c r="C1207" s="2">
        <v>42411</v>
      </c>
      <c r="D1207" s="1" t="s">
        <v>37</v>
      </c>
      <c r="E1207" s="1" t="s">
        <v>569</v>
      </c>
      <c r="F1207" s="1" t="s">
        <v>570</v>
      </c>
      <c r="G1207" s="1" t="s">
        <v>84</v>
      </c>
      <c r="H1207" s="1" t="s">
        <v>2260</v>
      </c>
      <c r="I1207" s="1" t="s">
        <v>133</v>
      </c>
      <c r="J1207" s="1" t="s">
        <v>27</v>
      </c>
      <c r="K1207" s="1" t="s">
        <v>587</v>
      </c>
      <c r="L1207" s="1" t="s">
        <v>29</v>
      </c>
      <c r="M1207" s="1" t="s">
        <v>53</v>
      </c>
      <c r="N1207" s="1" t="s">
        <v>588</v>
      </c>
      <c r="O1207">
        <v>132.22399999999999</v>
      </c>
      <c r="P1207">
        <v>4</v>
      </c>
      <c r="Q1207">
        <v>-18.180800000000001</v>
      </c>
      <c r="R1207" s="1" t="s">
        <v>4422</v>
      </c>
      <c r="S1207">
        <v>2016</v>
      </c>
      <c r="T1207" s="1" t="s">
        <v>289</v>
      </c>
    </row>
    <row r="1208" spans="1:20" x14ac:dyDescent="0.25">
      <c r="A1208" s="1" t="s">
        <v>3278</v>
      </c>
      <c r="B1208" s="2">
        <v>42085</v>
      </c>
      <c r="C1208" s="2">
        <v>42089</v>
      </c>
      <c r="D1208" s="1" t="s">
        <v>37</v>
      </c>
      <c r="E1208" s="1" t="s">
        <v>666</v>
      </c>
      <c r="F1208" s="1" t="s">
        <v>667</v>
      </c>
      <c r="G1208" s="1" t="s">
        <v>84</v>
      </c>
      <c r="H1208" s="1" t="s">
        <v>630</v>
      </c>
      <c r="I1208" s="1" t="s">
        <v>50</v>
      </c>
      <c r="J1208" s="1" t="s">
        <v>51</v>
      </c>
      <c r="K1208" s="1" t="s">
        <v>3279</v>
      </c>
      <c r="L1208" s="1" t="s">
        <v>29</v>
      </c>
      <c r="M1208" s="1" t="s">
        <v>53</v>
      </c>
      <c r="N1208" s="1" t="s">
        <v>3280</v>
      </c>
      <c r="O1208">
        <v>91.96</v>
      </c>
      <c r="P1208">
        <v>2</v>
      </c>
      <c r="Q1208">
        <v>15.6332</v>
      </c>
      <c r="R1208" s="1" t="s">
        <v>4424</v>
      </c>
      <c r="S1208">
        <v>2015</v>
      </c>
      <c r="T1208" s="1" t="s">
        <v>187</v>
      </c>
    </row>
    <row r="1209" spans="1:20" x14ac:dyDescent="0.25">
      <c r="A1209" s="1" t="s">
        <v>3281</v>
      </c>
      <c r="B1209" s="2">
        <v>42867</v>
      </c>
      <c r="C1209" s="2">
        <v>42873</v>
      </c>
      <c r="D1209" s="1" t="s">
        <v>37</v>
      </c>
      <c r="E1209" s="1" t="s">
        <v>2661</v>
      </c>
      <c r="F1209" s="1" t="s">
        <v>2662</v>
      </c>
      <c r="G1209" s="1" t="s">
        <v>84</v>
      </c>
      <c r="H1209" s="1" t="s">
        <v>320</v>
      </c>
      <c r="I1209" s="1" t="s">
        <v>50</v>
      </c>
      <c r="J1209" s="1" t="s">
        <v>51</v>
      </c>
      <c r="K1209" s="1" t="s">
        <v>898</v>
      </c>
      <c r="L1209" s="1" t="s">
        <v>29</v>
      </c>
      <c r="M1209" s="1" t="s">
        <v>43</v>
      </c>
      <c r="N1209" s="1" t="s">
        <v>899</v>
      </c>
      <c r="O1209">
        <v>285.48</v>
      </c>
      <c r="P1209">
        <v>5</v>
      </c>
      <c r="Q1209">
        <v>-10.705500000000001</v>
      </c>
      <c r="R1209" s="1" t="s">
        <v>4426</v>
      </c>
      <c r="S1209">
        <v>2017</v>
      </c>
      <c r="T1209" s="1" t="s">
        <v>153</v>
      </c>
    </row>
    <row r="1210" spans="1:20" x14ac:dyDescent="0.25">
      <c r="A1210" s="1" t="s">
        <v>3282</v>
      </c>
      <c r="B1210" s="2">
        <v>42981</v>
      </c>
      <c r="C1210" s="2">
        <v>42984</v>
      </c>
      <c r="D1210" s="1" t="s">
        <v>21</v>
      </c>
      <c r="E1210" s="1" t="s">
        <v>3283</v>
      </c>
      <c r="F1210" s="1" t="s">
        <v>3284</v>
      </c>
      <c r="G1210" s="1" t="s">
        <v>94</v>
      </c>
      <c r="H1210" s="1" t="s">
        <v>165</v>
      </c>
      <c r="I1210" s="1" t="s">
        <v>114</v>
      </c>
      <c r="J1210" s="1" t="s">
        <v>63</v>
      </c>
      <c r="K1210" s="1" t="s">
        <v>3008</v>
      </c>
      <c r="L1210" s="1" t="s">
        <v>29</v>
      </c>
      <c r="M1210" s="1" t="s">
        <v>34</v>
      </c>
      <c r="N1210" s="1" t="s">
        <v>3009</v>
      </c>
      <c r="O1210">
        <v>90.801000000000002</v>
      </c>
      <c r="P1210">
        <v>1</v>
      </c>
      <c r="Q1210">
        <v>14.124599999999999</v>
      </c>
      <c r="R1210" s="1" t="s">
        <v>4420</v>
      </c>
      <c r="S1210">
        <v>2017</v>
      </c>
      <c r="T1210" s="1" t="s">
        <v>72</v>
      </c>
    </row>
    <row r="1211" spans="1:20" x14ac:dyDescent="0.25">
      <c r="A1211" s="1" t="s">
        <v>3282</v>
      </c>
      <c r="B1211" s="2">
        <v>42981</v>
      </c>
      <c r="C1211" s="2">
        <v>42984</v>
      </c>
      <c r="D1211" s="1" t="s">
        <v>21</v>
      </c>
      <c r="E1211" s="1" t="s">
        <v>3283</v>
      </c>
      <c r="F1211" s="1" t="s">
        <v>3284</v>
      </c>
      <c r="G1211" s="1" t="s">
        <v>94</v>
      </c>
      <c r="H1211" s="1" t="s">
        <v>165</v>
      </c>
      <c r="I1211" s="1" t="s">
        <v>114</v>
      </c>
      <c r="J1211" s="1" t="s">
        <v>63</v>
      </c>
      <c r="K1211" s="1" t="s">
        <v>287</v>
      </c>
      <c r="L1211" s="1" t="s">
        <v>29</v>
      </c>
      <c r="M1211" s="1" t="s">
        <v>34</v>
      </c>
      <c r="N1211" s="1" t="s">
        <v>288</v>
      </c>
      <c r="O1211">
        <v>181.76400000000001</v>
      </c>
      <c r="P1211">
        <v>2</v>
      </c>
      <c r="Q1211">
        <v>-8.0784000000000002</v>
      </c>
      <c r="R1211" s="1" t="s">
        <v>4420</v>
      </c>
      <c r="S1211">
        <v>2017</v>
      </c>
      <c r="T1211" s="1" t="s">
        <v>72</v>
      </c>
    </row>
    <row r="1212" spans="1:20" x14ac:dyDescent="0.25">
      <c r="A1212" s="1" t="s">
        <v>3285</v>
      </c>
      <c r="B1212" s="2">
        <v>42707</v>
      </c>
      <c r="C1212" s="2">
        <v>42711</v>
      </c>
      <c r="D1212" s="1" t="s">
        <v>37</v>
      </c>
      <c r="E1212" s="1" t="s">
        <v>1406</v>
      </c>
      <c r="F1212" s="1" t="s">
        <v>1407</v>
      </c>
      <c r="G1212" s="1" t="s">
        <v>24</v>
      </c>
      <c r="H1212" s="1" t="s">
        <v>626</v>
      </c>
      <c r="I1212" s="1" t="s">
        <v>104</v>
      </c>
      <c r="J1212" s="1" t="s">
        <v>87</v>
      </c>
      <c r="K1212" s="1" t="s">
        <v>402</v>
      </c>
      <c r="L1212" s="1" t="s">
        <v>29</v>
      </c>
      <c r="M1212" s="1" t="s">
        <v>43</v>
      </c>
      <c r="N1212" s="1" t="s">
        <v>403</v>
      </c>
      <c r="O1212">
        <v>581.96</v>
      </c>
      <c r="P1212">
        <v>2</v>
      </c>
      <c r="Q1212">
        <v>104.75279999999999</v>
      </c>
      <c r="R1212" s="1" t="s">
        <v>4424</v>
      </c>
      <c r="S1212">
        <v>2016</v>
      </c>
      <c r="T1212" s="1" t="s">
        <v>90</v>
      </c>
    </row>
    <row r="1213" spans="1:20" x14ac:dyDescent="0.25">
      <c r="A1213" s="1" t="s">
        <v>3285</v>
      </c>
      <c r="B1213" s="2">
        <v>42707</v>
      </c>
      <c r="C1213" s="2">
        <v>42711</v>
      </c>
      <c r="D1213" s="1" t="s">
        <v>37</v>
      </c>
      <c r="E1213" s="1" t="s">
        <v>1406</v>
      </c>
      <c r="F1213" s="1" t="s">
        <v>1407</v>
      </c>
      <c r="G1213" s="1" t="s">
        <v>24</v>
      </c>
      <c r="H1213" s="1" t="s">
        <v>626</v>
      </c>
      <c r="I1213" s="1" t="s">
        <v>104</v>
      </c>
      <c r="J1213" s="1" t="s">
        <v>87</v>
      </c>
      <c r="K1213" s="1" t="s">
        <v>1504</v>
      </c>
      <c r="L1213" s="1" t="s">
        <v>29</v>
      </c>
      <c r="M1213" s="1" t="s">
        <v>34</v>
      </c>
      <c r="N1213" s="1" t="s">
        <v>1505</v>
      </c>
      <c r="O1213">
        <v>29.98</v>
      </c>
      <c r="P1213">
        <v>1</v>
      </c>
      <c r="Q1213">
        <v>8.0945999999999998</v>
      </c>
      <c r="R1213" s="1" t="s">
        <v>4424</v>
      </c>
      <c r="S1213">
        <v>2016</v>
      </c>
      <c r="T1213" s="1" t="s">
        <v>90</v>
      </c>
    </row>
    <row r="1214" spans="1:20" x14ac:dyDescent="0.25">
      <c r="A1214" s="1" t="s">
        <v>3286</v>
      </c>
      <c r="B1214" s="2">
        <v>42572</v>
      </c>
      <c r="C1214" s="2">
        <v>42577</v>
      </c>
      <c r="D1214" s="1" t="s">
        <v>37</v>
      </c>
      <c r="E1214" s="1" t="s">
        <v>1198</v>
      </c>
      <c r="F1214" s="1" t="s">
        <v>1199</v>
      </c>
      <c r="G1214" s="1" t="s">
        <v>24</v>
      </c>
      <c r="H1214" s="1" t="s">
        <v>500</v>
      </c>
      <c r="I1214" s="1" t="s">
        <v>1027</v>
      </c>
      <c r="J1214" s="1" t="s">
        <v>27</v>
      </c>
      <c r="K1214" s="1" t="s">
        <v>1208</v>
      </c>
      <c r="L1214" s="1" t="s">
        <v>29</v>
      </c>
      <c r="M1214" s="1" t="s">
        <v>34</v>
      </c>
      <c r="N1214" s="1" t="s">
        <v>1209</v>
      </c>
      <c r="O1214">
        <v>363.92</v>
      </c>
      <c r="P1214">
        <v>5</v>
      </c>
      <c r="Q1214">
        <v>0</v>
      </c>
      <c r="R1214" s="1" t="s">
        <v>4422</v>
      </c>
      <c r="S1214">
        <v>2016</v>
      </c>
      <c r="T1214" s="1" t="s">
        <v>66</v>
      </c>
    </row>
    <row r="1215" spans="1:20" x14ac:dyDescent="0.25">
      <c r="A1215" s="1" t="s">
        <v>3287</v>
      </c>
      <c r="B1215" s="2">
        <v>42269</v>
      </c>
      <c r="C1215" s="2">
        <v>42273</v>
      </c>
      <c r="D1215" s="1" t="s">
        <v>21</v>
      </c>
      <c r="E1215" s="1" t="s">
        <v>2476</v>
      </c>
      <c r="F1215" s="1" t="s">
        <v>2477</v>
      </c>
      <c r="G1215" s="1" t="s">
        <v>94</v>
      </c>
      <c r="H1215" s="1" t="s">
        <v>680</v>
      </c>
      <c r="I1215" s="1" t="s">
        <v>707</v>
      </c>
      <c r="J1215" s="1" t="s">
        <v>27</v>
      </c>
      <c r="K1215" s="1" t="s">
        <v>1171</v>
      </c>
      <c r="L1215" s="1" t="s">
        <v>29</v>
      </c>
      <c r="M1215" s="1" t="s">
        <v>53</v>
      </c>
      <c r="N1215" s="1" t="s">
        <v>1172</v>
      </c>
      <c r="O1215">
        <v>47.98</v>
      </c>
      <c r="P1215">
        <v>2</v>
      </c>
      <c r="Q1215">
        <v>11.035399999999999</v>
      </c>
      <c r="R1215" s="1" t="s">
        <v>4424</v>
      </c>
      <c r="S1215">
        <v>2015</v>
      </c>
      <c r="T1215" s="1" t="s">
        <v>72</v>
      </c>
    </row>
    <row r="1216" spans="1:20" x14ac:dyDescent="0.25">
      <c r="A1216" s="1" t="s">
        <v>3288</v>
      </c>
      <c r="B1216" s="2">
        <v>42325</v>
      </c>
      <c r="C1216" s="2">
        <v>42329</v>
      </c>
      <c r="D1216" s="1" t="s">
        <v>37</v>
      </c>
      <c r="E1216" s="1" t="s">
        <v>3289</v>
      </c>
      <c r="F1216" s="1" t="s">
        <v>3290</v>
      </c>
      <c r="G1216" s="1" t="s">
        <v>24</v>
      </c>
      <c r="H1216" s="1" t="s">
        <v>630</v>
      </c>
      <c r="I1216" s="1" t="s">
        <v>50</v>
      </c>
      <c r="J1216" s="1" t="s">
        <v>51</v>
      </c>
      <c r="K1216" s="1" t="s">
        <v>2956</v>
      </c>
      <c r="L1216" s="1" t="s">
        <v>29</v>
      </c>
      <c r="M1216" s="1" t="s">
        <v>53</v>
      </c>
      <c r="N1216" s="1" t="s">
        <v>2957</v>
      </c>
      <c r="O1216">
        <v>80.959999999999994</v>
      </c>
      <c r="P1216">
        <v>4</v>
      </c>
      <c r="Q1216">
        <v>29.145600000000002</v>
      </c>
      <c r="R1216" s="1" t="s">
        <v>4424</v>
      </c>
      <c r="S1216">
        <v>2015</v>
      </c>
      <c r="T1216" s="1" t="s">
        <v>32</v>
      </c>
    </row>
    <row r="1217" spans="1:20" x14ac:dyDescent="0.25">
      <c r="A1217" s="1" t="s">
        <v>3288</v>
      </c>
      <c r="B1217" s="2">
        <v>42325</v>
      </c>
      <c r="C1217" s="2">
        <v>42329</v>
      </c>
      <c r="D1217" s="1" t="s">
        <v>37</v>
      </c>
      <c r="E1217" s="1" t="s">
        <v>3289</v>
      </c>
      <c r="F1217" s="1" t="s">
        <v>3290</v>
      </c>
      <c r="G1217" s="1" t="s">
        <v>24</v>
      </c>
      <c r="H1217" s="1" t="s">
        <v>630</v>
      </c>
      <c r="I1217" s="1" t="s">
        <v>50</v>
      </c>
      <c r="J1217" s="1" t="s">
        <v>51</v>
      </c>
      <c r="K1217" s="1" t="s">
        <v>1132</v>
      </c>
      <c r="L1217" s="1" t="s">
        <v>29</v>
      </c>
      <c r="M1217" s="1" t="s">
        <v>34</v>
      </c>
      <c r="N1217" s="1" t="s">
        <v>1133</v>
      </c>
      <c r="O1217">
        <v>225.56800000000001</v>
      </c>
      <c r="P1217">
        <v>2</v>
      </c>
      <c r="Q1217">
        <v>2.8195999999999999</v>
      </c>
      <c r="R1217" s="1" t="s">
        <v>4424</v>
      </c>
      <c r="S1217">
        <v>2015</v>
      </c>
      <c r="T1217" s="1" t="s">
        <v>32</v>
      </c>
    </row>
    <row r="1218" spans="1:20" x14ac:dyDescent="0.25">
      <c r="A1218" s="1" t="s">
        <v>3288</v>
      </c>
      <c r="B1218" s="2">
        <v>42325</v>
      </c>
      <c r="C1218" s="2">
        <v>42329</v>
      </c>
      <c r="D1218" s="1" t="s">
        <v>37</v>
      </c>
      <c r="E1218" s="1" t="s">
        <v>3289</v>
      </c>
      <c r="F1218" s="1" t="s">
        <v>3290</v>
      </c>
      <c r="G1218" s="1" t="s">
        <v>24</v>
      </c>
      <c r="H1218" s="1" t="s">
        <v>630</v>
      </c>
      <c r="I1218" s="1" t="s">
        <v>50</v>
      </c>
      <c r="J1218" s="1" t="s">
        <v>51</v>
      </c>
      <c r="K1218" s="1" t="s">
        <v>1473</v>
      </c>
      <c r="L1218" s="1" t="s">
        <v>29</v>
      </c>
      <c r="M1218" s="1" t="s">
        <v>53</v>
      </c>
      <c r="N1218" s="1" t="s">
        <v>1474</v>
      </c>
      <c r="O1218">
        <v>36.6</v>
      </c>
      <c r="P1218">
        <v>3</v>
      </c>
      <c r="Q1218">
        <v>15.372</v>
      </c>
      <c r="R1218" s="1" t="s">
        <v>4424</v>
      </c>
      <c r="S1218">
        <v>2015</v>
      </c>
      <c r="T1218" s="1" t="s">
        <v>32</v>
      </c>
    </row>
    <row r="1219" spans="1:20" x14ac:dyDescent="0.25">
      <c r="A1219" s="1" t="s">
        <v>3291</v>
      </c>
      <c r="B1219" s="2">
        <v>42318</v>
      </c>
      <c r="C1219" s="2">
        <v>42322</v>
      </c>
      <c r="D1219" s="1" t="s">
        <v>37</v>
      </c>
      <c r="E1219" s="1" t="s">
        <v>3292</v>
      </c>
      <c r="F1219" s="1" t="s">
        <v>3293</v>
      </c>
      <c r="G1219" s="1" t="s">
        <v>94</v>
      </c>
      <c r="H1219" s="1" t="s">
        <v>215</v>
      </c>
      <c r="I1219" s="1" t="s">
        <v>158</v>
      </c>
      <c r="J1219" s="1" t="s">
        <v>87</v>
      </c>
      <c r="K1219" s="1" t="s">
        <v>307</v>
      </c>
      <c r="L1219" s="1" t="s">
        <v>29</v>
      </c>
      <c r="M1219" s="1" t="s">
        <v>53</v>
      </c>
      <c r="N1219" s="1" t="s">
        <v>308</v>
      </c>
      <c r="O1219">
        <v>29.22</v>
      </c>
      <c r="P1219">
        <v>3</v>
      </c>
      <c r="Q1219">
        <v>12.8568</v>
      </c>
      <c r="R1219" s="1" t="s">
        <v>4424</v>
      </c>
      <c r="S1219">
        <v>2015</v>
      </c>
      <c r="T1219" s="1" t="s">
        <v>32</v>
      </c>
    </row>
    <row r="1220" spans="1:20" x14ac:dyDescent="0.25">
      <c r="A1220" s="1" t="s">
        <v>3294</v>
      </c>
      <c r="B1220" s="2">
        <v>42221</v>
      </c>
      <c r="C1220" s="2">
        <v>42227</v>
      </c>
      <c r="D1220" s="1" t="s">
        <v>37</v>
      </c>
      <c r="E1220" s="1" t="s">
        <v>2567</v>
      </c>
      <c r="F1220" s="1" t="s">
        <v>2568</v>
      </c>
      <c r="G1220" s="1" t="s">
        <v>84</v>
      </c>
      <c r="H1220" s="1" t="s">
        <v>1730</v>
      </c>
      <c r="I1220" s="1" t="s">
        <v>86</v>
      </c>
      <c r="J1220" s="1" t="s">
        <v>87</v>
      </c>
      <c r="K1220" s="1" t="s">
        <v>1709</v>
      </c>
      <c r="L1220" s="1" t="s">
        <v>29</v>
      </c>
      <c r="M1220" s="1" t="s">
        <v>53</v>
      </c>
      <c r="N1220" s="1" t="s">
        <v>1710</v>
      </c>
      <c r="O1220">
        <v>14.76</v>
      </c>
      <c r="P1220">
        <v>5</v>
      </c>
      <c r="Q1220">
        <v>-11.439</v>
      </c>
      <c r="R1220" s="1" t="s">
        <v>4426</v>
      </c>
      <c r="S1220">
        <v>2015</v>
      </c>
      <c r="T1220" s="1" t="s">
        <v>245</v>
      </c>
    </row>
    <row r="1221" spans="1:20" x14ac:dyDescent="0.25">
      <c r="A1221" s="1" t="s">
        <v>3295</v>
      </c>
      <c r="B1221" s="2">
        <v>42981</v>
      </c>
      <c r="C1221" s="2">
        <v>42985</v>
      </c>
      <c r="D1221" s="1" t="s">
        <v>21</v>
      </c>
      <c r="E1221" s="1" t="s">
        <v>2828</v>
      </c>
      <c r="F1221" s="1" t="s">
        <v>2829</v>
      </c>
      <c r="G1221" s="1" t="s">
        <v>24</v>
      </c>
      <c r="H1221" s="1" t="s">
        <v>500</v>
      </c>
      <c r="I1221" s="1" t="s">
        <v>50</v>
      </c>
      <c r="J1221" s="1" t="s">
        <v>51</v>
      </c>
      <c r="K1221" s="1" t="s">
        <v>2613</v>
      </c>
      <c r="L1221" s="1" t="s">
        <v>29</v>
      </c>
      <c r="M1221" s="1" t="s">
        <v>30</v>
      </c>
      <c r="N1221" s="1" t="s">
        <v>2614</v>
      </c>
      <c r="O1221">
        <v>239.666</v>
      </c>
      <c r="P1221">
        <v>2</v>
      </c>
      <c r="Q1221">
        <v>14.098000000000001</v>
      </c>
      <c r="R1221" s="1" t="s">
        <v>4424</v>
      </c>
      <c r="S1221">
        <v>2017</v>
      </c>
      <c r="T1221" s="1" t="s">
        <v>72</v>
      </c>
    </row>
    <row r="1222" spans="1:20" x14ac:dyDescent="0.25">
      <c r="A1222" s="1" t="s">
        <v>3296</v>
      </c>
      <c r="B1222" s="2">
        <v>42309</v>
      </c>
      <c r="C1222" s="2">
        <v>42316</v>
      </c>
      <c r="D1222" s="1" t="s">
        <v>37</v>
      </c>
      <c r="E1222" s="1" t="s">
        <v>2061</v>
      </c>
      <c r="F1222" s="1" t="s">
        <v>2062</v>
      </c>
      <c r="G1222" s="1" t="s">
        <v>24</v>
      </c>
      <c r="H1222" s="1" t="s">
        <v>3297</v>
      </c>
      <c r="I1222" s="1" t="s">
        <v>1049</v>
      </c>
      <c r="J1222" s="1" t="s">
        <v>27</v>
      </c>
      <c r="K1222" s="1" t="s">
        <v>1275</v>
      </c>
      <c r="L1222" s="1" t="s">
        <v>29</v>
      </c>
      <c r="M1222" s="1" t="s">
        <v>43</v>
      </c>
      <c r="N1222" s="1" t="s">
        <v>1276</v>
      </c>
      <c r="O1222">
        <v>301.95999999999998</v>
      </c>
      <c r="P1222">
        <v>2</v>
      </c>
      <c r="Q1222">
        <v>45.293999999999997</v>
      </c>
      <c r="R1222" s="1" t="s">
        <v>4421</v>
      </c>
      <c r="S1222">
        <v>2015</v>
      </c>
      <c r="T1222" s="1" t="s">
        <v>32</v>
      </c>
    </row>
    <row r="1223" spans="1:20" x14ac:dyDescent="0.25">
      <c r="A1223" s="1" t="s">
        <v>3298</v>
      </c>
      <c r="B1223" s="2">
        <v>41856</v>
      </c>
      <c r="C1223" s="2">
        <v>41858</v>
      </c>
      <c r="D1223" s="1" t="s">
        <v>21</v>
      </c>
      <c r="E1223" s="1" t="s">
        <v>1800</v>
      </c>
      <c r="F1223" s="1" t="s">
        <v>1801</v>
      </c>
      <c r="G1223" s="1" t="s">
        <v>84</v>
      </c>
      <c r="H1223" s="1" t="s">
        <v>3299</v>
      </c>
      <c r="I1223" s="1" t="s">
        <v>421</v>
      </c>
      <c r="J1223" s="1" t="s">
        <v>63</v>
      </c>
      <c r="K1223" s="1" t="s">
        <v>796</v>
      </c>
      <c r="L1223" s="1" t="s">
        <v>29</v>
      </c>
      <c r="M1223" s="1" t="s">
        <v>34</v>
      </c>
      <c r="N1223" s="1" t="s">
        <v>797</v>
      </c>
      <c r="O1223">
        <v>1133.3499999999999</v>
      </c>
      <c r="P1223">
        <v>5</v>
      </c>
      <c r="Q1223">
        <v>294.67099999999999</v>
      </c>
      <c r="R1223" s="1" t="s">
        <v>4423</v>
      </c>
      <c r="S1223">
        <v>2014</v>
      </c>
      <c r="T1223" s="1" t="s">
        <v>245</v>
      </c>
    </row>
    <row r="1224" spans="1:20" x14ac:dyDescent="0.25">
      <c r="A1224" s="1" t="s">
        <v>3300</v>
      </c>
      <c r="B1224" s="2">
        <v>42681</v>
      </c>
      <c r="C1224" s="2">
        <v>42686</v>
      </c>
      <c r="D1224" s="1" t="s">
        <v>37</v>
      </c>
      <c r="E1224" s="1" t="s">
        <v>2190</v>
      </c>
      <c r="F1224" s="1" t="s">
        <v>2191</v>
      </c>
      <c r="G1224" s="1" t="s">
        <v>94</v>
      </c>
      <c r="H1224" s="1" t="s">
        <v>3301</v>
      </c>
      <c r="I1224" s="1" t="s">
        <v>3302</v>
      </c>
      <c r="J1224" s="1" t="s">
        <v>51</v>
      </c>
      <c r="K1224" s="1" t="s">
        <v>550</v>
      </c>
      <c r="L1224" s="1" t="s">
        <v>29</v>
      </c>
      <c r="M1224" s="1" t="s">
        <v>34</v>
      </c>
      <c r="N1224" s="1" t="s">
        <v>551</v>
      </c>
      <c r="O1224">
        <v>1603.136</v>
      </c>
      <c r="P1224">
        <v>4</v>
      </c>
      <c r="Q1224">
        <v>100.196</v>
      </c>
      <c r="R1224" s="1" t="s">
        <v>4422</v>
      </c>
      <c r="S1224">
        <v>2016</v>
      </c>
      <c r="T1224" s="1" t="s">
        <v>32</v>
      </c>
    </row>
    <row r="1225" spans="1:20" x14ac:dyDescent="0.25">
      <c r="A1225" s="1" t="s">
        <v>3303</v>
      </c>
      <c r="B1225" s="2">
        <v>42535</v>
      </c>
      <c r="C1225" s="2">
        <v>42535</v>
      </c>
      <c r="D1225" s="1" t="s">
        <v>417</v>
      </c>
      <c r="E1225" s="1" t="s">
        <v>494</v>
      </c>
      <c r="F1225" s="1" t="s">
        <v>495</v>
      </c>
      <c r="G1225" s="1" t="s">
        <v>84</v>
      </c>
      <c r="H1225" s="1" t="s">
        <v>3038</v>
      </c>
      <c r="I1225" s="1" t="s">
        <v>50</v>
      </c>
      <c r="J1225" s="1" t="s">
        <v>51</v>
      </c>
      <c r="K1225" s="1" t="s">
        <v>3156</v>
      </c>
      <c r="L1225" s="1" t="s">
        <v>29</v>
      </c>
      <c r="M1225" s="1" t="s">
        <v>43</v>
      </c>
      <c r="N1225" s="1" t="s">
        <v>3157</v>
      </c>
      <c r="O1225">
        <v>1293.4880000000001</v>
      </c>
      <c r="P1225">
        <v>7</v>
      </c>
      <c r="Q1225">
        <v>80.843000000000004</v>
      </c>
      <c r="R1225" s="1" t="s">
        <v>4427</v>
      </c>
      <c r="S1225">
        <v>2016</v>
      </c>
      <c r="T1225" s="1" t="s">
        <v>55</v>
      </c>
    </row>
    <row r="1226" spans="1:20" x14ac:dyDescent="0.25">
      <c r="A1226" s="1" t="s">
        <v>3304</v>
      </c>
      <c r="B1226" s="2">
        <v>42637</v>
      </c>
      <c r="C1226" s="2">
        <v>42641</v>
      </c>
      <c r="D1226" s="1" t="s">
        <v>37</v>
      </c>
      <c r="E1226" s="1" t="s">
        <v>2342</v>
      </c>
      <c r="F1226" s="1" t="s">
        <v>2343</v>
      </c>
      <c r="G1226" s="1" t="s">
        <v>24</v>
      </c>
      <c r="H1226" s="1" t="s">
        <v>203</v>
      </c>
      <c r="I1226" s="1" t="s">
        <v>104</v>
      </c>
      <c r="J1226" s="1" t="s">
        <v>87</v>
      </c>
      <c r="K1226" s="1" t="s">
        <v>173</v>
      </c>
      <c r="L1226" s="1" t="s">
        <v>29</v>
      </c>
      <c r="M1226" s="1" t="s">
        <v>53</v>
      </c>
      <c r="N1226" s="1" t="s">
        <v>174</v>
      </c>
      <c r="O1226">
        <v>127.95</v>
      </c>
      <c r="P1226">
        <v>3</v>
      </c>
      <c r="Q1226">
        <v>21.7515</v>
      </c>
      <c r="R1226" s="1" t="s">
        <v>4424</v>
      </c>
      <c r="S1226">
        <v>2016</v>
      </c>
      <c r="T1226" s="1" t="s">
        <v>72</v>
      </c>
    </row>
    <row r="1227" spans="1:20" x14ac:dyDescent="0.25">
      <c r="A1227" s="1" t="s">
        <v>3305</v>
      </c>
      <c r="B1227" s="2">
        <v>42631</v>
      </c>
      <c r="C1227" s="2">
        <v>42635</v>
      </c>
      <c r="D1227" s="1" t="s">
        <v>37</v>
      </c>
      <c r="E1227" s="1" t="s">
        <v>1311</v>
      </c>
      <c r="F1227" s="1" t="s">
        <v>1312</v>
      </c>
      <c r="G1227" s="1" t="s">
        <v>84</v>
      </c>
      <c r="H1227" s="1" t="s">
        <v>630</v>
      </c>
      <c r="I1227" s="1" t="s">
        <v>50</v>
      </c>
      <c r="J1227" s="1" t="s">
        <v>51</v>
      </c>
      <c r="K1227" s="1" t="s">
        <v>550</v>
      </c>
      <c r="L1227" s="1" t="s">
        <v>29</v>
      </c>
      <c r="M1227" s="1" t="s">
        <v>34</v>
      </c>
      <c r="N1227" s="1" t="s">
        <v>551</v>
      </c>
      <c r="O1227">
        <v>801.56799999999998</v>
      </c>
      <c r="P1227">
        <v>2</v>
      </c>
      <c r="Q1227">
        <v>50.097999999999999</v>
      </c>
      <c r="R1227" s="1" t="s">
        <v>4424</v>
      </c>
      <c r="S1227">
        <v>2016</v>
      </c>
      <c r="T1227" s="1" t="s">
        <v>72</v>
      </c>
    </row>
    <row r="1228" spans="1:20" x14ac:dyDescent="0.25">
      <c r="A1228" s="1" t="s">
        <v>3305</v>
      </c>
      <c r="B1228" s="2">
        <v>42631</v>
      </c>
      <c r="C1228" s="2">
        <v>42635</v>
      </c>
      <c r="D1228" s="1" t="s">
        <v>37</v>
      </c>
      <c r="E1228" s="1" t="s">
        <v>1311</v>
      </c>
      <c r="F1228" s="1" t="s">
        <v>1312</v>
      </c>
      <c r="G1228" s="1" t="s">
        <v>84</v>
      </c>
      <c r="H1228" s="1" t="s">
        <v>630</v>
      </c>
      <c r="I1228" s="1" t="s">
        <v>50</v>
      </c>
      <c r="J1228" s="1" t="s">
        <v>51</v>
      </c>
      <c r="K1228" s="1" t="s">
        <v>1019</v>
      </c>
      <c r="L1228" s="1" t="s">
        <v>29</v>
      </c>
      <c r="M1228" s="1" t="s">
        <v>34</v>
      </c>
      <c r="N1228" s="1" t="s">
        <v>1020</v>
      </c>
      <c r="O1228">
        <v>885.52800000000002</v>
      </c>
      <c r="P1228">
        <v>9</v>
      </c>
      <c r="Q1228">
        <v>-99.621899999999997</v>
      </c>
      <c r="R1228" s="1" t="s">
        <v>4424</v>
      </c>
      <c r="S1228">
        <v>2016</v>
      </c>
      <c r="T1228" s="1" t="s">
        <v>72</v>
      </c>
    </row>
    <row r="1229" spans="1:20" x14ac:dyDescent="0.25">
      <c r="A1229" s="1" t="s">
        <v>3306</v>
      </c>
      <c r="B1229" s="2">
        <v>42442</v>
      </c>
      <c r="C1229" s="2">
        <v>42444</v>
      </c>
      <c r="D1229" s="1" t="s">
        <v>21</v>
      </c>
      <c r="E1229" s="1" t="s">
        <v>1589</v>
      </c>
      <c r="F1229" s="1" t="s">
        <v>1590</v>
      </c>
      <c r="G1229" s="1" t="s">
        <v>84</v>
      </c>
      <c r="H1229" s="1" t="s">
        <v>320</v>
      </c>
      <c r="I1229" s="1" t="s">
        <v>50</v>
      </c>
      <c r="J1229" s="1" t="s">
        <v>51</v>
      </c>
      <c r="K1229" s="1" t="s">
        <v>463</v>
      </c>
      <c r="L1229" s="1" t="s">
        <v>29</v>
      </c>
      <c r="M1229" s="1" t="s">
        <v>53</v>
      </c>
      <c r="N1229" s="1" t="s">
        <v>464</v>
      </c>
      <c r="O1229">
        <v>28.28</v>
      </c>
      <c r="P1229">
        <v>2</v>
      </c>
      <c r="Q1229">
        <v>7.3528000000000002</v>
      </c>
      <c r="R1229" s="1" t="s">
        <v>4423</v>
      </c>
      <c r="S1229">
        <v>2016</v>
      </c>
      <c r="T1229" s="1" t="s">
        <v>187</v>
      </c>
    </row>
    <row r="1230" spans="1:20" x14ac:dyDescent="0.25">
      <c r="A1230" s="1" t="s">
        <v>3307</v>
      </c>
      <c r="B1230" s="2">
        <v>42463</v>
      </c>
      <c r="C1230" s="2">
        <v>42469</v>
      </c>
      <c r="D1230" s="1" t="s">
        <v>37</v>
      </c>
      <c r="E1230" s="1" t="s">
        <v>2258</v>
      </c>
      <c r="F1230" s="1" t="s">
        <v>2259</v>
      </c>
      <c r="G1230" s="1" t="s">
        <v>24</v>
      </c>
      <c r="H1230" s="1" t="s">
        <v>626</v>
      </c>
      <c r="I1230" s="1" t="s">
        <v>104</v>
      </c>
      <c r="J1230" s="1" t="s">
        <v>87</v>
      </c>
      <c r="K1230" s="1" t="s">
        <v>159</v>
      </c>
      <c r="L1230" s="1" t="s">
        <v>29</v>
      </c>
      <c r="M1230" s="1" t="s">
        <v>53</v>
      </c>
      <c r="N1230" s="1" t="s">
        <v>160</v>
      </c>
      <c r="O1230">
        <v>71.12</v>
      </c>
      <c r="P1230">
        <v>4</v>
      </c>
      <c r="Q1230">
        <v>22.0472</v>
      </c>
      <c r="R1230" s="1" t="s">
        <v>4426</v>
      </c>
      <c r="S1230">
        <v>2016</v>
      </c>
      <c r="T1230" s="1" t="s">
        <v>107</v>
      </c>
    </row>
    <row r="1231" spans="1:20" x14ac:dyDescent="0.25">
      <c r="A1231" s="1" t="s">
        <v>3308</v>
      </c>
      <c r="B1231" s="2">
        <v>42701</v>
      </c>
      <c r="C1231" s="2">
        <v>42706</v>
      </c>
      <c r="D1231" s="1" t="s">
        <v>37</v>
      </c>
      <c r="E1231" s="1" t="s">
        <v>1354</v>
      </c>
      <c r="F1231" s="1" t="s">
        <v>1355</v>
      </c>
      <c r="G1231" s="1" t="s">
        <v>84</v>
      </c>
      <c r="H1231" s="1" t="s">
        <v>1931</v>
      </c>
      <c r="I1231" s="1" t="s">
        <v>354</v>
      </c>
      <c r="J1231" s="1" t="s">
        <v>63</v>
      </c>
      <c r="K1231" s="1" t="s">
        <v>1568</v>
      </c>
      <c r="L1231" s="1" t="s">
        <v>29</v>
      </c>
      <c r="M1231" s="1" t="s">
        <v>53</v>
      </c>
      <c r="N1231" s="1" t="s">
        <v>1569</v>
      </c>
      <c r="O1231">
        <v>31.56</v>
      </c>
      <c r="P1231">
        <v>3</v>
      </c>
      <c r="Q1231">
        <v>10.4148</v>
      </c>
      <c r="R1231" s="1" t="s">
        <v>4422</v>
      </c>
      <c r="S1231">
        <v>2016</v>
      </c>
      <c r="T1231" s="1" t="s">
        <v>32</v>
      </c>
    </row>
    <row r="1232" spans="1:20" x14ac:dyDescent="0.25">
      <c r="A1232" s="1" t="s">
        <v>3309</v>
      </c>
      <c r="B1232" s="2">
        <v>42706</v>
      </c>
      <c r="C1232" s="2">
        <v>42711</v>
      </c>
      <c r="D1232" s="1" t="s">
        <v>37</v>
      </c>
      <c r="E1232" s="1" t="s">
        <v>2488</v>
      </c>
      <c r="F1232" s="1" t="s">
        <v>2489</v>
      </c>
      <c r="G1232" s="1" t="s">
        <v>84</v>
      </c>
      <c r="H1232" s="1" t="s">
        <v>1482</v>
      </c>
      <c r="I1232" s="1" t="s">
        <v>50</v>
      </c>
      <c r="J1232" s="1" t="s">
        <v>51</v>
      </c>
      <c r="K1232" s="1" t="s">
        <v>2515</v>
      </c>
      <c r="L1232" s="1" t="s">
        <v>29</v>
      </c>
      <c r="M1232" s="1" t="s">
        <v>53</v>
      </c>
      <c r="N1232" s="1" t="s">
        <v>2516</v>
      </c>
      <c r="O1232">
        <v>14.52</v>
      </c>
      <c r="P1232">
        <v>3</v>
      </c>
      <c r="Q1232">
        <v>5.6627999999999998</v>
      </c>
      <c r="R1232" s="1" t="s">
        <v>4422</v>
      </c>
      <c r="S1232">
        <v>2016</v>
      </c>
      <c r="T1232" s="1" t="s">
        <v>90</v>
      </c>
    </row>
    <row r="1233" spans="1:20" x14ac:dyDescent="0.25">
      <c r="A1233" s="1" t="s">
        <v>3310</v>
      </c>
      <c r="B1233" s="2">
        <v>42264</v>
      </c>
      <c r="C1233" s="2">
        <v>42270</v>
      </c>
      <c r="D1233" s="1" t="s">
        <v>37</v>
      </c>
      <c r="E1233" s="1" t="s">
        <v>2603</v>
      </c>
      <c r="F1233" s="1" t="s">
        <v>2604</v>
      </c>
      <c r="G1233" s="1" t="s">
        <v>24</v>
      </c>
      <c r="H1233" s="1" t="s">
        <v>165</v>
      </c>
      <c r="I1233" s="1" t="s">
        <v>114</v>
      </c>
      <c r="J1233" s="1" t="s">
        <v>63</v>
      </c>
      <c r="K1233" s="1" t="s">
        <v>1155</v>
      </c>
      <c r="L1233" s="1" t="s">
        <v>29</v>
      </c>
      <c r="M1233" s="1" t="s">
        <v>34</v>
      </c>
      <c r="N1233" s="1" t="s">
        <v>1156</v>
      </c>
      <c r="O1233">
        <v>199.76400000000001</v>
      </c>
      <c r="P1233">
        <v>2</v>
      </c>
      <c r="Q1233">
        <v>8.8783999999999992</v>
      </c>
      <c r="R1233" s="1" t="s">
        <v>4426</v>
      </c>
      <c r="S1233">
        <v>2015</v>
      </c>
      <c r="T1233" s="1" t="s">
        <v>72</v>
      </c>
    </row>
    <row r="1234" spans="1:20" x14ac:dyDescent="0.25">
      <c r="A1234" s="1" t="s">
        <v>3310</v>
      </c>
      <c r="B1234" s="2">
        <v>42264</v>
      </c>
      <c r="C1234" s="2">
        <v>42270</v>
      </c>
      <c r="D1234" s="1" t="s">
        <v>37</v>
      </c>
      <c r="E1234" s="1" t="s">
        <v>2603</v>
      </c>
      <c r="F1234" s="1" t="s">
        <v>2604</v>
      </c>
      <c r="G1234" s="1" t="s">
        <v>24</v>
      </c>
      <c r="H1234" s="1" t="s">
        <v>165</v>
      </c>
      <c r="I1234" s="1" t="s">
        <v>114</v>
      </c>
      <c r="J1234" s="1" t="s">
        <v>63</v>
      </c>
      <c r="K1234" s="1" t="s">
        <v>76</v>
      </c>
      <c r="L1234" s="1" t="s">
        <v>29</v>
      </c>
      <c r="M1234" s="1" t="s">
        <v>30</v>
      </c>
      <c r="N1234" s="1" t="s">
        <v>77</v>
      </c>
      <c r="O1234">
        <v>4228.7039999999997</v>
      </c>
      <c r="P1234">
        <v>6</v>
      </c>
      <c r="Q1234">
        <v>158.57640000000001</v>
      </c>
      <c r="R1234" s="1" t="s">
        <v>4426</v>
      </c>
      <c r="S1234">
        <v>2015</v>
      </c>
      <c r="T1234" s="1" t="s">
        <v>72</v>
      </c>
    </row>
    <row r="1235" spans="1:20" x14ac:dyDescent="0.25">
      <c r="A1235" s="1" t="s">
        <v>3310</v>
      </c>
      <c r="B1235" s="2">
        <v>42264</v>
      </c>
      <c r="C1235" s="2">
        <v>42270</v>
      </c>
      <c r="D1235" s="1" t="s">
        <v>37</v>
      </c>
      <c r="E1235" s="1" t="s">
        <v>2603</v>
      </c>
      <c r="F1235" s="1" t="s">
        <v>2604</v>
      </c>
      <c r="G1235" s="1" t="s">
        <v>24</v>
      </c>
      <c r="H1235" s="1" t="s">
        <v>165</v>
      </c>
      <c r="I1235" s="1" t="s">
        <v>114</v>
      </c>
      <c r="J1235" s="1" t="s">
        <v>63</v>
      </c>
      <c r="K1235" s="1" t="s">
        <v>1686</v>
      </c>
      <c r="L1235" s="1" t="s">
        <v>29</v>
      </c>
      <c r="M1235" s="1" t="s">
        <v>30</v>
      </c>
      <c r="N1235" s="1" t="s">
        <v>1687</v>
      </c>
      <c r="O1235">
        <v>2003.92</v>
      </c>
      <c r="P1235">
        <v>5</v>
      </c>
      <c r="Q1235">
        <v>-25.048999999999999</v>
      </c>
      <c r="R1235" s="1" t="s">
        <v>4426</v>
      </c>
      <c r="S1235">
        <v>2015</v>
      </c>
      <c r="T1235" s="1" t="s">
        <v>72</v>
      </c>
    </row>
    <row r="1236" spans="1:20" x14ac:dyDescent="0.25">
      <c r="A1236" s="1" t="s">
        <v>3311</v>
      </c>
      <c r="B1236" s="2">
        <v>42700</v>
      </c>
      <c r="C1236" s="2">
        <v>42704</v>
      </c>
      <c r="D1236" s="1" t="s">
        <v>21</v>
      </c>
      <c r="E1236" s="1" t="s">
        <v>435</v>
      </c>
      <c r="F1236" s="1" t="s">
        <v>436</v>
      </c>
      <c r="G1236" s="1" t="s">
        <v>84</v>
      </c>
      <c r="H1236" s="1" t="s">
        <v>165</v>
      </c>
      <c r="I1236" s="1" t="s">
        <v>114</v>
      </c>
      <c r="J1236" s="1" t="s">
        <v>63</v>
      </c>
      <c r="K1236" s="1" t="s">
        <v>1238</v>
      </c>
      <c r="L1236" s="1" t="s">
        <v>29</v>
      </c>
      <c r="M1236" s="1" t="s">
        <v>43</v>
      </c>
      <c r="N1236" s="1" t="s">
        <v>1239</v>
      </c>
      <c r="O1236">
        <v>313.17599999999999</v>
      </c>
      <c r="P1236">
        <v>2</v>
      </c>
      <c r="Q1236">
        <v>-120.0508</v>
      </c>
      <c r="R1236" s="1" t="s">
        <v>4424</v>
      </c>
      <c r="S1236">
        <v>2016</v>
      </c>
      <c r="T1236" s="1" t="s">
        <v>32</v>
      </c>
    </row>
    <row r="1237" spans="1:20" x14ac:dyDescent="0.25">
      <c r="A1237" s="1" t="s">
        <v>3312</v>
      </c>
      <c r="B1237" s="2">
        <v>41737</v>
      </c>
      <c r="C1237" s="2">
        <v>41741</v>
      </c>
      <c r="D1237" s="1" t="s">
        <v>37</v>
      </c>
      <c r="E1237" s="1" t="s">
        <v>3313</v>
      </c>
      <c r="F1237" s="1" t="s">
        <v>3314</v>
      </c>
      <c r="G1237" s="1" t="s">
        <v>84</v>
      </c>
      <c r="H1237" s="1" t="s">
        <v>504</v>
      </c>
      <c r="I1237" s="1" t="s">
        <v>1267</v>
      </c>
      <c r="J1237" s="1" t="s">
        <v>27</v>
      </c>
      <c r="K1237" s="1" t="s">
        <v>3180</v>
      </c>
      <c r="L1237" s="1" t="s">
        <v>29</v>
      </c>
      <c r="M1237" s="1" t="s">
        <v>43</v>
      </c>
      <c r="N1237" s="1" t="s">
        <v>3181</v>
      </c>
      <c r="O1237">
        <v>1215.92</v>
      </c>
      <c r="P1237">
        <v>8</v>
      </c>
      <c r="Q1237">
        <v>316.13920000000002</v>
      </c>
      <c r="R1237" s="1" t="s">
        <v>4424</v>
      </c>
      <c r="S1237">
        <v>2014</v>
      </c>
      <c r="T1237" s="1" t="s">
        <v>107</v>
      </c>
    </row>
    <row r="1238" spans="1:20" x14ac:dyDescent="0.25">
      <c r="A1238" s="1" t="s">
        <v>3315</v>
      </c>
      <c r="B1238" s="2">
        <v>41923</v>
      </c>
      <c r="C1238" s="2">
        <v>41927</v>
      </c>
      <c r="D1238" s="1" t="s">
        <v>37</v>
      </c>
      <c r="E1238" s="1" t="s">
        <v>2912</v>
      </c>
      <c r="F1238" s="1" t="s">
        <v>2913</v>
      </c>
      <c r="G1238" s="1" t="s">
        <v>84</v>
      </c>
      <c r="H1238" s="1" t="s">
        <v>1902</v>
      </c>
      <c r="I1238" s="1" t="s">
        <v>1049</v>
      </c>
      <c r="J1238" s="1" t="s">
        <v>27</v>
      </c>
      <c r="K1238" s="1" t="s">
        <v>1903</v>
      </c>
      <c r="L1238" s="1" t="s">
        <v>29</v>
      </c>
      <c r="M1238" s="1" t="s">
        <v>53</v>
      </c>
      <c r="N1238" s="1" t="s">
        <v>1904</v>
      </c>
      <c r="O1238">
        <v>8.92</v>
      </c>
      <c r="P1238">
        <v>4</v>
      </c>
      <c r="Q1238">
        <v>3.9247999999999998</v>
      </c>
      <c r="R1238" s="1" t="s">
        <v>4424</v>
      </c>
      <c r="S1238">
        <v>2014</v>
      </c>
      <c r="T1238" s="1" t="s">
        <v>45</v>
      </c>
    </row>
    <row r="1239" spans="1:20" x14ac:dyDescent="0.25">
      <c r="A1239" s="1" t="s">
        <v>3316</v>
      </c>
      <c r="B1239" s="2">
        <v>42923</v>
      </c>
      <c r="C1239" s="2">
        <v>42925</v>
      </c>
      <c r="D1239" s="1" t="s">
        <v>81</v>
      </c>
      <c r="E1239" s="1" t="s">
        <v>2858</v>
      </c>
      <c r="F1239" s="1" t="s">
        <v>2859</v>
      </c>
      <c r="G1239" s="1" t="s">
        <v>24</v>
      </c>
      <c r="H1239" s="1" t="s">
        <v>61</v>
      </c>
      <c r="I1239" s="1" t="s">
        <v>62</v>
      </c>
      <c r="J1239" s="1" t="s">
        <v>63</v>
      </c>
      <c r="K1239" s="1" t="s">
        <v>851</v>
      </c>
      <c r="L1239" s="1" t="s">
        <v>29</v>
      </c>
      <c r="M1239" s="1" t="s">
        <v>30</v>
      </c>
      <c r="N1239" s="1" t="s">
        <v>852</v>
      </c>
      <c r="O1239">
        <v>87.21</v>
      </c>
      <c r="P1239">
        <v>3</v>
      </c>
      <c r="Q1239">
        <v>-45.349200000000003</v>
      </c>
      <c r="R1239" s="1" t="s">
        <v>4423</v>
      </c>
      <c r="S1239">
        <v>2017</v>
      </c>
      <c r="T1239" s="1" t="s">
        <v>66</v>
      </c>
    </row>
    <row r="1240" spans="1:20" x14ac:dyDescent="0.25">
      <c r="A1240" s="1" t="s">
        <v>3317</v>
      </c>
      <c r="B1240" s="2">
        <v>42555</v>
      </c>
      <c r="C1240" s="2">
        <v>42555</v>
      </c>
      <c r="D1240" s="1" t="s">
        <v>417</v>
      </c>
      <c r="E1240" s="1" t="s">
        <v>662</v>
      </c>
      <c r="F1240" s="1" t="s">
        <v>663</v>
      </c>
      <c r="G1240" s="1" t="s">
        <v>94</v>
      </c>
      <c r="H1240" s="1" t="s">
        <v>183</v>
      </c>
      <c r="I1240" s="1" t="s">
        <v>184</v>
      </c>
      <c r="J1240" s="1" t="s">
        <v>51</v>
      </c>
      <c r="K1240" s="1" t="s">
        <v>652</v>
      </c>
      <c r="L1240" s="1" t="s">
        <v>29</v>
      </c>
      <c r="M1240" s="1" t="s">
        <v>53</v>
      </c>
      <c r="N1240" s="1" t="s">
        <v>653</v>
      </c>
      <c r="O1240">
        <v>25.4</v>
      </c>
      <c r="P1240">
        <v>5</v>
      </c>
      <c r="Q1240">
        <v>8.6359999999999992</v>
      </c>
      <c r="R1240" s="1" t="s">
        <v>4427</v>
      </c>
      <c r="S1240">
        <v>2016</v>
      </c>
      <c r="T1240" s="1" t="s">
        <v>66</v>
      </c>
    </row>
    <row r="1241" spans="1:20" x14ac:dyDescent="0.25">
      <c r="A1241" s="1" t="s">
        <v>3318</v>
      </c>
      <c r="B1241" s="2">
        <v>41876</v>
      </c>
      <c r="C1241" s="2">
        <v>41880</v>
      </c>
      <c r="D1241" s="1" t="s">
        <v>37</v>
      </c>
      <c r="E1241" s="1" t="s">
        <v>473</v>
      </c>
      <c r="F1241" s="1" t="s">
        <v>474</v>
      </c>
      <c r="G1241" s="1" t="s">
        <v>84</v>
      </c>
      <c r="H1241" s="1" t="s">
        <v>49</v>
      </c>
      <c r="I1241" s="1" t="s">
        <v>50</v>
      </c>
      <c r="J1241" s="1" t="s">
        <v>51</v>
      </c>
      <c r="K1241" s="1" t="s">
        <v>2149</v>
      </c>
      <c r="L1241" s="1" t="s">
        <v>29</v>
      </c>
      <c r="M1241" s="1" t="s">
        <v>53</v>
      </c>
      <c r="N1241" s="1" t="s">
        <v>2150</v>
      </c>
      <c r="O1241">
        <v>6.28</v>
      </c>
      <c r="P1241">
        <v>1</v>
      </c>
      <c r="Q1241">
        <v>2.6375999999999999</v>
      </c>
      <c r="R1241" s="1" t="s">
        <v>4424</v>
      </c>
      <c r="S1241">
        <v>2014</v>
      </c>
      <c r="T1241" s="1" t="s">
        <v>245</v>
      </c>
    </row>
    <row r="1242" spans="1:20" x14ac:dyDescent="0.25">
      <c r="A1242" s="1" t="s">
        <v>3319</v>
      </c>
      <c r="B1242" s="2">
        <v>41954</v>
      </c>
      <c r="C1242" s="2">
        <v>41958</v>
      </c>
      <c r="D1242" s="1" t="s">
        <v>21</v>
      </c>
      <c r="E1242" s="1" t="s">
        <v>3040</v>
      </c>
      <c r="F1242" s="1" t="s">
        <v>3041</v>
      </c>
      <c r="G1242" s="1" t="s">
        <v>84</v>
      </c>
      <c r="H1242" s="1" t="s">
        <v>3320</v>
      </c>
      <c r="I1242" s="1" t="s">
        <v>62</v>
      </c>
      <c r="J1242" s="1" t="s">
        <v>63</v>
      </c>
      <c r="K1242" s="1" t="s">
        <v>2120</v>
      </c>
      <c r="L1242" s="1" t="s">
        <v>29</v>
      </c>
      <c r="M1242" s="1" t="s">
        <v>53</v>
      </c>
      <c r="N1242" s="1" t="s">
        <v>2121</v>
      </c>
      <c r="O1242">
        <v>23.968</v>
      </c>
      <c r="P1242">
        <v>2</v>
      </c>
      <c r="Q1242">
        <v>7.7896000000000001</v>
      </c>
      <c r="R1242" s="1" t="s">
        <v>4424</v>
      </c>
      <c r="S1242">
        <v>2014</v>
      </c>
      <c r="T1242" s="1" t="s">
        <v>32</v>
      </c>
    </row>
    <row r="1243" spans="1:20" x14ac:dyDescent="0.25">
      <c r="A1243" s="1" t="s">
        <v>3319</v>
      </c>
      <c r="B1243" s="2">
        <v>41954</v>
      </c>
      <c r="C1243" s="2">
        <v>41958</v>
      </c>
      <c r="D1243" s="1" t="s">
        <v>21</v>
      </c>
      <c r="E1243" s="1" t="s">
        <v>3040</v>
      </c>
      <c r="F1243" s="1" t="s">
        <v>3041</v>
      </c>
      <c r="G1243" s="1" t="s">
        <v>84</v>
      </c>
      <c r="H1243" s="1" t="s">
        <v>3320</v>
      </c>
      <c r="I1243" s="1" t="s">
        <v>62</v>
      </c>
      <c r="J1243" s="1" t="s">
        <v>63</v>
      </c>
      <c r="K1243" s="1" t="s">
        <v>96</v>
      </c>
      <c r="L1243" s="1" t="s">
        <v>29</v>
      </c>
      <c r="M1243" s="1" t="s">
        <v>30</v>
      </c>
      <c r="N1243" s="1" t="s">
        <v>97</v>
      </c>
      <c r="O1243">
        <v>521.96</v>
      </c>
      <c r="P1243">
        <v>4</v>
      </c>
      <c r="Q1243">
        <v>-250.54079999999999</v>
      </c>
      <c r="R1243" s="1" t="s">
        <v>4424</v>
      </c>
      <c r="S1243">
        <v>2014</v>
      </c>
      <c r="T1243" s="1" t="s">
        <v>32</v>
      </c>
    </row>
    <row r="1244" spans="1:20" x14ac:dyDescent="0.25">
      <c r="A1244" s="1" t="s">
        <v>3321</v>
      </c>
      <c r="B1244" s="2">
        <v>42441</v>
      </c>
      <c r="C1244" s="2">
        <v>42444</v>
      </c>
      <c r="D1244" s="1" t="s">
        <v>21</v>
      </c>
      <c r="E1244" s="1" t="s">
        <v>435</v>
      </c>
      <c r="F1244" s="1" t="s">
        <v>436</v>
      </c>
      <c r="G1244" s="1" t="s">
        <v>84</v>
      </c>
      <c r="H1244" s="1" t="s">
        <v>320</v>
      </c>
      <c r="I1244" s="1" t="s">
        <v>50</v>
      </c>
      <c r="J1244" s="1" t="s">
        <v>51</v>
      </c>
      <c r="K1244" s="1" t="s">
        <v>786</v>
      </c>
      <c r="L1244" s="1" t="s">
        <v>29</v>
      </c>
      <c r="M1244" s="1" t="s">
        <v>34</v>
      </c>
      <c r="N1244" s="1" t="s">
        <v>787</v>
      </c>
      <c r="O1244">
        <v>770.35199999999998</v>
      </c>
      <c r="P1244">
        <v>3</v>
      </c>
      <c r="Q1244">
        <v>77.035200000000003</v>
      </c>
      <c r="R1244" s="1" t="s">
        <v>4420</v>
      </c>
      <c r="S1244">
        <v>2016</v>
      </c>
      <c r="T1244" s="1" t="s">
        <v>187</v>
      </c>
    </row>
    <row r="1245" spans="1:20" x14ac:dyDescent="0.25">
      <c r="A1245" s="1" t="s">
        <v>3322</v>
      </c>
      <c r="B1245" s="2">
        <v>42775</v>
      </c>
      <c r="C1245" s="2">
        <v>42780</v>
      </c>
      <c r="D1245" s="1" t="s">
        <v>21</v>
      </c>
      <c r="E1245" s="1" t="s">
        <v>1385</v>
      </c>
      <c r="F1245" s="1" t="s">
        <v>1386</v>
      </c>
      <c r="G1245" s="1" t="s">
        <v>84</v>
      </c>
      <c r="H1245" s="1" t="s">
        <v>49</v>
      </c>
      <c r="I1245" s="1" t="s">
        <v>50</v>
      </c>
      <c r="J1245" s="1" t="s">
        <v>51</v>
      </c>
      <c r="K1245" s="1" t="s">
        <v>1649</v>
      </c>
      <c r="L1245" s="1" t="s">
        <v>29</v>
      </c>
      <c r="M1245" s="1" t="s">
        <v>53</v>
      </c>
      <c r="N1245" s="1" t="s">
        <v>1650</v>
      </c>
      <c r="O1245">
        <v>21.12</v>
      </c>
      <c r="P1245">
        <v>4</v>
      </c>
      <c r="Q1245">
        <v>6.5472000000000001</v>
      </c>
      <c r="R1245" s="1" t="s">
        <v>4422</v>
      </c>
      <c r="S1245">
        <v>2017</v>
      </c>
      <c r="T1245" s="1" t="s">
        <v>289</v>
      </c>
    </row>
    <row r="1246" spans="1:20" x14ac:dyDescent="0.25">
      <c r="A1246" s="1" t="s">
        <v>3323</v>
      </c>
      <c r="B1246" s="2">
        <v>41840</v>
      </c>
      <c r="C1246" s="2">
        <v>41842</v>
      </c>
      <c r="D1246" s="1" t="s">
        <v>81</v>
      </c>
      <c r="E1246" s="1" t="s">
        <v>2044</v>
      </c>
      <c r="F1246" s="1" t="s">
        <v>2045</v>
      </c>
      <c r="G1246" s="1" t="s">
        <v>24</v>
      </c>
      <c r="H1246" s="1" t="s">
        <v>630</v>
      </c>
      <c r="I1246" s="1" t="s">
        <v>50</v>
      </c>
      <c r="J1246" s="1" t="s">
        <v>51</v>
      </c>
      <c r="K1246" s="1" t="s">
        <v>767</v>
      </c>
      <c r="L1246" s="1" t="s">
        <v>29</v>
      </c>
      <c r="M1246" s="1" t="s">
        <v>53</v>
      </c>
      <c r="N1246" s="1" t="s">
        <v>768</v>
      </c>
      <c r="O1246">
        <v>43.02</v>
      </c>
      <c r="P1246">
        <v>3</v>
      </c>
      <c r="Q1246">
        <v>15.4872</v>
      </c>
      <c r="R1246" s="1" t="s">
        <v>4423</v>
      </c>
      <c r="S1246">
        <v>2014</v>
      </c>
      <c r="T1246" s="1" t="s">
        <v>66</v>
      </c>
    </row>
    <row r="1247" spans="1:20" x14ac:dyDescent="0.25">
      <c r="A1247" s="1" t="s">
        <v>3324</v>
      </c>
      <c r="B1247" s="2">
        <v>42772</v>
      </c>
      <c r="C1247" s="2">
        <v>42777</v>
      </c>
      <c r="D1247" s="1" t="s">
        <v>37</v>
      </c>
      <c r="E1247" s="1" t="s">
        <v>3325</v>
      </c>
      <c r="F1247" s="1" t="s">
        <v>3326</v>
      </c>
      <c r="G1247" s="1" t="s">
        <v>24</v>
      </c>
      <c r="H1247" s="1" t="s">
        <v>165</v>
      </c>
      <c r="I1247" s="1" t="s">
        <v>114</v>
      </c>
      <c r="J1247" s="1" t="s">
        <v>63</v>
      </c>
      <c r="K1247" s="1" t="s">
        <v>990</v>
      </c>
      <c r="L1247" s="1" t="s">
        <v>29</v>
      </c>
      <c r="M1247" s="1" t="s">
        <v>30</v>
      </c>
      <c r="N1247" s="1" t="s">
        <v>991</v>
      </c>
      <c r="O1247">
        <v>240.78399999999999</v>
      </c>
      <c r="P1247">
        <v>1</v>
      </c>
      <c r="Q1247">
        <v>30.097999999999999</v>
      </c>
      <c r="R1247" s="1" t="s">
        <v>4422</v>
      </c>
      <c r="S1247">
        <v>2017</v>
      </c>
      <c r="T1247" s="1" t="s">
        <v>289</v>
      </c>
    </row>
    <row r="1248" spans="1:20" x14ac:dyDescent="0.25">
      <c r="A1248" s="1" t="s">
        <v>3327</v>
      </c>
      <c r="B1248" s="2">
        <v>41889</v>
      </c>
      <c r="C1248" s="2">
        <v>41895</v>
      </c>
      <c r="D1248" s="1" t="s">
        <v>37</v>
      </c>
      <c r="E1248" s="1" t="s">
        <v>662</v>
      </c>
      <c r="F1248" s="1" t="s">
        <v>663</v>
      </c>
      <c r="G1248" s="1" t="s">
        <v>94</v>
      </c>
      <c r="H1248" s="1" t="s">
        <v>2012</v>
      </c>
      <c r="I1248" s="1" t="s">
        <v>1513</v>
      </c>
      <c r="J1248" s="1" t="s">
        <v>87</v>
      </c>
      <c r="K1248" s="1" t="s">
        <v>1250</v>
      </c>
      <c r="L1248" s="1" t="s">
        <v>29</v>
      </c>
      <c r="M1248" s="1" t="s">
        <v>43</v>
      </c>
      <c r="N1248" s="1" t="s">
        <v>1054</v>
      </c>
      <c r="O1248">
        <v>429.9</v>
      </c>
      <c r="P1248">
        <v>5</v>
      </c>
      <c r="Q1248">
        <v>111.774</v>
      </c>
      <c r="R1248" s="1" t="s">
        <v>4426</v>
      </c>
      <c r="S1248">
        <v>2014</v>
      </c>
      <c r="T1248" s="1" t="s">
        <v>72</v>
      </c>
    </row>
    <row r="1249" spans="1:20" x14ac:dyDescent="0.25">
      <c r="A1249" s="1" t="s">
        <v>3327</v>
      </c>
      <c r="B1249" s="2">
        <v>41889</v>
      </c>
      <c r="C1249" s="2">
        <v>41895</v>
      </c>
      <c r="D1249" s="1" t="s">
        <v>37</v>
      </c>
      <c r="E1249" s="1" t="s">
        <v>662</v>
      </c>
      <c r="F1249" s="1" t="s">
        <v>663</v>
      </c>
      <c r="G1249" s="1" t="s">
        <v>94</v>
      </c>
      <c r="H1249" s="1" t="s">
        <v>2012</v>
      </c>
      <c r="I1249" s="1" t="s">
        <v>1513</v>
      </c>
      <c r="J1249" s="1" t="s">
        <v>87</v>
      </c>
      <c r="K1249" s="1" t="s">
        <v>247</v>
      </c>
      <c r="L1249" s="1" t="s">
        <v>29</v>
      </c>
      <c r="M1249" s="1" t="s">
        <v>34</v>
      </c>
      <c r="N1249" s="1" t="s">
        <v>248</v>
      </c>
      <c r="O1249">
        <v>161.96</v>
      </c>
      <c r="P1249">
        <v>2</v>
      </c>
      <c r="Q1249">
        <v>45.348799999999997</v>
      </c>
      <c r="R1249" s="1" t="s">
        <v>4426</v>
      </c>
      <c r="S1249">
        <v>2014</v>
      </c>
      <c r="T1249" s="1" t="s">
        <v>72</v>
      </c>
    </row>
    <row r="1250" spans="1:20" x14ac:dyDescent="0.25">
      <c r="A1250" s="1" t="s">
        <v>3328</v>
      </c>
      <c r="B1250" s="2">
        <v>42570</v>
      </c>
      <c r="C1250" s="2">
        <v>42576</v>
      </c>
      <c r="D1250" s="1" t="s">
        <v>37</v>
      </c>
      <c r="E1250" s="1" t="s">
        <v>1621</v>
      </c>
      <c r="F1250" s="1" t="s">
        <v>1622</v>
      </c>
      <c r="G1250" s="1" t="s">
        <v>24</v>
      </c>
      <c r="H1250" s="1" t="s">
        <v>3329</v>
      </c>
      <c r="I1250" s="1" t="s">
        <v>469</v>
      </c>
      <c r="J1250" s="1" t="s">
        <v>27</v>
      </c>
      <c r="K1250" s="1" t="s">
        <v>2101</v>
      </c>
      <c r="L1250" s="1" t="s">
        <v>29</v>
      </c>
      <c r="M1250" s="1" t="s">
        <v>53</v>
      </c>
      <c r="N1250" s="1" t="s">
        <v>2102</v>
      </c>
      <c r="O1250">
        <v>185.58</v>
      </c>
      <c r="P1250">
        <v>6</v>
      </c>
      <c r="Q1250">
        <v>76.087800000000001</v>
      </c>
      <c r="R1250" s="1" t="s">
        <v>4426</v>
      </c>
      <c r="S1250">
        <v>2016</v>
      </c>
      <c r="T1250" s="1" t="s">
        <v>66</v>
      </c>
    </row>
    <row r="1251" spans="1:20" x14ac:dyDescent="0.25">
      <c r="A1251" s="1" t="s">
        <v>3328</v>
      </c>
      <c r="B1251" s="2">
        <v>42570</v>
      </c>
      <c r="C1251" s="2">
        <v>42576</v>
      </c>
      <c r="D1251" s="1" t="s">
        <v>37</v>
      </c>
      <c r="E1251" s="1" t="s">
        <v>1621</v>
      </c>
      <c r="F1251" s="1" t="s">
        <v>1622</v>
      </c>
      <c r="G1251" s="1" t="s">
        <v>24</v>
      </c>
      <c r="H1251" s="1" t="s">
        <v>3329</v>
      </c>
      <c r="I1251" s="1" t="s">
        <v>469</v>
      </c>
      <c r="J1251" s="1" t="s">
        <v>27</v>
      </c>
      <c r="K1251" s="1" t="s">
        <v>2806</v>
      </c>
      <c r="L1251" s="1" t="s">
        <v>29</v>
      </c>
      <c r="M1251" s="1" t="s">
        <v>30</v>
      </c>
      <c r="N1251" s="1" t="s">
        <v>2807</v>
      </c>
      <c r="O1251">
        <v>504.9</v>
      </c>
      <c r="P1251">
        <v>5</v>
      </c>
      <c r="Q1251">
        <v>126.22499999999999</v>
      </c>
      <c r="R1251" s="1" t="s">
        <v>4426</v>
      </c>
      <c r="S1251">
        <v>2016</v>
      </c>
      <c r="T1251" s="1" t="s">
        <v>66</v>
      </c>
    </row>
    <row r="1252" spans="1:20" x14ac:dyDescent="0.25">
      <c r="A1252" s="1" t="s">
        <v>3330</v>
      </c>
      <c r="B1252" s="2">
        <v>42993</v>
      </c>
      <c r="C1252" s="2">
        <v>42999</v>
      </c>
      <c r="D1252" s="1" t="s">
        <v>37</v>
      </c>
      <c r="E1252" s="1" t="s">
        <v>2939</v>
      </c>
      <c r="F1252" s="1" t="s">
        <v>2940</v>
      </c>
      <c r="G1252" s="1" t="s">
        <v>24</v>
      </c>
      <c r="H1252" s="1" t="s">
        <v>49</v>
      </c>
      <c r="I1252" s="1" t="s">
        <v>50</v>
      </c>
      <c r="J1252" s="1" t="s">
        <v>51</v>
      </c>
      <c r="K1252" s="1" t="s">
        <v>479</v>
      </c>
      <c r="L1252" s="1" t="s">
        <v>29</v>
      </c>
      <c r="M1252" s="1" t="s">
        <v>34</v>
      </c>
      <c r="N1252" s="1" t="s">
        <v>480</v>
      </c>
      <c r="O1252">
        <v>184.75200000000001</v>
      </c>
      <c r="P1252">
        <v>3</v>
      </c>
      <c r="Q1252">
        <v>-20.784600000000001</v>
      </c>
      <c r="R1252" s="1" t="s">
        <v>4426</v>
      </c>
      <c r="S1252">
        <v>2017</v>
      </c>
      <c r="T1252" s="1" t="s">
        <v>72</v>
      </c>
    </row>
    <row r="1253" spans="1:20" x14ac:dyDescent="0.25">
      <c r="A1253" s="1" t="s">
        <v>3331</v>
      </c>
      <c r="B1253" s="2">
        <v>42715</v>
      </c>
      <c r="C1253" s="2">
        <v>42715</v>
      </c>
      <c r="D1253" s="1" t="s">
        <v>417</v>
      </c>
      <c r="E1253" s="1" t="s">
        <v>1029</v>
      </c>
      <c r="F1253" s="1" t="s">
        <v>1030</v>
      </c>
      <c r="G1253" s="1" t="s">
        <v>84</v>
      </c>
      <c r="H1253" s="1" t="s">
        <v>339</v>
      </c>
      <c r="I1253" s="1" t="s">
        <v>223</v>
      </c>
      <c r="J1253" s="1" t="s">
        <v>63</v>
      </c>
      <c r="K1253" s="1" t="s">
        <v>2569</v>
      </c>
      <c r="L1253" s="1" t="s">
        <v>29</v>
      </c>
      <c r="M1253" s="1" t="s">
        <v>34</v>
      </c>
      <c r="N1253" s="1" t="s">
        <v>2570</v>
      </c>
      <c r="O1253">
        <v>458.43</v>
      </c>
      <c r="P1253">
        <v>5</v>
      </c>
      <c r="Q1253">
        <v>-137.529</v>
      </c>
      <c r="R1253" s="1" t="s">
        <v>4427</v>
      </c>
      <c r="S1253">
        <v>2016</v>
      </c>
      <c r="T1253" s="1" t="s">
        <v>90</v>
      </c>
    </row>
    <row r="1254" spans="1:20" x14ac:dyDescent="0.25">
      <c r="A1254" s="1" t="s">
        <v>3331</v>
      </c>
      <c r="B1254" s="2">
        <v>42715</v>
      </c>
      <c r="C1254" s="2">
        <v>42715</v>
      </c>
      <c r="D1254" s="1" t="s">
        <v>417</v>
      </c>
      <c r="E1254" s="1" t="s">
        <v>1029</v>
      </c>
      <c r="F1254" s="1" t="s">
        <v>1030</v>
      </c>
      <c r="G1254" s="1" t="s">
        <v>84</v>
      </c>
      <c r="H1254" s="1" t="s">
        <v>339</v>
      </c>
      <c r="I1254" s="1" t="s">
        <v>223</v>
      </c>
      <c r="J1254" s="1" t="s">
        <v>63</v>
      </c>
      <c r="K1254" s="1" t="s">
        <v>1225</v>
      </c>
      <c r="L1254" s="1" t="s">
        <v>29</v>
      </c>
      <c r="M1254" s="1" t="s">
        <v>43</v>
      </c>
      <c r="N1254" s="1" t="s">
        <v>1226</v>
      </c>
      <c r="O1254">
        <v>328.59</v>
      </c>
      <c r="P1254">
        <v>3</v>
      </c>
      <c r="Q1254">
        <v>-147.8655</v>
      </c>
      <c r="R1254" s="1" t="s">
        <v>4427</v>
      </c>
      <c r="S1254">
        <v>2016</v>
      </c>
      <c r="T1254" s="1" t="s">
        <v>90</v>
      </c>
    </row>
    <row r="1255" spans="1:20" x14ac:dyDescent="0.25">
      <c r="A1255" s="1" t="s">
        <v>3332</v>
      </c>
      <c r="B1255" s="2">
        <v>41983</v>
      </c>
      <c r="C1255" s="2">
        <v>41987</v>
      </c>
      <c r="D1255" s="1" t="s">
        <v>37</v>
      </c>
      <c r="E1255" s="1" t="s">
        <v>2015</v>
      </c>
      <c r="F1255" s="1" t="s">
        <v>2016</v>
      </c>
      <c r="G1255" s="1" t="s">
        <v>84</v>
      </c>
      <c r="H1255" s="1" t="s">
        <v>3333</v>
      </c>
      <c r="I1255" s="1" t="s">
        <v>2271</v>
      </c>
      <c r="J1255" s="1" t="s">
        <v>51</v>
      </c>
      <c r="K1255" s="1" t="s">
        <v>1132</v>
      </c>
      <c r="L1255" s="1" t="s">
        <v>29</v>
      </c>
      <c r="M1255" s="1" t="s">
        <v>34</v>
      </c>
      <c r="N1255" s="1" t="s">
        <v>1133</v>
      </c>
      <c r="O1255">
        <v>338.35199999999998</v>
      </c>
      <c r="P1255">
        <v>3</v>
      </c>
      <c r="Q1255">
        <v>4.2294</v>
      </c>
      <c r="R1255" s="1" t="s">
        <v>4424</v>
      </c>
      <c r="S1255">
        <v>2014</v>
      </c>
      <c r="T1255" s="1" t="s">
        <v>90</v>
      </c>
    </row>
    <row r="1256" spans="1:20" x14ac:dyDescent="0.25">
      <c r="A1256" s="1" t="s">
        <v>3334</v>
      </c>
      <c r="B1256" s="2">
        <v>41986</v>
      </c>
      <c r="C1256" s="2">
        <v>41990</v>
      </c>
      <c r="D1256" s="1" t="s">
        <v>37</v>
      </c>
      <c r="E1256" s="1" t="s">
        <v>1703</v>
      </c>
      <c r="F1256" s="1" t="s">
        <v>1704</v>
      </c>
      <c r="G1256" s="1" t="s">
        <v>84</v>
      </c>
      <c r="H1256" s="1" t="s">
        <v>510</v>
      </c>
      <c r="I1256" s="1" t="s">
        <v>511</v>
      </c>
      <c r="J1256" s="1" t="s">
        <v>51</v>
      </c>
      <c r="K1256" s="1" t="s">
        <v>1499</v>
      </c>
      <c r="L1256" s="1" t="s">
        <v>29</v>
      </c>
      <c r="M1256" s="1" t="s">
        <v>53</v>
      </c>
      <c r="N1256" s="1" t="s">
        <v>1500</v>
      </c>
      <c r="O1256">
        <v>87.96</v>
      </c>
      <c r="P1256">
        <v>3</v>
      </c>
      <c r="Q1256">
        <v>7.6965000000000003</v>
      </c>
      <c r="R1256" s="1" t="s">
        <v>4424</v>
      </c>
      <c r="S1256">
        <v>2014</v>
      </c>
      <c r="T1256" s="1" t="s">
        <v>90</v>
      </c>
    </row>
    <row r="1257" spans="1:20" x14ac:dyDescent="0.25">
      <c r="A1257" s="1" t="s">
        <v>3335</v>
      </c>
      <c r="B1257" s="2">
        <v>42985</v>
      </c>
      <c r="C1257" s="2">
        <v>42989</v>
      </c>
      <c r="D1257" s="1" t="s">
        <v>37</v>
      </c>
      <c r="E1257" s="1" t="s">
        <v>3336</v>
      </c>
      <c r="F1257" s="1" t="s">
        <v>3337</v>
      </c>
      <c r="G1257" s="1" t="s">
        <v>24</v>
      </c>
      <c r="H1257" s="1" t="s">
        <v>49</v>
      </c>
      <c r="I1257" s="1" t="s">
        <v>50</v>
      </c>
      <c r="J1257" s="1" t="s">
        <v>51</v>
      </c>
      <c r="K1257" s="1" t="s">
        <v>793</v>
      </c>
      <c r="L1257" s="1" t="s">
        <v>29</v>
      </c>
      <c r="M1257" s="1" t="s">
        <v>53</v>
      </c>
      <c r="N1257" s="1" t="s">
        <v>794</v>
      </c>
      <c r="O1257">
        <v>19.760000000000002</v>
      </c>
      <c r="P1257">
        <v>4</v>
      </c>
      <c r="Q1257">
        <v>8.2992000000000008</v>
      </c>
      <c r="R1257" s="1" t="s">
        <v>4424</v>
      </c>
      <c r="S1257">
        <v>2017</v>
      </c>
      <c r="T1257" s="1" t="s">
        <v>72</v>
      </c>
    </row>
    <row r="1258" spans="1:20" x14ac:dyDescent="0.25">
      <c r="A1258" s="1" t="s">
        <v>3338</v>
      </c>
      <c r="B1258" s="2">
        <v>42310</v>
      </c>
      <c r="C1258" s="2">
        <v>42315</v>
      </c>
      <c r="D1258" s="1" t="s">
        <v>37</v>
      </c>
      <c r="E1258" s="1" t="s">
        <v>3339</v>
      </c>
      <c r="F1258" s="1" t="s">
        <v>3340</v>
      </c>
      <c r="G1258" s="1" t="s">
        <v>24</v>
      </c>
      <c r="H1258" s="1" t="s">
        <v>113</v>
      </c>
      <c r="I1258" s="1" t="s">
        <v>114</v>
      </c>
      <c r="J1258" s="1" t="s">
        <v>63</v>
      </c>
      <c r="K1258" s="1" t="s">
        <v>2419</v>
      </c>
      <c r="L1258" s="1" t="s">
        <v>29</v>
      </c>
      <c r="M1258" s="1" t="s">
        <v>34</v>
      </c>
      <c r="N1258" s="1" t="s">
        <v>2420</v>
      </c>
      <c r="O1258">
        <v>109.764</v>
      </c>
      <c r="P1258">
        <v>2</v>
      </c>
      <c r="Q1258">
        <v>8.5372000000000003</v>
      </c>
      <c r="R1258" s="1" t="s">
        <v>4422</v>
      </c>
      <c r="S1258">
        <v>2015</v>
      </c>
      <c r="T1258" s="1" t="s">
        <v>32</v>
      </c>
    </row>
    <row r="1259" spans="1:20" x14ac:dyDescent="0.25">
      <c r="A1259" s="1" t="s">
        <v>3341</v>
      </c>
      <c r="B1259" s="2">
        <v>42826</v>
      </c>
      <c r="C1259" s="2">
        <v>42828</v>
      </c>
      <c r="D1259" s="1" t="s">
        <v>81</v>
      </c>
      <c r="E1259" s="1" t="s">
        <v>1071</v>
      </c>
      <c r="F1259" s="1" t="s">
        <v>1072</v>
      </c>
      <c r="G1259" s="1" t="s">
        <v>84</v>
      </c>
      <c r="H1259" s="1" t="s">
        <v>845</v>
      </c>
      <c r="I1259" s="1" t="s">
        <v>150</v>
      </c>
      <c r="J1259" s="1" t="s">
        <v>27</v>
      </c>
      <c r="K1259" s="1" t="s">
        <v>173</v>
      </c>
      <c r="L1259" s="1" t="s">
        <v>29</v>
      </c>
      <c r="M1259" s="1" t="s">
        <v>53</v>
      </c>
      <c r="N1259" s="1" t="s">
        <v>174</v>
      </c>
      <c r="O1259">
        <v>127.95</v>
      </c>
      <c r="P1259">
        <v>3</v>
      </c>
      <c r="Q1259">
        <v>21.7515</v>
      </c>
      <c r="R1259" s="1" t="s">
        <v>4423</v>
      </c>
      <c r="S1259">
        <v>2017</v>
      </c>
      <c r="T1259" s="1" t="s">
        <v>107</v>
      </c>
    </row>
    <row r="1260" spans="1:20" x14ac:dyDescent="0.25">
      <c r="A1260" s="1" t="s">
        <v>3342</v>
      </c>
      <c r="B1260" s="2">
        <v>41735</v>
      </c>
      <c r="C1260" s="2">
        <v>41741</v>
      </c>
      <c r="D1260" s="1" t="s">
        <v>37</v>
      </c>
      <c r="E1260" s="1" t="s">
        <v>2193</v>
      </c>
      <c r="F1260" s="1" t="s">
        <v>2194</v>
      </c>
      <c r="G1260" s="1" t="s">
        <v>84</v>
      </c>
      <c r="H1260" s="1" t="s">
        <v>49</v>
      </c>
      <c r="I1260" s="1" t="s">
        <v>50</v>
      </c>
      <c r="J1260" s="1" t="s">
        <v>51</v>
      </c>
      <c r="K1260" s="1" t="s">
        <v>3279</v>
      </c>
      <c r="L1260" s="1" t="s">
        <v>29</v>
      </c>
      <c r="M1260" s="1" t="s">
        <v>53</v>
      </c>
      <c r="N1260" s="1" t="s">
        <v>3280</v>
      </c>
      <c r="O1260">
        <v>91.96</v>
      </c>
      <c r="P1260">
        <v>2</v>
      </c>
      <c r="Q1260">
        <v>15.6332</v>
      </c>
      <c r="R1260" s="1" t="s">
        <v>4426</v>
      </c>
      <c r="S1260">
        <v>2014</v>
      </c>
      <c r="T1260" s="1" t="s">
        <v>107</v>
      </c>
    </row>
    <row r="1261" spans="1:20" x14ac:dyDescent="0.25">
      <c r="A1261" s="1" t="s">
        <v>3342</v>
      </c>
      <c r="B1261" s="2">
        <v>41735</v>
      </c>
      <c r="C1261" s="2">
        <v>41741</v>
      </c>
      <c r="D1261" s="1" t="s">
        <v>37</v>
      </c>
      <c r="E1261" s="1" t="s">
        <v>2193</v>
      </c>
      <c r="F1261" s="1" t="s">
        <v>2194</v>
      </c>
      <c r="G1261" s="1" t="s">
        <v>84</v>
      </c>
      <c r="H1261" s="1" t="s">
        <v>49</v>
      </c>
      <c r="I1261" s="1" t="s">
        <v>50</v>
      </c>
      <c r="J1261" s="1" t="s">
        <v>51</v>
      </c>
      <c r="K1261" s="1" t="s">
        <v>371</v>
      </c>
      <c r="L1261" s="1" t="s">
        <v>29</v>
      </c>
      <c r="M1261" s="1" t="s">
        <v>53</v>
      </c>
      <c r="N1261" s="1" t="s">
        <v>372</v>
      </c>
      <c r="O1261">
        <v>33.11</v>
      </c>
      <c r="P1261">
        <v>7</v>
      </c>
      <c r="Q1261">
        <v>12.9129</v>
      </c>
      <c r="R1261" s="1" t="s">
        <v>4426</v>
      </c>
      <c r="S1261">
        <v>2014</v>
      </c>
      <c r="T1261" s="1" t="s">
        <v>107</v>
      </c>
    </row>
    <row r="1262" spans="1:20" x14ac:dyDescent="0.25">
      <c r="A1262" s="1" t="s">
        <v>3343</v>
      </c>
      <c r="B1262" s="2">
        <v>42922</v>
      </c>
      <c r="C1262" s="2">
        <v>42922</v>
      </c>
      <c r="D1262" s="1" t="s">
        <v>417</v>
      </c>
      <c r="E1262" s="1" t="s">
        <v>2774</v>
      </c>
      <c r="F1262" s="1" t="s">
        <v>2775</v>
      </c>
      <c r="G1262" s="1" t="s">
        <v>24</v>
      </c>
      <c r="H1262" s="1" t="s">
        <v>997</v>
      </c>
      <c r="I1262" s="1" t="s">
        <v>41</v>
      </c>
      <c r="J1262" s="1" t="s">
        <v>27</v>
      </c>
      <c r="K1262" s="1" t="s">
        <v>1576</v>
      </c>
      <c r="L1262" s="1" t="s">
        <v>29</v>
      </c>
      <c r="M1262" s="1" t="s">
        <v>34</v>
      </c>
      <c r="N1262" s="1" t="s">
        <v>1577</v>
      </c>
      <c r="O1262">
        <v>239.24</v>
      </c>
      <c r="P1262">
        <v>1</v>
      </c>
      <c r="Q1262">
        <v>23.923999999999999</v>
      </c>
      <c r="R1262" s="1" t="s">
        <v>4427</v>
      </c>
      <c r="S1262">
        <v>2017</v>
      </c>
      <c r="T1262" s="1" t="s">
        <v>66</v>
      </c>
    </row>
    <row r="1263" spans="1:20" x14ac:dyDescent="0.25">
      <c r="A1263" s="1" t="s">
        <v>3344</v>
      </c>
      <c r="B1263" s="2">
        <v>42729</v>
      </c>
      <c r="C1263" s="2">
        <v>42736</v>
      </c>
      <c r="D1263" s="1" t="s">
        <v>37</v>
      </c>
      <c r="E1263" s="1" t="s">
        <v>2078</v>
      </c>
      <c r="F1263" s="1" t="s">
        <v>2079</v>
      </c>
      <c r="G1263" s="1" t="s">
        <v>84</v>
      </c>
      <c r="H1263" s="1" t="s">
        <v>3345</v>
      </c>
      <c r="I1263" s="1" t="s">
        <v>875</v>
      </c>
      <c r="J1263" s="1" t="s">
        <v>63</v>
      </c>
      <c r="K1263" s="1" t="s">
        <v>1649</v>
      </c>
      <c r="L1263" s="1" t="s">
        <v>29</v>
      </c>
      <c r="M1263" s="1" t="s">
        <v>53</v>
      </c>
      <c r="N1263" s="1" t="s">
        <v>1650</v>
      </c>
      <c r="O1263">
        <v>21.12</v>
      </c>
      <c r="P1263">
        <v>4</v>
      </c>
      <c r="Q1263">
        <v>6.5472000000000001</v>
      </c>
      <c r="R1263" s="1" t="s">
        <v>4421</v>
      </c>
      <c r="S1263">
        <v>2016</v>
      </c>
      <c r="T1263" s="1" t="s">
        <v>90</v>
      </c>
    </row>
    <row r="1264" spans="1:20" x14ac:dyDescent="0.25">
      <c r="A1264" s="1" t="s">
        <v>3346</v>
      </c>
      <c r="B1264" s="2">
        <v>42352</v>
      </c>
      <c r="C1264" s="2">
        <v>42356</v>
      </c>
      <c r="D1264" s="1" t="s">
        <v>37</v>
      </c>
      <c r="E1264" s="1" t="s">
        <v>1231</v>
      </c>
      <c r="F1264" s="1" t="s">
        <v>1232</v>
      </c>
      <c r="G1264" s="1" t="s">
        <v>94</v>
      </c>
      <c r="H1264" s="1" t="s">
        <v>49</v>
      </c>
      <c r="I1264" s="1" t="s">
        <v>50</v>
      </c>
      <c r="J1264" s="1" t="s">
        <v>51</v>
      </c>
      <c r="K1264" s="1" t="s">
        <v>2381</v>
      </c>
      <c r="L1264" s="1" t="s">
        <v>29</v>
      </c>
      <c r="M1264" s="1" t="s">
        <v>53</v>
      </c>
      <c r="N1264" s="1" t="s">
        <v>2382</v>
      </c>
      <c r="O1264">
        <v>15.24</v>
      </c>
      <c r="P1264">
        <v>3</v>
      </c>
      <c r="Q1264">
        <v>5.1816000000000004</v>
      </c>
      <c r="R1264" s="1" t="s">
        <v>4424</v>
      </c>
      <c r="S1264">
        <v>2015</v>
      </c>
      <c r="T1264" s="1" t="s">
        <v>90</v>
      </c>
    </row>
    <row r="1265" spans="1:20" x14ac:dyDescent="0.25">
      <c r="A1265" s="1" t="s">
        <v>3347</v>
      </c>
      <c r="B1265" s="2">
        <v>42617</v>
      </c>
      <c r="C1265" s="2">
        <v>42621</v>
      </c>
      <c r="D1265" s="1" t="s">
        <v>37</v>
      </c>
      <c r="E1265" s="1" t="s">
        <v>2684</v>
      </c>
      <c r="F1265" s="1" t="s">
        <v>2685</v>
      </c>
      <c r="G1265" s="1" t="s">
        <v>24</v>
      </c>
      <c r="H1265" s="1" t="s">
        <v>3348</v>
      </c>
      <c r="I1265" s="1" t="s">
        <v>26</v>
      </c>
      <c r="J1265" s="1" t="s">
        <v>27</v>
      </c>
      <c r="K1265" s="1" t="s">
        <v>476</v>
      </c>
      <c r="L1265" s="1" t="s">
        <v>29</v>
      </c>
      <c r="M1265" s="1" t="s">
        <v>53</v>
      </c>
      <c r="N1265" s="1" t="s">
        <v>477</v>
      </c>
      <c r="O1265">
        <v>42.6</v>
      </c>
      <c r="P1265">
        <v>3</v>
      </c>
      <c r="Q1265">
        <v>16.614000000000001</v>
      </c>
      <c r="R1265" s="1" t="s">
        <v>4424</v>
      </c>
      <c r="S1265">
        <v>2016</v>
      </c>
      <c r="T1265" s="1" t="s">
        <v>72</v>
      </c>
    </row>
    <row r="1266" spans="1:20" x14ac:dyDescent="0.25">
      <c r="A1266" s="1" t="s">
        <v>3349</v>
      </c>
      <c r="B1266" s="2">
        <v>42404</v>
      </c>
      <c r="C1266" s="2">
        <v>42408</v>
      </c>
      <c r="D1266" s="1" t="s">
        <v>37</v>
      </c>
      <c r="E1266" s="1" t="s">
        <v>74</v>
      </c>
      <c r="F1266" s="1" t="s">
        <v>75</v>
      </c>
      <c r="G1266" s="1" t="s">
        <v>24</v>
      </c>
      <c r="H1266" s="1" t="s">
        <v>3350</v>
      </c>
      <c r="I1266" s="1" t="s">
        <v>511</v>
      </c>
      <c r="J1266" s="1" t="s">
        <v>51</v>
      </c>
      <c r="K1266" s="1" t="s">
        <v>1442</v>
      </c>
      <c r="L1266" s="1" t="s">
        <v>29</v>
      </c>
      <c r="M1266" s="1" t="s">
        <v>53</v>
      </c>
      <c r="N1266" s="1" t="s">
        <v>1443</v>
      </c>
      <c r="O1266">
        <v>14.368</v>
      </c>
      <c r="P1266">
        <v>2</v>
      </c>
      <c r="Q1266">
        <v>3.9512</v>
      </c>
      <c r="R1266" s="1" t="s">
        <v>4424</v>
      </c>
      <c r="S1266">
        <v>2016</v>
      </c>
      <c r="T1266" s="1" t="s">
        <v>289</v>
      </c>
    </row>
    <row r="1267" spans="1:20" x14ac:dyDescent="0.25">
      <c r="A1267" s="1" t="s">
        <v>3351</v>
      </c>
      <c r="B1267" s="2">
        <v>42874</v>
      </c>
      <c r="C1267" s="2">
        <v>42879</v>
      </c>
      <c r="D1267" s="1" t="s">
        <v>21</v>
      </c>
      <c r="E1267" s="1" t="s">
        <v>1547</v>
      </c>
      <c r="F1267" s="1" t="s">
        <v>1548</v>
      </c>
      <c r="G1267" s="1" t="s">
        <v>84</v>
      </c>
      <c r="H1267" s="1" t="s">
        <v>3115</v>
      </c>
      <c r="I1267" s="1" t="s">
        <v>133</v>
      </c>
      <c r="J1267" s="1" t="s">
        <v>27</v>
      </c>
      <c r="K1267" s="1" t="s">
        <v>659</v>
      </c>
      <c r="L1267" s="1" t="s">
        <v>29</v>
      </c>
      <c r="M1267" s="1" t="s">
        <v>34</v>
      </c>
      <c r="N1267" s="1" t="s">
        <v>660</v>
      </c>
      <c r="O1267">
        <v>314.35199999999998</v>
      </c>
      <c r="P1267">
        <v>3</v>
      </c>
      <c r="Q1267">
        <v>-35.364600000000003</v>
      </c>
      <c r="R1267" s="1" t="s">
        <v>4422</v>
      </c>
      <c r="S1267">
        <v>2017</v>
      </c>
      <c r="T1267" s="1" t="s">
        <v>153</v>
      </c>
    </row>
    <row r="1268" spans="1:20" x14ac:dyDescent="0.25">
      <c r="A1268" s="1" t="s">
        <v>3352</v>
      </c>
      <c r="B1268" s="2">
        <v>42250</v>
      </c>
      <c r="C1268" s="2">
        <v>42255</v>
      </c>
      <c r="D1268" s="1" t="s">
        <v>37</v>
      </c>
      <c r="E1268" s="1" t="s">
        <v>2049</v>
      </c>
      <c r="F1268" s="1" t="s">
        <v>2050</v>
      </c>
      <c r="G1268" s="1" t="s">
        <v>84</v>
      </c>
      <c r="H1268" s="1" t="s">
        <v>1213</v>
      </c>
      <c r="I1268" s="1" t="s">
        <v>511</v>
      </c>
      <c r="J1268" s="1" t="s">
        <v>51</v>
      </c>
      <c r="K1268" s="1" t="s">
        <v>1391</v>
      </c>
      <c r="L1268" s="1" t="s">
        <v>29</v>
      </c>
      <c r="M1268" s="1" t="s">
        <v>53</v>
      </c>
      <c r="N1268" s="1" t="s">
        <v>1392</v>
      </c>
      <c r="O1268">
        <v>238.15199999999999</v>
      </c>
      <c r="P1268">
        <v>3</v>
      </c>
      <c r="Q1268">
        <v>89.307000000000002</v>
      </c>
      <c r="R1268" s="1" t="s">
        <v>4422</v>
      </c>
      <c r="S1268">
        <v>2015</v>
      </c>
      <c r="T1268" s="1" t="s">
        <v>72</v>
      </c>
    </row>
    <row r="1269" spans="1:20" x14ac:dyDescent="0.25">
      <c r="A1269" s="1" t="s">
        <v>3353</v>
      </c>
      <c r="B1269" s="2">
        <v>42530</v>
      </c>
      <c r="C1269" s="2">
        <v>42537</v>
      </c>
      <c r="D1269" s="1" t="s">
        <v>37</v>
      </c>
      <c r="E1269" s="1" t="s">
        <v>3354</v>
      </c>
      <c r="F1269" s="1" t="s">
        <v>3355</v>
      </c>
      <c r="G1269" s="1" t="s">
        <v>94</v>
      </c>
      <c r="H1269" s="1" t="s">
        <v>157</v>
      </c>
      <c r="I1269" s="1" t="s">
        <v>158</v>
      </c>
      <c r="J1269" s="1" t="s">
        <v>87</v>
      </c>
      <c r="K1269" s="1" t="s">
        <v>3156</v>
      </c>
      <c r="L1269" s="1" t="s">
        <v>29</v>
      </c>
      <c r="M1269" s="1" t="s">
        <v>43</v>
      </c>
      <c r="N1269" s="1" t="s">
        <v>3157</v>
      </c>
      <c r="O1269">
        <v>692.94</v>
      </c>
      <c r="P1269">
        <v>3</v>
      </c>
      <c r="Q1269">
        <v>173.23500000000001</v>
      </c>
      <c r="R1269" s="1" t="s">
        <v>4421</v>
      </c>
      <c r="S1269">
        <v>2016</v>
      </c>
      <c r="T1269" s="1" t="s">
        <v>55</v>
      </c>
    </row>
    <row r="1270" spans="1:20" x14ac:dyDescent="0.25">
      <c r="A1270" s="1" t="s">
        <v>3356</v>
      </c>
      <c r="B1270" s="2">
        <v>42636</v>
      </c>
      <c r="C1270" s="2">
        <v>42639</v>
      </c>
      <c r="D1270" s="1" t="s">
        <v>21</v>
      </c>
      <c r="E1270" s="1" t="s">
        <v>515</v>
      </c>
      <c r="F1270" s="1" t="s">
        <v>516</v>
      </c>
      <c r="G1270" s="1" t="s">
        <v>94</v>
      </c>
      <c r="H1270" s="1" t="s">
        <v>806</v>
      </c>
      <c r="I1270" s="1" t="s">
        <v>223</v>
      </c>
      <c r="J1270" s="1" t="s">
        <v>63</v>
      </c>
      <c r="K1270" s="1" t="s">
        <v>2180</v>
      </c>
      <c r="L1270" s="1" t="s">
        <v>29</v>
      </c>
      <c r="M1270" s="1" t="s">
        <v>53</v>
      </c>
      <c r="N1270" s="1" t="s">
        <v>2181</v>
      </c>
      <c r="O1270">
        <v>28</v>
      </c>
      <c r="P1270">
        <v>4</v>
      </c>
      <c r="Q1270">
        <v>7.7</v>
      </c>
      <c r="R1270" s="1" t="s">
        <v>4420</v>
      </c>
      <c r="S1270">
        <v>2016</v>
      </c>
      <c r="T1270" s="1" t="s">
        <v>72</v>
      </c>
    </row>
    <row r="1271" spans="1:20" x14ac:dyDescent="0.25">
      <c r="A1271" s="1" t="s">
        <v>3357</v>
      </c>
      <c r="B1271" s="2">
        <v>42875</v>
      </c>
      <c r="C1271" s="2">
        <v>42879</v>
      </c>
      <c r="D1271" s="1" t="s">
        <v>37</v>
      </c>
      <c r="E1271" s="1" t="s">
        <v>873</v>
      </c>
      <c r="F1271" s="1" t="s">
        <v>874</v>
      </c>
      <c r="G1271" s="1" t="s">
        <v>94</v>
      </c>
      <c r="H1271" s="1" t="s">
        <v>2051</v>
      </c>
      <c r="I1271" s="1" t="s">
        <v>50</v>
      </c>
      <c r="J1271" s="1" t="s">
        <v>51</v>
      </c>
      <c r="K1271" s="1" t="s">
        <v>501</v>
      </c>
      <c r="L1271" s="1" t="s">
        <v>29</v>
      </c>
      <c r="M1271" s="1" t="s">
        <v>34</v>
      </c>
      <c r="N1271" s="1" t="s">
        <v>502</v>
      </c>
      <c r="O1271">
        <v>518.27200000000005</v>
      </c>
      <c r="P1271">
        <v>8</v>
      </c>
      <c r="Q1271">
        <v>-97.176000000000002</v>
      </c>
      <c r="R1271" s="1" t="s">
        <v>4424</v>
      </c>
      <c r="S1271">
        <v>2017</v>
      </c>
      <c r="T1271" s="1" t="s">
        <v>153</v>
      </c>
    </row>
    <row r="1272" spans="1:20" x14ac:dyDescent="0.25">
      <c r="A1272" s="1" t="s">
        <v>3357</v>
      </c>
      <c r="B1272" s="2">
        <v>42875</v>
      </c>
      <c r="C1272" s="2">
        <v>42879</v>
      </c>
      <c r="D1272" s="1" t="s">
        <v>37</v>
      </c>
      <c r="E1272" s="1" t="s">
        <v>873</v>
      </c>
      <c r="F1272" s="1" t="s">
        <v>874</v>
      </c>
      <c r="G1272" s="1" t="s">
        <v>94</v>
      </c>
      <c r="H1272" s="1" t="s">
        <v>2051</v>
      </c>
      <c r="I1272" s="1" t="s">
        <v>50</v>
      </c>
      <c r="J1272" s="1" t="s">
        <v>51</v>
      </c>
      <c r="K1272" s="1" t="s">
        <v>968</v>
      </c>
      <c r="L1272" s="1" t="s">
        <v>29</v>
      </c>
      <c r="M1272" s="1" t="s">
        <v>53</v>
      </c>
      <c r="N1272" s="1" t="s">
        <v>969</v>
      </c>
      <c r="O1272">
        <v>6.98</v>
      </c>
      <c r="P1272">
        <v>1</v>
      </c>
      <c r="Q1272">
        <v>3.3504</v>
      </c>
      <c r="R1272" s="1" t="s">
        <v>4424</v>
      </c>
      <c r="S1272">
        <v>2017</v>
      </c>
      <c r="T1272" s="1" t="s">
        <v>153</v>
      </c>
    </row>
    <row r="1273" spans="1:20" x14ac:dyDescent="0.25">
      <c r="A1273" s="1" t="s">
        <v>3358</v>
      </c>
      <c r="B1273" s="2">
        <v>42614</v>
      </c>
      <c r="C1273" s="2">
        <v>42620</v>
      </c>
      <c r="D1273" s="1" t="s">
        <v>37</v>
      </c>
      <c r="E1273" s="1" t="s">
        <v>1109</v>
      </c>
      <c r="F1273" s="1" t="s">
        <v>1110</v>
      </c>
      <c r="G1273" s="1" t="s">
        <v>24</v>
      </c>
      <c r="H1273" s="1" t="s">
        <v>165</v>
      </c>
      <c r="I1273" s="1" t="s">
        <v>114</v>
      </c>
      <c r="J1273" s="1" t="s">
        <v>63</v>
      </c>
      <c r="K1273" s="1" t="s">
        <v>542</v>
      </c>
      <c r="L1273" s="1" t="s">
        <v>29</v>
      </c>
      <c r="M1273" s="1" t="s">
        <v>53</v>
      </c>
      <c r="N1273" s="1" t="s">
        <v>543</v>
      </c>
      <c r="O1273">
        <v>191.82</v>
      </c>
      <c r="P1273">
        <v>3</v>
      </c>
      <c r="Q1273">
        <v>61.382399999999997</v>
      </c>
      <c r="R1273" s="1" t="s">
        <v>4426</v>
      </c>
      <c r="S1273">
        <v>2016</v>
      </c>
      <c r="T1273" s="1" t="s">
        <v>72</v>
      </c>
    </row>
    <row r="1274" spans="1:20" x14ac:dyDescent="0.25">
      <c r="A1274" s="1" t="s">
        <v>3359</v>
      </c>
      <c r="B1274" s="2">
        <v>41688</v>
      </c>
      <c r="C1274" s="2">
        <v>41688</v>
      </c>
      <c r="D1274" s="1" t="s">
        <v>417</v>
      </c>
      <c r="E1274" s="1" t="s">
        <v>489</v>
      </c>
      <c r="F1274" s="1" t="s">
        <v>490</v>
      </c>
      <c r="G1274" s="1" t="s">
        <v>24</v>
      </c>
      <c r="H1274" s="1" t="s">
        <v>3360</v>
      </c>
      <c r="I1274" s="1" t="s">
        <v>86</v>
      </c>
      <c r="J1274" s="1" t="s">
        <v>87</v>
      </c>
      <c r="K1274" s="1" t="s">
        <v>2605</v>
      </c>
      <c r="L1274" s="1" t="s">
        <v>29</v>
      </c>
      <c r="M1274" s="1" t="s">
        <v>53</v>
      </c>
      <c r="N1274" s="1" t="s">
        <v>2606</v>
      </c>
      <c r="O1274">
        <v>25.16</v>
      </c>
      <c r="P1274">
        <v>5</v>
      </c>
      <c r="Q1274">
        <v>-11.321999999999999</v>
      </c>
      <c r="R1274" s="1" t="s">
        <v>4427</v>
      </c>
      <c r="S1274">
        <v>2014</v>
      </c>
      <c r="T1274" s="1" t="s">
        <v>289</v>
      </c>
    </row>
    <row r="1275" spans="1:20" x14ac:dyDescent="0.25">
      <c r="A1275" s="1" t="s">
        <v>3361</v>
      </c>
      <c r="B1275" s="2">
        <v>42352</v>
      </c>
      <c r="C1275" s="2">
        <v>42356</v>
      </c>
      <c r="D1275" s="1" t="s">
        <v>37</v>
      </c>
      <c r="E1275" s="1" t="s">
        <v>1037</v>
      </c>
      <c r="F1275" s="1" t="s">
        <v>1038</v>
      </c>
      <c r="G1275" s="1" t="s">
        <v>24</v>
      </c>
      <c r="H1275" s="1" t="s">
        <v>541</v>
      </c>
      <c r="I1275" s="1" t="s">
        <v>50</v>
      </c>
      <c r="J1275" s="1" t="s">
        <v>51</v>
      </c>
      <c r="K1275" s="1" t="s">
        <v>307</v>
      </c>
      <c r="L1275" s="1" t="s">
        <v>29</v>
      </c>
      <c r="M1275" s="1" t="s">
        <v>53</v>
      </c>
      <c r="N1275" s="1" t="s">
        <v>308</v>
      </c>
      <c r="O1275">
        <v>29.22</v>
      </c>
      <c r="P1275">
        <v>3</v>
      </c>
      <c r="Q1275">
        <v>12.8568</v>
      </c>
      <c r="R1275" s="1" t="s">
        <v>4424</v>
      </c>
      <c r="S1275">
        <v>2015</v>
      </c>
      <c r="T1275" s="1" t="s">
        <v>90</v>
      </c>
    </row>
    <row r="1276" spans="1:20" x14ac:dyDescent="0.25">
      <c r="A1276" s="1" t="s">
        <v>3362</v>
      </c>
      <c r="B1276" s="2">
        <v>42998</v>
      </c>
      <c r="C1276" s="2">
        <v>43004</v>
      </c>
      <c r="D1276" s="1" t="s">
        <v>37</v>
      </c>
      <c r="E1276" s="1" t="s">
        <v>730</v>
      </c>
      <c r="F1276" s="1" t="s">
        <v>731</v>
      </c>
      <c r="G1276" s="1" t="s">
        <v>24</v>
      </c>
      <c r="H1276" s="1" t="s">
        <v>165</v>
      </c>
      <c r="I1276" s="1" t="s">
        <v>114</v>
      </c>
      <c r="J1276" s="1" t="s">
        <v>63</v>
      </c>
      <c r="K1276" s="1" t="s">
        <v>1177</v>
      </c>
      <c r="L1276" s="1" t="s">
        <v>29</v>
      </c>
      <c r="M1276" s="1" t="s">
        <v>34</v>
      </c>
      <c r="N1276" s="1" t="s">
        <v>1178</v>
      </c>
      <c r="O1276">
        <v>272.64600000000002</v>
      </c>
      <c r="P1276">
        <v>3</v>
      </c>
      <c r="Q1276">
        <v>18.176400000000001</v>
      </c>
      <c r="R1276" s="1" t="s">
        <v>4426</v>
      </c>
      <c r="S1276">
        <v>2017</v>
      </c>
      <c r="T1276" s="1" t="s">
        <v>72</v>
      </c>
    </row>
    <row r="1277" spans="1:20" x14ac:dyDescent="0.25">
      <c r="A1277" s="1" t="s">
        <v>3362</v>
      </c>
      <c r="B1277" s="2">
        <v>42998</v>
      </c>
      <c r="C1277" s="2">
        <v>43004</v>
      </c>
      <c r="D1277" s="1" t="s">
        <v>37</v>
      </c>
      <c r="E1277" s="1" t="s">
        <v>730</v>
      </c>
      <c r="F1277" s="1" t="s">
        <v>731</v>
      </c>
      <c r="G1277" s="1" t="s">
        <v>24</v>
      </c>
      <c r="H1277" s="1" t="s">
        <v>165</v>
      </c>
      <c r="I1277" s="1" t="s">
        <v>114</v>
      </c>
      <c r="J1277" s="1" t="s">
        <v>63</v>
      </c>
      <c r="K1277" s="1" t="s">
        <v>108</v>
      </c>
      <c r="L1277" s="1" t="s">
        <v>29</v>
      </c>
      <c r="M1277" s="1" t="s">
        <v>34</v>
      </c>
      <c r="N1277" s="1" t="s">
        <v>109</v>
      </c>
      <c r="O1277">
        <v>80.991</v>
      </c>
      <c r="P1277">
        <v>1</v>
      </c>
      <c r="Q1277">
        <v>8.0991</v>
      </c>
      <c r="R1277" s="1" t="s">
        <v>4426</v>
      </c>
      <c r="S1277">
        <v>2017</v>
      </c>
      <c r="T1277" s="1" t="s">
        <v>72</v>
      </c>
    </row>
    <row r="1278" spans="1:20" x14ac:dyDescent="0.25">
      <c r="A1278" s="1" t="s">
        <v>3362</v>
      </c>
      <c r="B1278" s="2">
        <v>42998</v>
      </c>
      <c r="C1278" s="2">
        <v>43004</v>
      </c>
      <c r="D1278" s="1" t="s">
        <v>37</v>
      </c>
      <c r="E1278" s="1" t="s">
        <v>730</v>
      </c>
      <c r="F1278" s="1" t="s">
        <v>731</v>
      </c>
      <c r="G1278" s="1" t="s">
        <v>24</v>
      </c>
      <c r="H1278" s="1" t="s">
        <v>165</v>
      </c>
      <c r="I1278" s="1" t="s">
        <v>114</v>
      </c>
      <c r="J1278" s="1" t="s">
        <v>63</v>
      </c>
      <c r="K1278" s="1" t="s">
        <v>373</v>
      </c>
      <c r="L1278" s="1" t="s">
        <v>29</v>
      </c>
      <c r="M1278" s="1" t="s">
        <v>34</v>
      </c>
      <c r="N1278" s="1" t="s">
        <v>374</v>
      </c>
      <c r="O1278">
        <v>2888.127</v>
      </c>
      <c r="P1278">
        <v>11</v>
      </c>
      <c r="Q1278">
        <v>609.71569999999997</v>
      </c>
      <c r="R1278" s="1" t="s">
        <v>4426</v>
      </c>
      <c r="S1278">
        <v>2017</v>
      </c>
      <c r="T1278" s="1" t="s">
        <v>72</v>
      </c>
    </row>
    <row r="1279" spans="1:20" x14ac:dyDescent="0.25">
      <c r="A1279" s="1" t="s">
        <v>3362</v>
      </c>
      <c r="B1279" s="2">
        <v>42998</v>
      </c>
      <c r="C1279" s="2">
        <v>43004</v>
      </c>
      <c r="D1279" s="1" t="s">
        <v>37</v>
      </c>
      <c r="E1279" s="1" t="s">
        <v>730</v>
      </c>
      <c r="F1279" s="1" t="s">
        <v>731</v>
      </c>
      <c r="G1279" s="1" t="s">
        <v>24</v>
      </c>
      <c r="H1279" s="1" t="s">
        <v>165</v>
      </c>
      <c r="I1279" s="1" t="s">
        <v>114</v>
      </c>
      <c r="J1279" s="1" t="s">
        <v>63</v>
      </c>
      <c r="K1279" s="1" t="s">
        <v>550</v>
      </c>
      <c r="L1279" s="1" t="s">
        <v>29</v>
      </c>
      <c r="M1279" s="1" t="s">
        <v>34</v>
      </c>
      <c r="N1279" s="1" t="s">
        <v>551</v>
      </c>
      <c r="O1279">
        <v>2254.41</v>
      </c>
      <c r="P1279">
        <v>5</v>
      </c>
      <c r="Q1279">
        <v>375.73500000000001</v>
      </c>
      <c r="R1279" s="1" t="s">
        <v>4426</v>
      </c>
      <c r="S1279">
        <v>2017</v>
      </c>
      <c r="T1279" s="1" t="s">
        <v>72</v>
      </c>
    </row>
    <row r="1280" spans="1:20" x14ac:dyDescent="0.25">
      <c r="A1280" s="1" t="s">
        <v>3363</v>
      </c>
      <c r="B1280" s="2">
        <v>42969</v>
      </c>
      <c r="C1280" s="2">
        <v>42971</v>
      </c>
      <c r="D1280" s="1" t="s">
        <v>81</v>
      </c>
      <c r="E1280" s="1" t="s">
        <v>2422</v>
      </c>
      <c r="F1280" s="1" t="s">
        <v>2423</v>
      </c>
      <c r="G1280" s="1" t="s">
        <v>94</v>
      </c>
      <c r="H1280" s="1" t="s">
        <v>61</v>
      </c>
      <c r="I1280" s="1" t="s">
        <v>62</v>
      </c>
      <c r="J1280" s="1" t="s">
        <v>63</v>
      </c>
      <c r="K1280" s="1" t="s">
        <v>906</v>
      </c>
      <c r="L1280" s="1" t="s">
        <v>29</v>
      </c>
      <c r="M1280" s="1" t="s">
        <v>43</v>
      </c>
      <c r="N1280" s="1" t="s">
        <v>907</v>
      </c>
      <c r="O1280">
        <v>314.53199999999998</v>
      </c>
      <c r="P1280">
        <v>2</v>
      </c>
      <c r="Q1280">
        <v>-83.875200000000007</v>
      </c>
      <c r="R1280" s="1" t="s">
        <v>4423</v>
      </c>
      <c r="S1280">
        <v>2017</v>
      </c>
      <c r="T1280" s="1" t="s">
        <v>245</v>
      </c>
    </row>
    <row r="1281" spans="1:20" x14ac:dyDescent="0.25">
      <c r="A1281" s="1" t="s">
        <v>3364</v>
      </c>
      <c r="B1281" s="2">
        <v>42686</v>
      </c>
      <c r="C1281" s="2">
        <v>42690</v>
      </c>
      <c r="D1281" s="1" t="s">
        <v>37</v>
      </c>
      <c r="E1281" s="1" t="s">
        <v>3365</v>
      </c>
      <c r="F1281" s="1" t="s">
        <v>3366</v>
      </c>
      <c r="G1281" s="1" t="s">
        <v>24</v>
      </c>
      <c r="H1281" s="1" t="s">
        <v>2975</v>
      </c>
      <c r="I1281" s="1" t="s">
        <v>223</v>
      </c>
      <c r="J1281" s="1" t="s">
        <v>63</v>
      </c>
      <c r="K1281" s="1" t="s">
        <v>2325</v>
      </c>
      <c r="L1281" s="1" t="s">
        <v>29</v>
      </c>
      <c r="M1281" s="1" t="s">
        <v>34</v>
      </c>
      <c r="N1281" s="1" t="s">
        <v>2326</v>
      </c>
      <c r="O1281">
        <v>1474.8019999999999</v>
      </c>
      <c r="P1281">
        <v>7</v>
      </c>
      <c r="Q1281">
        <v>-21.0686</v>
      </c>
      <c r="R1281" s="1" t="s">
        <v>4424</v>
      </c>
      <c r="S1281">
        <v>2016</v>
      </c>
      <c r="T1281" s="1" t="s">
        <v>32</v>
      </c>
    </row>
    <row r="1282" spans="1:20" x14ac:dyDescent="0.25">
      <c r="A1282" s="1" t="s">
        <v>3364</v>
      </c>
      <c r="B1282" s="2">
        <v>42686</v>
      </c>
      <c r="C1282" s="2">
        <v>42690</v>
      </c>
      <c r="D1282" s="1" t="s">
        <v>37</v>
      </c>
      <c r="E1282" s="1" t="s">
        <v>3365</v>
      </c>
      <c r="F1282" s="1" t="s">
        <v>3366</v>
      </c>
      <c r="G1282" s="1" t="s">
        <v>24</v>
      </c>
      <c r="H1282" s="1" t="s">
        <v>2975</v>
      </c>
      <c r="I1282" s="1" t="s">
        <v>223</v>
      </c>
      <c r="J1282" s="1" t="s">
        <v>63</v>
      </c>
      <c r="K1282" s="1" t="s">
        <v>33</v>
      </c>
      <c r="L1282" s="1" t="s">
        <v>29</v>
      </c>
      <c r="M1282" s="1" t="s">
        <v>34</v>
      </c>
      <c r="N1282" s="1" t="s">
        <v>35</v>
      </c>
      <c r="O1282">
        <v>1537.0740000000001</v>
      </c>
      <c r="P1282">
        <v>9</v>
      </c>
      <c r="Q1282">
        <v>0</v>
      </c>
      <c r="R1282" s="1" t="s">
        <v>4424</v>
      </c>
      <c r="S1282">
        <v>2016</v>
      </c>
      <c r="T1282" s="1" t="s">
        <v>32</v>
      </c>
    </row>
    <row r="1283" spans="1:20" x14ac:dyDescent="0.25">
      <c r="A1283" s="1" t="s">
        <v>3364</v>
      </c>
      <c r="B1283" s="2">
        <v>42686</v>
      </c>
      <c r="C1283" s="2">
        <v>42690</v>
      </c>
      <c r="D1283" s="1" t="s">
        <v>37</v>
      </c>
      <c r="E1283" s="1" t="s">
        <v>3365</v>
      </c>
      <c r="F1283" s="1" t="s">
        <v>3366</v>
      </c>
      <c r="G1283" s="1" t="s">
        <v>24</v>
      </c>
      <c r="H1283" s="1" t="s">
        <v>2975</v>
      </c>
      <c r="I1283" s="1" t="s">
        <v>223</v>
      </c>
      <c r="J1283" s="1" t="s">
        <v>63</v>
      </c>
      <c r="K1283" s="1" t="s">
        <v>786</v>
      </c>
      <c r="L1283" s="1" t="s">
        <v>29</v>
      </c>
      <c r="M1283" s="1" t="s">
        <v>34</v>
      </c>
      <c r="N1283" s="1" t="s">
        <v>787</v>
      </c>
      <c r="O1283">
        <v>449.37200000000001</v>
      </c>
      <c r="P1283">
        <v>2</v>
      </c>
      <c r="Q1283">
        <v>-12.8392</v>
      </c>
      <c r="R1283" s="1" t="s">
        <v>4424</v>
      </c>
      <c r="S1283">
        <v>2016</v>
      </c>
      <c r="T1283" s="1" t="s">
        <v>32</v>
      </c>
    </row>
    <row r="1284" spans="1:20" x14ac:dyDescent="0.25">
      <c r="A1284" s="1" t="s">
        <v>3367</v>
      </c>
      <c r="B1284" s="2">
        <v>42997</v>
      </c>
      <c r="C1284" s="2">
        <v>43003</v>
      </c>
      <c r="D1284" s="1" t="s">
        <v>37</v>
      </c>
      <c r="E1284" s="1" t="s">
        <v>3368</v>
      </c>
      <c r="F1284" s="1" t="s">
        <v>3369</v>
      </c>
      <c r="G1284" s="1" t="s">
        <v>84</v>
      </c>
      <c r="H1284" s="1" t="s">
        <v>869</v>
      </c>
      <c r="I1284" s="1" t="s">
        <v>1508</v>
      </c>
      <c r="J1284" s="1" t="s">
        <v>51</v>
      </c>
      <c r="K1284" s="1" t="s">
        <v>542</v>
      </c>
      <c r="L1284" s="1" t="s">
        <v>29</v>
      </c>
      <c r="M1284" s="1" t="s">
        <v>53</v>
      </c>
      <c r="N1284" s="1" t="s">
        <v>543</v>
      </c>
      <c r="O1284">
        <v>409.21600000000001</v>
      </c>
      <c r="P1284">
        <v>8</v>
      </c>
      <c r="Q1284">
        <v>61.382399999999997</v>
      </c>
      <c r="R1284" s="1" t="s">
        <v>4426</v>
      </c>
      <c r="S1284">
        <v>2017</v>
      </c>
      <c r="T1284" s="1" t="s">
        <v>72</v>
      </c>
    </row>
    <row r="1285" spans="1:20" x14ac:dyDescent="0.25">
      <c r="A1285" s="1" t="s">
        <v>3367</v>
      </c>
      <c r="B1285" s="2">
        <v>42997</v>
      </c>
      <c r="C1285" s="2">
        <v>43003</v>
      </c>
      <c r="D1285" s="1" t="s">
        <v>37</v>
      </c>
      <c r="E1285" s="1" t="s">
        <v>3368</v>
      </c>
      <c r="F1285" s="1" t="s">
        <v>3369</v>
      </c>
      <c r="G1285" s="1" t="s">
        <v>84</v>
      </c>
      <c r="H1285" s="1" t="s">
        <v>869</v>
      </c>
      <c r="I1285" s="1" t="s">
        <v>1508</v>
      </c>
      <c r="J1285" s="1" t="s">
        <v>51</v>
      </c>
      <c r="K1285" s="1" t="s">
        <v>447</v>
      </c>
      <c r="L1285" s="1" t="s">
        <v>29</v>
      </c>
      <c r="M1285" s="1" t="s">
        <v>30</v>
      </c>
      <c r="N1285" s="1" t="s">
        <v>448</v>
      </c>
      <c r="O1285">
        <v>72.587999999999994</v>
      </c>
      <c r="P1285">
        <v>2</v>
      </c>
      <c r="Q1285">
        <v>-128.2388</v>
      </c>
      <c r="R1285" s="1" t="s">
        <v>4426</v>
      </c>
      <c r="S1285">
        <v>2017</v>
      </c>
      <c r="T1285" s="1" t="s">
        <v>72</v>
      </c>
    </row>
    <row r="1286" spans="1:20" x14ac:dyDescent="0.25">
      <c r="A1286" s="1" t="s">
        <v>3370</v>
      </c>
      <c r="B1286" s="2">
        <v>42460</v>
      </c>
      <c r="C1286" s="2">
        <v>42466</v>
      </c>
      <c r="D1286" s="1" t="s">
        <v>37</v>
      </c>
      <c r="E1286" s="1" t="s">
        <v>1838</v>
      </c>
      <c r="F1286" s="1" t="s">
        <v>1839</v>
      </c>
      <c r="G1286" s="1" t="s">
        <v>24</v>
      </c>
      <c r="H1286" s="1" t="s">
        <v>165</v>
      </c>
      <c r="I1286" s="1" t="s">
        <v>114</v>
      </c>
      <c r="J1286" s="1" t="s">
        <v>63</v>
      </c>
      <c r="K1286" s="1" t="s">
        <v>243</v>
      </c>
      <c r="L1286" s="1" t="s">
        <v>29</v>
      </c>
      <c r="M1286" s="1" t="s">
        <v>34</v>
      </c>
      <c r="N1286" s="1" t="s">
        <v>244</v>
      </c>
      <c r="O1286">
        <v>327.99599999999998</v>
      </c>
      <c r="P1286">
        <v>6</v>
      </c>
      <c r="Q1286">
        <v>54.665999999999997</v>
      </c>
      <c r="R1286" s="1" t="s">
        <v>4426</v>
      </c>
      <c r="S1286">
        <v>2016</v>
      </c>
      <c r="T1286" s="1" t="s">
        <v>187</v>
      </c>
    </row>
    <row r="1287" spans="1:20" x14ac:dyDescent="0.25">
      <c r="A1287" s="1" t="s">
        <v>3371</v>
      </c>
      <c r="B1287" s="2">
        <v>42000</v>
      </c>
      <c r="C1287" s="2">
        <v>42004</v>
      </c>
      <c r="D1287" s="1" t="s">
        <v>37</v>
      </c>
      <c r="E1287" s="1" t="s">
        <v>3372</v>
      </c>
      <c r="F1287" s="1" t="s">
        <v>3373</v>
      </c>
      <c r="G1287" s="1" t="s">
        <v>94</v>
      </c>
      <c r="H1287" s="1" t="s">
        <v>165</v>
      </c>
      <c r="I1287" s="1" t="s">
        <v>114</v>
      </c>
      <c r="J1287" s="1" t="s">
        <v>63</v>
      </c>
      <c r="K1287" s="1" t="s">
        <v>290</v>
      </c>
      <c r="L1287" s="1" t="s">
        <v>29</v>
      </c>
      <c r="M1287" s="1" t="s">
        <v>34</v>
      </c>
      <c r="N1287" s="1" t="s">
        <v>291</v>
      </c>
      <c r="O1287">
        <v>767.21400000000006</v>
      </c>
      <c r="P1287">
        <v>14</v>
      </c>
      <c r="Q1287">
        <v>161.9674</v>
      </c>
      <c r="R1287" s="1" t="s">
        <v>4424</v>
      </c>
      <c r="S1287">
        <v>2014</v>
      </c>
      <c r="T1287" s="1" t="s">
        <v>90</v>
      </c>
    </row>
    <row r="1288" spans="1:20" x14ac:dyDescent="0.25">
      <c r="A1288" s="1" t="s">
        <v>3374</v>
      </c>
      <c r="B1288" s="2">
        <v>42598</v>
      </c>
      <c r="C1288" s="2">
        <v>42601</v>
      </c>
      <c r="D1288" s="1" t="s">
        <v>81</v>
      </c>
      <c r="E1288" s="1" t="s">
        <v>3375</v>
      </c>
      <c r="F1288" s="1" t="s">
        <v>3376</v>
      </c>
      <c r="G1288" s="1" t="s">
        <v>84</v>
      </c>
      <c r="H1288" s="1" t="s">
        <v>49</v>
      </c>
      <c r="I1288" s="1" t="s">
        <v>50</v>
      </c>
      <c r="J1288" s="1" t="s">
        <v>51</v>
      </c>
      <c r="K1288" s="1" t="s">
        <v>2397</v>
      </c>
      <c r="L1288" s="1" t="s">
        <v>29</v>
      </c>
      <c r="M1288" s="1" t="s">
        <v>43</v>
      </c>
      <c r="N1288" s="1" t="s">
        <v>2398</v>
      </c>
      <c r="O1288">
        <v>161.28</v>
      </c>
      <c r="P1288">
        <v>2</v>
      </c>
      <c r="Q1288">
        <v>12.096</v>
      </c>
      <c r="R1288" s="1" t="s">
        <v>4420</v>
      </c>
      <c r="S1288">
        <v>2016</v>
      </c>
      <c r="T1288" s="1" t="s">
        <v>245</v>
      </c>
    </row>
    <row r="1289" spans="1:20" x14ac:dyDescent="0.25">
      <c r="A1289" s="1" t="s">
        <v>3377</v>
      </c>
      <c r="B1289" s="2">
        <v>41728</v>
      </c>
      <c r="C1289" s="2">
        <v>41733</v>
      </c>
      <c r="D1289" s="1" t="s">
        <v>37</v>
      </c>
      <c r="E1289" s="1" t="s">
        <v>858</v>
      </c>
      <c r="F1289" s="1" t="s">
        <v>859</v>
      </c>
      <c r="G1289" s="1" t="s">
        <v>24</v>
      </c>
      <c r="H1289" s="1" t="s">
        <v>320</v>
      </c>
      <c r="I1289" s="1" t="s">
        <v>50</v>
      </c>
      <c r="J1289" s="1" t="s">
        <v>51</v>
      </c>
      <c r="K1289" s="1" t="s">
        <v>533</v>
      </c>
      <c r="L1289" s="1" t="s">
        <v>29</v>
      </c>
      <c r="M1289" s="1" t="s">
        <v>30</v>
      </c>
      <c r="N1289" s="1" t="s">
        <v>534</v>
      </c>
      <c r="O1289">
        <v>205.666</v>
      </c>
      <c r="P1289">
        <v>2</v>
      </c>
      <c r="Q1289">
        <v>-12.098000000000001</v>
      </c>
      <c r="R1289" s="1" t="s">
        <v>4422</v>
      </c>
      <c r="S1289">
        <v>2014</v>
      </c>
      <c r="T1289" s="1" t="s">
        <v>187</v>
      </c>
    </row>
    <row r="1290" spans="1:20" x14ac:dyDescent="0.25">
      <c r="A1290" s="1" t="s">
        <v>3378</v>
      </c>
      <c r="B1290" s="2">
        <v>43097</v>
      </c>
      <c r="C1290" s="2">
        <v>43100</v>
      </c>
      <c r="D1290" s="1" t="s">
        <v>81</v>
      </c>
      <c r="E1290" s="1" t="s">
        <v>2299</v>
      </c>
      <c r="F1290" s="1" t="s">
        <v>2300</v>
      </c>
      <c r="G1290" s="1" t="s">
        <v>84</v>
      </c>
      <c r="H1290" s="1" t="s">
        <v>721</v>
      </c>
      <c r="I1290" s="1" t="s">
        <v>50</v>
      </c>
      <c r="J1290" s="1" t="s">
        <v>51</v>
      </c>
      <c r="K1290" s="1" t="s">
        <v>115</v>
      </c>
      <c r="L1290" s="1" t="s">
        <v>29</v>
      </c>
      <c r="M1290" s="1" t="s">
        <v>34</v>
      </c>
      <c r="N1290" s="1" t="s">
        <v>116</v>
      </c>
      <c r="O1290">
        <v>340.70400000000001</v>
      </c>
      <c r="P1290">
        <v>6</v>
      </c>
      <c r="Q1290">
        <v>-34.070399999999999</v>
      </c>
      <c r="R1290" s="1" t="s">
        <v>4420</v>
      </c>
      <c r="S1290">
        <v>2017</v>
      </c>
      <c r="T1290" s="1" t="s">
        <v>90</v>
      </c>
    </row>
    <row r="1291" spans="1:20" x14ac:dyDescent="0.25">
      <c r="A1291" s="1" t="s">
        <v>3379</v>
      </c>
      <c r="B1291" s="2">
        <v>42468</v>
      </c>
      <c r="C1291" s="2">
        <v>42471</v>
      </c>
      <c r="D1291" s="1" t="s">
        <v>81</v>
      </c>
      <c r="E1291" s="1" t="s">
        <v>1480</v>
      </c>
      <c r="F1291" s="1" t="s">
        <v>1481</v>
      </c>
      <c r="G1291" s="1" t="s">
        <v>24</v>
      </c>
      <c r="H1291" s="1" t="s">
        <v>339</v>
      </c>
      <c r="I1291" s="1" t="s">
        <v>658</v>
      </c>
      <c r="J1291" s="1" t="s">
        <v>27</v>
      </c>
      <c r="K1291" s="1" t="s">
        <v>2470</v>
      </c>
      <c r="L1291" s="1" t="s">
        <v>29</v>
      </c>
      <c r="M1291" s="1" t="s">
        <v>30</v>
      </c>
      <c r="N1291" s="1" t="s">
        <v>2471</v>
      </c>
      <c r="O1291">
        <v>354.9</v>
      </c>
      <c r="P1291">
        <v>5</v>
      </c>
      <c r="Q1291">
        <v>88.724999999999994</v>
      </c>
      <c r="R1291" s="1" t="s">
        <v>4420</v>
      </c>
      <c r="S1291">
        <v>2016</v>
      </c>
      <c r="T1291" s="1" t="s">
        <v>107</v>
      </c>
    </row>
    <row r="1292" spans="1:20" x14ac:dyDescent="0.25">
      <c r="A1292" s="1" t="s">
        <v>3380</v>
      </c>
      <c r="B1292" s="2">
        <v>41716</v>
      </c>
      <c r="C1292" s="2">
        <v>41719</v>
      </c>
      <c r="D1292" s="1" t="s">
        <v>21</v>
      </c>
      <c r="E1292" s="1" t="s">
        <v>3381</v>
      </c>
      <c r="F1292" s="1" t="s">
        <v>3382</v>
      </c>
      <c r="G1292" s="1" t="s">
        <v>94</v>
      </c>
      <c r="H1292" s="1" t="s">
        <v>320</v>
      </c>
      <c r="I1292" s="1" t="s">
        <v>50</v>
      </c>
      <c r="J1292" s="1" t="s">
        <v>51</v>
      </c>
      <c r="K1292" s="1" t="s">
        <v>2613</v>
      </c>
      <c r="L1292" s="1" t="s">
        <v>29</v>
      </c>
      <c r="M1292" s="1" t="s">
        <v>30</v>
      </c>
      <c r="N1292" s="1" t="s">
        <v>2614</v>
      </c>
      <c r="O1292">
        <v>1198.33</v>
      </c>
      <c r="P1292">
        <v>10</v>
      </c>
      <c r="Q1292">
        <v>70.489999999999995</v>
      </c>
      <c r="R1292" s="1" t="s">
        <v>4420</v>
      </c>
      <c r="S1292">
        <v>2014</v>
      </c>
      <c r="T1292" s="1" t="s">
        <v>187</v>
      </c>
    </row>
    <row r="1293" spans="1:20" x14ac:dyDescent="0.25">
      <c r="A1293" s="1" t="s">
        <v>3383</v>
      </c>
      <c r="B1293" s="2">
        <v>42845</v>
      </c>
      <c r="C1293" s="2">
        <v>42848</v>
      </c>
      <c r="D1293" s="1" t="s">
        <v>81</v>
      </c>
      <c r="E1293" s="1" t="s">
        <v>176</v>
      </c>
      <c r="F1293" s="1" t="s">
        <v>177</v>
      </c>
      <c r="G1293" s="1" t="s">
        <v>84</v>
      </c>
      <c r="H1293" s="1" t="s">
        <v>61</v>
      </c>
      <c r="I1293" s="1" t="s">
        <v>62</v>
      </c>
      <c r="J1293" s="1" t="s">
        <v>63</v>
      </c>
      <c r="K1293" s="1" t="s">
        <v>2046</v>
      </c>
      <c r="L1293" s="1" t="s">
        <v>29</v>
      </c>
      <c r="M1293" s="1" t="s">
        <v>53</v>
      </c>
      <c r="N1293" s="1" t="s">
        <v>2047</v>
      </c>
      <c r="O1293">
        <v>51.968000000000004</v>
      </c>
      <c r="P1293">
        <v>2</v>
      </c>
      <c r="Q1293">
        <v>10.393599999999999</v>
      </c>
      <c r="R1293" s="1" t="s">
        <v>4420</v>
      </c>
      <c r="S1293">
        <v>2017</v>
      </c>
      <c r="T1293" s="1" t="s">
        <v>107</v>
      </c>
    </row>
    <row r="1294" spans="1:20" x14ac:dyDescent="0.25">
      <c r="A1294" s="1" t="s">
        <v>3383</v>
      </c>
      <c r="B1294" s="2">
        <v>42845</v>
      </c>
      <c r="C1294" s="2">
        <v>42848</v>
      </c>
      <c r="D1294" s="1" t="s">
        <v>81</v>
      </c>
      <c r="E1294" s="1" t="s">
        <v>176</v>
      </c>
      <c r="F1294" s="1" t="s">
        <v>177</v>
      </c>
      <c r="G1294" s="1" t="s">
        <v>84</v>
      </c>
      <c r="H1294" s="1" t="s">
        <v>61</v>
      </c>
      <c r="I1294" s="1" t="s">
        <v>62</v>
      </c>
      <c r="J1294" s="1" t="s">
        <v>63</v>
      </c>
      <c r="K1294" s="1" t="s">
        <v>1980</v>
      </c>
      <c r="L1294" s="1" t="s">
        <v>29</v>
      </c>
      <c r="M1294" s="1" t="s">
        <v>53</v>
      </c>
      <c r="N1294" s="1" t="s">
        <v>1981</v>
      </c>
      <c r="O1294">
        <v>42.408000000000001</v>
      </c>
      <c r="P1294">
        <v>3</v>
      </c>
      <c r="Q1294">
        <v>9.5418000000000003</v>
      </c>
      <c r="R1294" s="1" t="s">
        <v>4420</v>
      </c>
      <c r="S1294">
        <v>2017</v>
      </c>
      <c r="T1294" s="1" t="s">
        <v>107</v>
      </c>
    </row>
    <row r="1295" spans="1:20" x14ac:dyDescent="0.25">
      <c r="A1295" s="1" t="s">
        <v>3384</v>
      </c>
      <c r="B1295" s="2">
        <v>41717</v>
      </c>
      <c r="C1295" s="2">
        <v>41719</v>
      </c>
      <c r="D1295" s="1" t="s">
        <v>81</v>
      </c>
      <c r="E1295" s="1" t="s">
        <v>560</v>
      </c>
      <c r="F1295" s="1" t="s">
        <v>561</v>
      </c>
      <c r="G1295" s="1" t="s">
        <v>84</v>
      </c>
      <c r="H1295" s="1" t="s">
        <v>565</v>
      </c>
      <c r="I1295" s="1" t="s">
        <v>41</v>
      </c>
      <c r="J1295" s="1" t="s">
        <v>27</v>
      </c>
      <c r="K1295" s="1" t="s">
        <v>1352</v>
      </c>
      <c r="L1295" s="1" t="s">
        <v>29</v>
      </c>
      <c r="M1295" s="1" t="s">
        <v>53</v>
      </c>
      <c r="N1295" s="1" t="s">
        <v>415</v>
      </c>
      <c r="O1295">
        <v>4.992</v>
      </c>
      <c r="P1295">
        <v>3</v>
      </c>
      <c r="Q1295">
        <v>1.3728</v>
      </c>
      <c r="R1295" s="1" t="s">
        <v>4423</v>
      </c>
      <c r="S1295">
        <v>2014</v>
      </c>
      <c r="T1295" s="1" t="s">
        <v>187</v>
      </c>
    </row>
    <row r="1296" spans="1:20" x14ac:dyDescent="0.25">
      <c r="A1296" s="1" t="s">
        <v>3384</v>
      </c>
      <c r="B1296" s="2">
        <v>41717</v>
      </c>
      <c r="C1296" s="2">
        <v>41719</v>
      </c>
      <c r="D1296" s="1" t="s">
        <v>81</v>
      </c>
      <c r="E1296" s="1" t="s">
        <v>560</v>
      </c>
      <c r="F1296" s="1" t="s">
        <v>561</v>
      </c>
      <c r="G1296" s="1" t="s">
        <v>84</v>
      </c>
      <c r="H1296" s="1" t="s">
        <v>565</v>
      </c>
      <c r="I1296" s="1" t="s">
        <v>41</v>
      </c>
      <c r="J1296" s="1" t="s">
        <v>27</v>
      </c>
      <c r="K1296" s="1" t="s">
        <v>2880</v>
      </c>
      <c r="L1296" s="1" t="s">
        <v>29</v>
      </c>
      <c r="M1296" s="1" t="s">
        <v>53</v>
      </c>
      <c r="N1296" s="1" t="s">
        <v>2881</v>
      </c>
      <c r="O1296">
        <v>20.015999999999998</v>
      </c>
      <c r="P1296">
        <v>3</v>
      </c>
      <c r="Q1296">
        <v>5.5044000000000004</v>
      </c>
      <c r="R1296" s="1" t="s">
        <v>4423</v>
      </c>
      <c r="S1296">
        <v>2014</v>
      </c>
      <c r="T1296" s="1" t="s">
        <v>187</v>
      </c>
    </row>
    <row r="1297" spans="1:20" x14ac:dyDescent="0.25">
      <c r="A1297" s="1" t="s">
        <v>3385</v>
      </c>
      <c r="B1297" s="2">
        <v>42268</v>
      </c>
      <c r="C1297" s="2">
        <v>42273</v>
      </c>
      <c r="D1297" s="1" t="s">
        <v>37</v>
      </c>
      <c r="E1297" s="1" t="s">
        <v>2214</v>
      </c>
      <c r="F1297" s="1" t="s">
        <v>2215</v>
      </c>
      <c r="G1297" s="1" t="s">
        <v>24</v>
      </c>
      <c r="H1297" s="1" t="s">
        <v>149</v>
      </c>
      <c r="I1297" s="1" t="s">
        <v>150</v>
      </c>
      <c r="J1297" s="1" t="s">
        <v>27</v>
      </c>
      <c r="K1297" s="1" t="s">
        <v>972</v>
      </c>
      <c r="L1297" s="1" t="s">
        <v>29</v>
      </c>
      <c r="M1297" s="1" t="s">
        <v>34</v>
      </c>
      <c r="N1297" s="1" t="s">
        <v>973</v>
      </c>
      <c r="O1297">
        <v>1690.04</v>
      </c>
      <c r="P1297">
        <v>4</v>
      </c>
      <c r="Q1297">
        <v>422.51</v>
      </c>
      <c r="R1297" s="1" t="s">
        <v>4422</v>
      </c>
      <c r="S1297">
        <v>2015</v>
      </c>
      <c r="T1297" s="1" t="s">
        <v>72</v>
      </c>
    </row>
    <row r="1298" spans="1:20" x14ac:dyDescent="0.25">
      <c r="A1298" s="1" t="s">
        <v>3386</v>
      </c>
      <c r="B1298" s="2">
        <v>42715</v>
      </c>
      <c r="C1298" s="2">
        <v>42717</v>
      </c>
      <c r="D1298" s="1" t="s">
        <v>81</v>
      </c>
      <c r="E1298" s="1" t="s">
        <v>3387</v>
      </c>
      <c r="F1298" s="1" t="s">
        <v>3388</v>
      </c>
      <c r="G1298" s="1" t="s">
        <v>94</v>
      </c>
      <c r="H1298" s="1" t="s">
        <v>3389</v>
      </c>
      <c r="I1298" s="1" t="s">
        <v>1508</v>
      </c>
      <c r="J1298" s="1" t="s">
        <v>51</v>
      </c>
      <c r="K1298" s="1" t="s">
        <v>98</v>
      </c>
      <c r="L1298" s="1" t="s">
        <v>29</v>
      </c>
      <c r="M1298" s="1" t="s">
        <v>34</v>
      </c>
      <c r="N1298" s="1" t="s">
        <v>99</v>
      </c>
      <c r="O1298">
        <v>403.92</v>
      </c>
      <c r="P1298">
        <v>5</v>
      </c>
      <c r="Q1298">
        <v>25.245000000000001</v>
      </c>
      <c r="R1298" s="1" t="s">
        <v>4423</v>
      </c>
      <c r="S1298">
        <v>2016</v>
      </c>
      <c r="T1298" s="1" t="s">
        <v>90</v>
      </c>
    </row>
    <row r="1299" spans="1:20" x14ac:dyDescent="0.25">
      <c r="A1299" s="1" t="s">
        <v>3390</v>
      </c>
      <c r="B1299" s="2">
        <v>42728</v>
      </c>
      <c r="C1299" s="2">
        <v>42732</v>
      </c>
      <c r="D1299" s="1" t="s">
        <v>37</v>
      </c>
      <c r="E1299" s="1" t="s">
        <v>1322</v>
      </c>
      <c r="F1299" s="1" t="s">
        <v>1323</v>
      </c>
      <c r="G1299" s="1" t="s">
        <v>24</v>
      </c>
      <c r="H1299" s="1" t="s">
        <v>165</v>
      </c>
      <c r="I1299" s="1" t="s">
        <v>114</v>
      </c>
      <c r="J1299" s="1" t="s">
        <v>63</v>
      </c>
      <c r="K1299" s="1" t="s">
        <v>3148</v>
      </c>
      <c r="L1299" s="1" t="s">
        <v>29</v>
      </c>
      <c r="M1299" s="1" t="s">
        <v>53</v>
      </c>
      <c r="N1299" s="1" t="s">
        <v>3149</v>
      </c>
      <c r="O1299">
        <v>799.56</v>
      </c>
      <c r="P1299">
        <v>9</v>
      </c>
      <c r="Q1299">
        <v>207.88560000000001</v>
      </c>
      <c r="R1299" s="1" t="s">
        <v>4424</v>
      </c>
      <c r="S1299">
        <v>2016</v>
      </c>
      <c r="T1299" s="1" t="s">
        <v>90</v>
      </c>
    </row>
    <row r="1300" spans="1:20" x14ac:dyDescent="0.25">
      <c r="A1300" s="1" t="s">
        <v>3391</v>
      </c>
      <c r="B1300" s="2">
        <v>42720</v>
      </c>
      <c r="C1300" s="2">
        <v>42727</v>
      </c>
      <c r="D1300" s="1" t="s">
        <v>37</v>
      </c>
      <c r="E1300" s="1" t="s">
        <v>482</v>
      </c>
      <c r="F1300" s="1" t="s">
        <v>483</v>
      </c>
      <c r="G1300" s="1" t="s">
        <v>24</v>
      </c>
      <c r="H1300" s="1" t="s">
        <v>3222</v>
      </c>
      <c r="I1300" s="1" t="s">
        <v>50</v>
      </c>
      <c r="J1300" s="1" t="s">
        <v>51</v>
      </c>
      <c r="K1300" s="1" t="s">
        <v>1132</v>
      </c>
      <c r="L1300" s="1" t="s">
        <v>29</v>
      </c>
      <c r="M1300" s="1" t="s">
        <v>34</v>
      </c>
      <c r="N1300" s="1" t="s">
        <v>1133</v>
      </c>
      <c r="O1300">
        <v>563.91999999999996</v>
      </c>
      <c r="P1300">
        <v>5</v>
      </c>
      <c r="Q1300">
        <v>7.0490000000000004</v>
      </c>
      <c r="R1300" s="1" t="s">
        <v>4421</v>
      </c>
      <c r="S1300">
        <v>2016</v>
      </c>
      <c r="T1300" s="1" t="s">
        <v>90</v>
      </c>
    </row>
    <row r="1301" spans="1:20" x14ac:dyDescent="0.25">
      <c r="A1301" s="1" t="s">
        <v>3392</v>
      </c>
      <c r="B1301" s="2">
        <v>43070</v>
      </c>
      <c r="C1301" s="2">
        <v>43072</v>
      </c>
      <c r="D1301" s="1" t="s">
        <v>81</v>
      </c>
      <c r="E1301" s="1" t="s">
        <v>2873</v>
      </c>
      <c r="F1301" s="1" t="s">
        <v>2874</v>
      </c>
      <c r="G1301" s="1" t="s">
        <v>94</v>
      </c>
      <c r="H1301" s="1" t="s">
        <v>1761</v>
      </c>
      <c r="I1301" s="1" t="s">
        <v>223</v>
      </c>
      <c r="J1301" s="1" t="s">
        <v>63</v>
      </c>
      <c r="K1301" s="1" t="s">
        <v>950</v>
      </c>
      <c r="L1301" s="1" t="s">
        <v>29</v>
      </c>
      <c r="M1301" s="1" t="s">
        <v>53</v>
      </c>
      <c r="N1301" s="1" t="s">
        <v>951</v>
      </c>
      <c r="O1301">
        <v>7.7119999999999997</v>
      </c>
      <c r="P1301">
        <v>2</v>
      </c>
      <c r="Q1301">
        <v>1.7352000000000001</v>
      </c>
      <c r="R1301" s="1" t="s">
        <v>4423</v>
      </c>
      <c r="S1301">
        <v>2017</v>
      </c>
      <c r="T1301" s="1" t="s">
        <v>90</v>
      </c>
    </row>
    <row r="1302" spans="1:20" x14ac:dyDescent="0.25">
      <c r="A1302" s="1" t="s">
        <v>3393</v>
      </c>
      <c r="B1302" s="2">
        <v>42663</v>
      </c>
      <c r="C1302" s="2">
        <v>42667</v>
      </c>
      <c r="D1302" s="1" t="s">
        <v>21</v>
      </c>
      <c r="E1302" s="1" t="s">
        <v>3394</v>
      </c>
      <c r="F1302" s="1" t="s">
        <v>3395</v>
      </c>
      <c r="G1302" s="1" t="s">
        <v>24</v>
      </c>
      <c r="H1302" s="1" t="s">
        <v>95</v>
      </c>
      <c r="I1302" s="1" t="s">
        <v>86</v>
      </c>
      <c r="J1302" s="1" t="s">
        <v>87</v>
      </c>
      <c r="K1302" s="1" t="s">
        <v>486</v>
      </c>
      <c r="L1302" s="1" t="s">
        <v>29</v>
      </c>
      <c r="M1302" s="1" t="s">
        <v>34</v>
      </c>
      <c r="N1302" s="1" t="s">
        <v>487</v>
      </c>
      <c r="O1302">
        <v>56.686</v>
      </c>
      <c r="P1302">
        <v>1</v>
      </c>
      <c r="Q1302">
        <v>-14.5764</v>
      </c>
      <c r="R1302" s="1" t="s">
        <v>4424</v>
      </c>
      <c r="S1302">
        <v>2016</v>
      </c>
      <c r="T1302" s="1" t="s">
        <v>45</v>
      </c>
    </row>
    <row r="1303" spans="1:20" x14ac:dyDescent="0.25">
      <c r="A1303" s="1" t="s">
        <v>3396</v>
      </c>
      <c r="B1303" s="2">
        <v>42965</v>
      </c>
      <c r="C1303" s="2">
        <v>42972</v>
      </c>
      <c r="D1303" s="1" t="s">
        <v>37</v>
      </c>
      <c r="E1303" s="1" t="s">
        <v>3397</v>
      </c>
      <c r="F1303" s="1" t="s">
        <v>3398</v>
      </c>
      <c r="G1303" s="1" t="s">
        <v>84</v>
      </c>
      <c r="H1303" s="1" t="s">
        <v>183</v>
      </c>
      <c r="I1303" s="1" t="s">
        <v>184</v>
      </c>
      <c r="J1303" s="1" t="s">
        <v>51</v>
      </c>
      <c r="K1303" s="1" t="s">
        <v>621</v>
      </c>
      <c r="L1303" s="1" t="s">
        <v>29</v>
      </c>
      <c r="M1303" s="1" t="s">
        <v>53</v>
      </c>
      <c r="N1303" s="1" t="s">
        <v>622</v>
      </c>
      <c r="O1303">
        <v>65.94</v>
      </c>
      <c r="P1303">
        <v>3</v>
      </c>
      <c r="Q1303">
        <v>22.419599999999999</v>
      </c>
      <c r="R1303" s="1" t="s">
        <v>4421</v>
      </c>
      <c r="S1303">
        <v>2017</v>
      </c>
      <c r="T1303" s="1" t="s">
        <v>245</v>
      </c>
    </row>
    <row r="1304" spans="1:20" x14ac:dyDescent="0.25">
      <c r="A1304" s="1" t="s">
        <v>3399</v>
      </c>
      <c r="B1304" s="2">
        <v>42336</v>
      </c>
      <c r="C1304" s="2">
        <v>42341</v>
      </c>
      <c r="D1304" s="1" t="s">
        <v>37</v>
      </c>
      <c r="E1304" s="1" t="s">
        <v>2403</v>
      </c>
      <c r="F1304" s="1" t="s">
        <v>2404</v>
      </c>
      <c r="G1304" s="1" t="s">
        <v>84</v>
      </c>
      <c r="H1304" s="1" t="s">
        <v>165</v>
      </c>
      <c r="I1304" s="1" t="s">
        <v>114</v>
      </c>
      <c r="J1304" s="1" t="s">
        <v>63</v>
      </c>
      <c r="K1304" s="1" t="s">
        <v>275</v>
      </c>
      <c r="L1304" s="1" t="s">
        <v>29</v>
      </c>
      <c r="M1304" s="1" t="s">
        <v>53</v>
      </c>
      <c r="N1304" s="1" t="s">
        <v>276</v>
      </c>
      <c r="O1304">
        <v>68.16</v>
      </c>
      <c r="P1304">
        <v>3</v>
      </c>
      <c r="Q1304">
        <v>27.945599999999999</v>
      </c>
      <c r="R1304" s="1" t="s">
        <v>4422</v>
      </c>
      <c r="S1304">
        <v>2015</v>
      </c>
      <c r="T1304" s="1" t="s">
        <v>32</v>
      </c>
    </row>
    <row r="1305" spans="1:20" x14ac:dyDescent="0.25">
      <c r="A1305" s="1" t="s">
        <v>3400</v>
      </c>
      <c r="B1305" s="2">
        <v>43092</v>
      </c>
      <c r="C1305" s="2">
        <v>43096</v>
      </c>
      <c r="D1305" s="1" t="s">
        <v>37</v>
      </c>
      <c r="E1305" s="1" t="s">
        <v>579</v>
      </c>
      <c r="F1305" s="1" t="s">
        <v>580</v>
      </c>
      <c r="G1305" s="1" t="s">
        <v>24</v>
      </c>
      <c r="H1305" s="1" t="s">
        <v>3401</v>
      </c>
      <c r="I1305" s="1" t="s">
        <v>133</v>
      </c>
      <c r="J1305" s="1" t="s">
        <v>27</v>
      </c>
      <c r="K1305" s="1" t="s">
        <v>275</v>
      </c>
      <c r="L1305" s="1" t="s">
        <v>29</v>
      </c>
      <c r="M1305" s="1" t="s">
        <v>53</v>
      </c>
      <c r="N1305" s="1" t="s">
        <v>276</v>
      </c>
      <c r="O1305">
        <v>72.703999999999994</v>
      </c>
      <c r="P1305">
        <v>4</v>
      </c>
      <c r="Q1305">
        <v>19.084800000000001</v>
      </c>
      <c r="R1305" s="1" t="s">
        <v>4424</v>
      </c>
      <c r="S1305">
        <v>2017</v>
      </c>
      <c r="T1305" s="1" t="s">
        <v>90</v>
      </c>
    </row>
    <row r="1306" spans="1:20" x14ac:dyDescent="0.25">
      <c r="A1306" s="1" t="s">
        <v>3402</v>
      </c>
      <c r="B1306" s="2">
        <v>42282</v>
      </c>
      <c r="C1306" s="2">
        <v>42286</v>
      </c>
      <c r="D1306" s="1" t="s">
        <v>37</v>
      </c>
      <c r="E1306" s="1" t="s">
        <v>2864</v>
      </c>
      <c r="F1306" s="1" t="s">
        <v>2865</v>
      </c>
      <c r="G1306" s="1" t="s">
        <v>24</v>
      </c>
      <c r="H1306" s="1" t="s">
        <v>3389</v>
      </c>
      <c r="I1306" s="1" t="s">
        <v>1508</v>
      </c>
      <c r="J1306" s="1" t="s">
        <v>51</v>
      </c>
      <c r="K1306" s="1" t="s">
        <v>2301</v>
      </c>
      <c r="L1306" s="1" t="s">
        <v>29</v>
      </c>
      <c r="M1306" s="1" t="s">
        <v>30</v>
      </c>
      <c r="N1306" s="1" t="s">
        <v>2302</v>
      </c>
      <c r="O1306">
        <v>66.293999999999997</v>
      </c>
      <c r="P1306">
        <v>1</v>
      </c>
      <c r="Q1306">
        <v>-103.86060000000001</v>
      </c>
      <c r="R1306" s="1" t="s">
        <v>4424</v>
      </c>
      <c r="S1306">
        <v>2015</v>
      </c>
      <c r="T1306" s="1" t="s">
        <v>45</v>
      </c>
    </row>
    <row r="1307" spans="1:20" x14ac:dyDescent="0.25">
      <c r="A1307" s="1" t="s">
        <v>3402</v>
      </c>
      <c r="B1307" s="2">
        <v>42282</v>
      </c>
      <c r="C1307" s="2">
        <v>42286</v>
      </c>
      <c r="D1307" s="1" t="s">
        <v>37</v>
      </c>
      <c r="E1307" s="1" t="s">
        <v>2864</v>
      </c>
      <c r="F1307" s="1" t="s">
        <v>2865</v>
      </c>
      <c r="G1307" s="1" t="s">
        <v>24</v>
      </c>
      <c r="H1307" s="1" t="s">
        <v>3389</v>
      </c>
      <c r="I1307" s="1" t="s">
        <v>1508</v>
      </c>
      <c r="J1307" s="1" t="s">
        <v>51</v>
      </c>
      <c r="K1307" s="1" t="s">
        <v>2171</v>
      </c>
      <c r="L1307" s="1" t="s">
        <v>29</v>
      </c>
      <c r="M1307" s="1" t="s">
        <v>34</v>
      </c>
      <c r="N1307" s="1" t="s">
        <v>2172</v>
      </c>
      <c r="O1307">
        <v>291.16800000000001</v>
      </c>
      <c r="P1307">
        <v>4</v>
      </c>
      <c r="Q1307">
        <v>-14.558400000000001</v>
      </c>
      <c r="R1307" s="1" t="s">
        <v>4424</v>
      </c>
      <c r="S1307">
        <v>2015</v>
      </c>
      <c r="T1307" s="1" t="s">
        <v>45</v>
      </c>
    </row>
    <row r="1308" spans="1:20" x14ac:dyDescent="0.25">
      <c r="A1308" s="1" t="s">
        <v>3403</v>
      </c>
      <c r="B1308" s="2">
        <v>42989</v>
      </c>
      <c r="C1308" s="2">
        <v>42989</v>
      </c>
      <c r="D1308" s="1" t="s">
        <v>417</v>
      </c>
      <c r="E1308" s="1" t="s">
        <v>3404</v>
      </c>
      <c r="F1308" s="1" t="s">
        <v>3405</v>
      </c>
      <c r="G1308" s="1" t="s">
        <v>24</v>
      </c>
      <c r="H1308" s="1" t="s">
        <v>183</v>
      </c>
      <c r="I1308" s="1" t="s">
        <v>184</v>
      </c>
      <c r="J1308" s="1" t="s">
        <v>51</v>
      </c>
      <c r="K1308" s="1" t="s">
        <v>812</v>
      </c>
      <c r="L1308" s="1" t="s">
        <v>29</v>
      </c>
      <c r="M1308" s="1" t="s">
        <v>34</v>
      </c>
      <c r="N1308" s="1" t="s">
        <v>813</v>
      </c>
      <c r="O1308">
        <v>177.56800000000001</v>
      </c>
      <c r="P1308">
        <v>2</v>
      </c>
      <c r="Q1308">
        <v>8.8783999999999992</v>
      </c>
      <c r="R1308" s="1" t="s">
        <v>4427</v>
      </c>
      <c r="S1308">
        <v>2017</v>
      </c>
      <c r="T1308" s="1" t="s">
        <v>72</v>
      </c>
    </row>
    <row r="1309" spans="1:20" x14ac:dyDescent="0.25">
      <c r="A1309" s="1" t="s">
        <v>3406</v>
      </c>
      <c r="B1309" s="2">
        <v>42350</v>
      </c>
      <c r="C1309" s="2">
        <v>42354</v>
      </c>
      <c r="D1309" s="1" t="s">
        <v>37</v>
      </c>
      <c r="E1309" s="1" t="s">
        <v>2899</v>
      </c>
      <c r="F1309" s="1" t="s">
        <v>2900</v>
      </c>
      <c r="G1309" s="1" t="s">
        <v>24</v>
      </c>
      <c r="H1309" s="1" t="s">
        <v>1482</v>
      </c>
      <c r="I1309" s="1" t="s">
        <v>50</v>
      </c>
      <c r="J1309" s="1" t="s">
        <v>51</v>
      </c>
      <c r="K1309" s="1" t="s">
        <v>1775</v>
      </c>
      <c r="L1309" s="1" t="s">
        <v>29</v>
      </c>
      <c r="M1309" s="1" t="s">
        <v>53</v>
      </c>
      <c r="N1309" s="1" t="s">
        <v>1776</v>
      </c>
      <c r="O1309">
        <v>166.5</v>
      </c>
      <c r="P1309">
        <v>3</v>
      </c>
      <c r="Q1309">
        <v>21.645</v>
      </c>
      <c r="R1309" s="1" t="s">
        <v>4424</v>
      </c>
      <c r="S1309">
        <v>2015</v>
      </c>
      <c r="T1309" s="1" t="s">
        <v>90</v>
      </c>
    </row>
    <row r="1310" spans="1:20" x14ac:dyDescent="0.25">
      <c r="A1310" s="1" t="s">
        <v>3407</v>
      </c>
      <c r="B1310" s="2">
        <v>42883</v>
      </c>
      <c r="C1310" s="2">
        <v>42886</v>
      </c>
      <c r="D1310" s="1" t="s">
        <v>21</v>
      </c>
      <c r="E1310" s="1" t="s">
        <v>3408</v>
      </c>
      <c r="F1310" s="1" t="s">
        <v>3409</v>
      </c>
      <c r="G1310" s="1" t="s">
        <v>84</v>
      </c>
      <c r="H1310" s="1" t="s">
        <v>500</v>
      </c>
      <c r="I1310" s="1" t="s">
        <v>875</v>
      </c>
      <c r="J1310" s="1" t="s">
        <v>63</v>
      </c>
      <c r="K1310" s="1" t="s">
        <v>2101</v>
      </c>
      <c r="L1310" s="1" t="s">
        <v>29</v>
      </c>
      <c r="M1310" s="1" t="s">
        <v>53</v>
      </c>
      <c r="N1310" s="1" t="s">
        <v>2102</v>
      </c>
      <c r="O1310">
        <v>247.44</v>
      </c>
      <c r="P1310">
        <v>8</v>
      </c>
      <c r="Q1310">
        <v>101.4504</v>
      </c>
      <c r="R1310" s="1" t="s">
        <v>4420</v>
      </c>
      <c r="S1310">
        <v>2017</v>
      </c>
      <c r="T1310" s="1" t="s">
        <v>153</v>
      </c>
    </row>
    <row r="1311" spans="1:20" x14ac:dyDescent="0.25">
      <c r="A1311" s="1" t="s">
        <v>3410</v>
      </c>
      <c r="B1311" s="2">
        <v>42328</v>
      </c>
      <c r="C1311" s="2">
        <v>42333</v>
      </c>
      <c r="D1311" s="1" t="s">
        <v>37</v>
      </c>
      <c r="E1311" s="1" t="s">
        <v>3283</v>
      </c>
      <c r="F1311" s="1" t="s">
        <v>3284</v>
      </c>
      <c r="G1311" s="1" t="s">
        <v>94</v>
      </c>
      <c r="H1311" s="1" t="s">
        <v>183</v>
      </c>
      <c r="I1311" s="1" t="s">
        <v>184</v>
      </c>
      <c r="J1311" s="1" t="s">
        <v>51</v>
      </c>
      <c r="K1311" s="1" t="s">
        <v>1709</v>
      </c>
      <c r="L1311" s="1" t="s">
        <v>29</v>
      </c>
      <c r="M1311" s="1" t="s">
        <v>53</v>
      </c>
      <c r="N1311" s="1" t="s">
        <v>1710</v>
      </c>
      <c r="O1311">
        <v>22.14</v>
      </c>
      <c r="P1311">
        <v>3</v>
      </c>
      <c r="Q1311">
        <v>6.4206000000000003</v>
      </c>
      <c r="R1311" s="1" t="s">
        <v>4422</v>
      </c>
      <c r="S1311">
        <v>2015</v>
      </c>
      <c r="T1311" s="1" t="s">
        <v>32</v>
      </c>
    </row>
    <row r="1312" spans="1:20" x14ac:dyDescent="0.25">
      <c r="A1312" s="1" t="s">
        <v>3411</v>
      </c>
      <c r="B1312" s="2">
        <v>42884</v>
      </c>
      <c r="C1312" s="2">
        <v>42890</v>
      </c>
      <c r="D1312" s="1" t="s">
        <v>37</v>
      </c>
      <c r="E1312" s="1" t="s">
        <v>2507</v>
      </c>
      <c r="F1312" s="1" t="s">
        <v>2508</v>
      </c>
      <c r="G1312" s="1" t="s">
        <v>24</v>
      </c>
      <c r="H1312" s="1" t="s">
        <v>339</v>
      </c>
      <c r="I1312" s="1" t="s">
        <v>104</v>
      </c>
      <c r="J1312" s="1" t="s">
        <v>87</v>
      </c>
      <c r="K1312" s="1" t="s">
        <v>1352</v>
      </c>
      <c r="L1312" s="1" t="s">
        <v>29</v>
      </c>
      <c r="M1312" s="1" t="s">
        <v>53</v>
      </c>
      <c r="N1312" s="1" t="s">
        <v>415</v>
      </c>
      <c r="O1312">
        <v>6.24</v>
      </c>
      <c r="P1312">
        <v>3</v>
      </c>
      <c r="Q1312">
        <v>2.6208</v>
      </c>
      <c r="R1312" s="1" t="s">
        <v>4426</v>
      </c>
      <c r="S1312">
        <v>2017</v>
      </c>
      <c r="T1312" s="1" t="s">
        <v>153</v>
      </c>
    </row>
    <row r="1313" spans="1:20" x14ac:dyDescent="0.25">
      <c r="A1313" s="1" t="s">
        <v>3412</v>
      </c>
      <c r="B1313" s="2">
        <v>42255</v>
      </c>
      <c r="C1313" s="2">
        <v>42261</v>
      </c>
      <c r="D1313" s="1" t="s">
        <v>37</v>
      </c>
      <c r="E1313" s="1" t="s">
        <v>266</v>
      </c>
      <c r="F1313" s="1" t="s">
        <v>267</v>
      </c>
      <c r="G1313" s="1" t="s">
        <v>84</v>
      </c>
      <c r="H1313" s="1" t="s">
        <v>1607</v>
      </c>
      <c r="I1313" s="1" t="s">
        <v>1267</v>
      </c>
      <c r="J1313" s="1" t="s">
        <v>27</v>
      </c>
      <c r="K1313" s="1" t="s">
        <v>2504</v>
      </c>
      <c r="L1313" s="1" t="s">
        <v>29</v>
      </c>
      <c r="M1313" s="1" t="s">
        <v>53</v>
      </c>
      <c r="N1313" s="1" t="s">
        <v>2505</v>
      </c>
      <c r="O1313">
        <v>21.36</v>
      </c>
      <c r="P1313">
        <v>8</v>
      </c>
      <c r="Q1313">
        <v>8.1167999999999996</v>
      </c>
      <c r="R1313" s="1" t="s">
        <v>4426</v>
      </c>
      <c r="S1313">
        <v>2015</v>
      </c>
      <c r="T1313" s="1" t="s">
        <v>72</v>
      </c>
    </row>
    <row r="1314" spans="1:20" x14ac:dyDescent="0.25">
      <c r="A1314" s="1" t="s">
        <v>3413</v>
      </c>
      <c r="B1314" s="2">
        <v>43071</v>
      </c>
      <c r="C1314" s="2">
        <v>43075</v>
      </c>
      <c r="D1314" s="1" t="s">
        <v>37</v>
      </c>
      <c r="E1314" s="1" t="s">
        <v>1926</v>
      </c>
      <c r="F1314" s="1" t="s">
        <v>1927</v>
      </c>
      <c r="G1314" s="1" t="s">
        <v>84</v>
      </c>
      <c r="H1314" s="1" t="s">
        <v>1461</v>
      </c>
      <c r="I1314" s="1" t="s">
        <v>50</v>
      </c>
      <c r="J1314" s="1" t="s">
        <v>51</v>
      </c>
      <c r="K1314" s="1" t="s">
        <v>2540</v>
      </c>
      <c r="L1314" s="1" t="s">
        <v>29</v>
      </c>
      <c r="M1314" s="1" t="s">
        <v>34</v>
      </c>
      <c r="N1314" s="1" t="s">
        <v>2541</v>
      </c>
      <c r="O1314">
        <v>1159.056</v>
      </c>
      <c r="P1314">
        <v>9</v>
      </c>
      <c r="Q1314">
        <v>43.464599999999997</v>
      </c>
      <c r="R1314" s="1" t="s">
        <v>4424</v>
      </c>
      <c r="S1314">
        <v>2017</v>
      </c>
      <c r="T1314" s="1" t="s">
        <v>90</v>
      </c>
    </row>
    <row r="1315" spans="1:20" x14ac:dyDescent="0.25">
      <c r="A1315" s="1" t="s">
        <v>3414</v>
      </c>
      <c r="B1315" s="2">
        <v>42568</v>
      </c>
      <c r="C1315" s="2">
        <v>42573</v>
      </c>
      <c r="D1315" s="1" t="s">
        <v>21</v>
      </c>
      <c r="E1315" s="1" t="s">
        <v>1759</v>
      </c>
      <c r="F1315" s="1" t="s">
        <v>1760</v>
      </c>
      <c r="G1315" s="1" t="s">
        <v>24</v>
      </c>
      <c r="H1315" s="1" t="s">
        <v>183</v>
      </c>
      <c r="I1315" s="1" t="s">
        <v>184</v>
      </c>
      <c r="J1315" s="1" t="s">
        <v>51</v>
      </c>
      <c r="K1315" s="1" t="s">
        <v>1971</v>
      </c>
      <c r="L1315" s="1" t="s">
        <v>29</v>
      </c>
      <c r="M1315" s="1" t="s">
        <v>53</v>
      </c>
      <c r="N1315" s="1" t="s">
        <v>1972</v>
      </c>
      <c r="O1315">
        <v>12.42</v>
      </c>
      <c r="P1315">
        <v>3</v>
      </c>
      <c r="Q1315">
        <v>4.4711999999999996</v>
      </c>
      <c r="R1315" s="1" t="s">
        <v>4422</v>
      </c>
      <c r="S1315">
        <v>2016</v>
      </c>
      <c r="T1315" s="1" t="s">
        <v>66</v>
      </c>
    </row>
    <row r="1316" spans="1:20" x14ac:dyDescent="0.25">
      <c r="A1316" s="1" t="s">
        <v>3414</v>
      </c>
      <c r="B1316" s="2">
        <v>42568</v>
      </c>
      <c r="C1316" s="2">
        <v>42573</v>
      </c>
      <c r="D1316" s="1" t="s">
        <v>21</v>
      </c>
      <c r="E1316" s="1" t="s">
        <v>1759</v>
      </c>
      <c r="F1316" s="1" t="s">
        <v>1760</v>
      </c>
      <c r="G1316" s="1" t="s">
        <v>24</v>
      </c>
      <c r="H1316" s="1" t="s">
        <v>183</v>
      </c>
      <c r="I1316" s="1" t="s">
        <v>184</v>
      </c>
      <c r="J1316" s="1" t="s">
        <v>51</v>
      </c>
      <c r="K1316" s="1" t="s">
        <v>2592</v>
      </c>
      <c r="L1316" s="1" t="s">
        <v>29</v>
      </c>
      <c r="M1316" s="1" t="s">
        <v>53</v>
      </c>
      <c r="N1316" s="1" t="s">
        <v>2593</v>
      </c>
      <c r="O1316">
        <v>24.75</v>
      </c>
      <c r="P1316">
        <v>5</v>
      </c>
      <c r="Q1316">
        <v>10.89</v>
      </c>
      <c r="R1316" s="1" t="s">
        <v>4422</v>
      </c>
      <c r="S1316">
        <v>2016</v>
      </c>
      <c r="T1316" s="1" t="s">
        <v>66</v>
      </c>
    </row>
    <row r="1317" spans="1:20" x14ac:dyDescent="0.25">
      <c r="A1317" s="1" t="s">
        <v>3415</v>
      </c>
      <c r="B1317" s="2">
        <v>42328</v>
      </c>
      <c r="C1317" s="2">
        <v>42334</v>
      </c>
      <c r="D1317" s="1" t="s">
        <v>37</v>
      </c>
      <c r="E1317" s="1" t="s">
        <v>1429</v>
      </c>
      <c r="F1317" s="1" t="s">
        <v>1430</v>
      </c>
      <c r="G1317" s="1" t="s">
        <v>24</v>
      </c>
      <c r="H1317" s="1" t="s">
        <v>1761</v>
      </c>
      <c r="I1317" s="1" t="s">
        <v>223</v>
      </c>
      <c r="J1317" s="1" t="s">
        <v>63</v>
      </c>
      <c r="K1317" s="1" t="s">
        <v>3416</v>
      </c>
      <c r="L1317" s="1" t="s">
        <v>29</v>
      </c>
      <c r="M1317" s="1" t="s">
        <v>53</v>
      </c>
      <c r="N1317" s="1" t="s">
        <v>3417</v>
      </c>
      <c r="O1317">
        <v>63.823999999999998</v>
      </c>
      <c r="P1317">
        <v>2</v>
      </c>
      <c r="Q1317">
        <v>9.5736000000000008</v>
      </c>
      <c r="R1317" s="1" t="s">
        <v>4426</v>
      </c>
      <c r="S1317">
        <v>2015</v>
      </c>
      <c r="T1317" s="1" t="s">
        <v>32</v>
      </c>
    </row>
    <row r="1318" spans="1:20" x14ac:dyDescent="0.25">
      <c r="A1318" s="1" t="s">
        <v>3418</v>
      </c>
      <c r="B1318" s="2">
        <v>42637</v>
      </c>
      <c r="C1318" s="2">
        <v>42641</v>
      </c>
      <c r="D1318" s="1" t="s">
        <v>37</v>
      </c>
      <c r="E1318" s="1" t="s">
        <v>1589</v>
      </c>
      <c r="F1318" s="1" t="s">
        <v>1590</v>
      </c>
      <c r="G1318" s="1" t="s">
        <v>84</v>
      </c>
      <c r="H1318" s="1" t="s">
        <v>49</v>
      </c>
      <c r="I1318" s="1" t="s">
        <v>50</v>
      </c>
      <c r="J1318" s="1" t="s">
        <v>51</v>
      </c>
      <c r="K1318" s="1" t="s">
        <v>1523</v>
      </c>
      <c r="L1318" s="1" t="s">
        <v>29</v>
      </c>
      <c r="M1318" s="1" t="s">
        <v>34</v>
      </c>
      <c r="N1318" s="1" t="s">
        <v>1524</v>
      </c>
      <c r="O1318">
        <v>563.24</v>
      </c>
      <c r="P1318">
        <v>5</v>
      </c>
      <c r="Q1318">
        <v>56.323999999999998</v>
      </c>
      <c r="R1318" s="1" t="s">
        <v>4424</v>
      </c>
      <c r="S1318">
        <v>2016</v>
      </c>
      <c r="T1318" s="1" t="s">
        <v>72</v>
      </c>
    </row>
    <row r="1319" spans="1:20" x14ac:dyDescent="0.25">
      <c r="A1319" s="1" t="s">
        <v>3419</v>
      </c>
      <c r="B1319" s="2">
        <v>42664</v>
      </c>
      <c r="C1319" s="2">
        <v>42669</v>
      </c>
      <c r="D1319" s="1" t="s">
        <v>37</v>
      </c>
      <c r="E1319" s="1" t="s">
        <v>266</v>
      </c>
      <c r="F1319" s="1" t="s">
        <v>267</v>
      </c>
      <c r="G1319" s="1" t="s">
        <v>84</v>
      </c>
      <c r="H1319" s="1" t="s">
        <v>2051</v>
      </c>
      <c r="I1319" s="1" t="s">
        <v>223</v>
      </c>
      <c r="J1319" s="1" t="s">
        <v>63</v>
      </c>
      <c r="K1319" s="1" t="s">
        <v>1714</v>
      </c>
      <c r="L1319" s="1" t="s">
        <v>29</v>
      </c>
      <c r="M1319" s="1" t="s">
        <v>43</v>
      </c>
      <c r="N1319" s="1" t="s">
        <v>1715</v>
      </c>
      <c r="O1319">
        <v>661.17600000000004</v>
      </c>
      <c r="P1319">
        <v>2</v>
      </c>
      <c r="Q1319">
        <v>-231.41159999999999</v>
      </c>
      <c r="R1319" s="1" t="s">
        <v>4422</v>
      </c>
      <c r="S1319">
        <v>2016</v>
      </c>
      <c r="T1319" s="1" t="s">
        <v>45</v>
      </c>
    </row>
    <row r="1320" spans="1:20" x14ac:dyDescent="0.25">
      <c r="A1320" s="1" t="s">
        <v>3420</v>
      </c>
      <c r="B1320" s="2">
        <v>41828</v>
      </c>
      <c r="C1320" s="2">
        <v>41832</v>
      </c>
      <c r="D1320" s="1" t="s">
        <v>37</v>
      </c>
      <c r="E1320" s="1" t="s">
        <v>494</v>
      </c>
      <c r="F1320" s="1" t="s">
        <v>495</v>
      </c>
      <c r="G1320" s="1" t="s">
        <v>84</v>
      </c>
      <c r="H1320" s="1" t="s">
        <v>320</v>
      </c>
      <c r="I1320" s="1" t="s">
        <v>50</v>
      </c>
      <c r="J1320" s="1" t="s">
        <v>51</v>
      </c>
      <c r="K1320" s="1" t="s">
        <v>1319</v>
      </c>
      <c r="L1320" s="1" t="s">
        <v>29</v>
      </c>
      <c r="M1320" s="1" t="s">
        <v>43</v>
      </c>
      <c r="N1320" s="1" t="s">
        <v>1320</v>
      </c>
      <c r="O1320">
        <v>502.488</v>
      </c>
      <c r="P1320">
        <v>3</v>
      </c>
      <c r="Q1320">
        <v>-87.935400000000001</v>
      </c>
      <c r="R1320" s="1" t="s">
        <v>4424</v>
      </c>
      <c r="S1320">
        <v>2014</v>
      </c>
      <c r="T1320" s="1" t="s">
        <v>66</v>
      </c>
    </row>
    <row r="1321" spans="1:20" x14ac:dyDescent="0.25">
      <c r="A1321" s="1" t="s">
        <v>3421</v>
      </c>
      <c r="B1321" s="2">
        <v>42076</v>
      </c>
      <c r="C1321" s="2">
        <v>42081</v>
      </c>
      <c r="D1321" s="1" t="s">
        <v>21</v>
      </c>
      <c r="E1321" s="1" t="s">
        <v>1006</v>
      </c>
      <c r="F1321" s="1" t="s">
        <v>1007</v>
      </c>
      <c r="G1321" s="1" t="s">
        <v>94</v>
      </c>
      <c r="H1321" s="1" t="s">
        <v>3422</v>
      </c>
      <c r="I1321" s="1" t="s">
        <v>50</v>
      </c>
      <c r="J1321" s="1" t="s">
        <v>51</v>
      </c>
      <c r="K1321" s="1" t="s">
        <v>198</v>
      </c>
      <c r="L1321" s="1" t="s">
        <v>29</v>
      </c>
      <c r="M1321" s="1" t="s">
        <v>34</v>
      </c>
      <c r="N1321" s="1" t="s">
        <v>199</v>
      </c>
      <c r="O1321">
        <v>915.13599999999997</v>
      </c>
      <c r="P1321">
        <v>4</v>
      </c>
      <c r="Q1321">
        <v>102.9528</v>
      </c>
      <c r="R1321" s="1" t="s">
        <v>4422</v>
      </c>
      <c r="S1321">
        <v>2015</v>
      </c>
      <c r="T1321" s="1" t="s">
        <v>187</v>
      </c>
    </row>
    <row r="1322" spans="1:20" x14ac:dyDescent="0.25">
      <c r="A1322" s="1" t="s">
        <v>3421</v>
      </c>
      <c r="B1322" s="2">
        <v>42076</v>
      </c>
      <c r="C1322" s="2">
        <v>42081</v>
      </c>
      <c r="D1322" s="1" t="s">
        <v>21</v>
      </c>
      <c r="E1322" s="1" t="s">
        <v>1006</v>
      </c>
      <c r="F1322" s="1" t="s">
        <v>1007</v>
      </c>
      <c r="G1322" s="1" t="s">
        <v>94</v>
      </c>
      <c r="H1322" s="1" t="s">
        <v>3422</v>
      </c>
      <c r="I1322" s="1" t="s">
        <v>50</v>
      </c>
      <c r="J1322" s="1" t="s">
        <v>51</v>
      </c>
      <c r="K1322" s="1" t="s">
        <v>631</v>
      </c>
      <c r="L1322" s="1" t="s">
        <v>29</v>
      </c>
      <c r="M1322" s="1" t="s">
        <v>53</v>
      </c>
      <c r="N1322" s="1" t="s">
        <v>632</v>
      </c>
      <c r="O1322">
        <v>327.76</v>
      </c>
      <c r="P1322">
        <v>8</v>
      </c>
      <c r="Q1322">
        <v>91.772800000000004</v>
      </c>
      <c r="R1322" s="1" t="s">
        <v>4422</v>
      </c>
      <c r="S1322">
        <v>2015</v>
      </c>
      <c r="T1322" s="1" t="s">
        <v>187</v>
      </c>
    </row>
    <row r="1323" spans="1:20" x14ac:dyDescent="0.25">
      <c r="A1323" s="1" t="s">
        <v>3423</v>
      </c>
      <c r="B1323" s="2">
        <v>43071</v>
      </c>
      <c r="C1323" s="2">
        <v>43074</v>
      </c>
      <c r="D1323" s="1" t="s">
        <v>81</v>
      </c>
      <c r="E1323" s="1" t="s">
        <v>3424</v>
      </c>
      <c r="F1323" s="1" t="s">
        <v>3425</v>
      </c>
      <c r="G1323" s="1" t="s">
        <v>24</v>
      </c>
      <c r="H1323" s="1" t="s">
        <v>3224</v>
      </c>
      <c r="I1323" s="1" t="s">
        <v>707</v>
      </c>
      <c r="J1323" s="1" t="s">
        <v>27</v>
      </c>
      <c r="K1323" s="1" t="s">
        <v>1477</v>
      </c>
      <c r="L1323" s="1" t="s">
        <v>29</v>
      </c>
      <c r="M1323" s="1" t="s">
        <v>34</v>
      </c>
      <c r="N1323" s="1" t="s">
        <v>1478</v>
      </c>
      <c r="O1323">
        <v>701.96</v>
      </c>
      <c r="P1323">
        <v>2</v>
      </c>
      <c r="Q1323">
        <v>168.47040000000001</v>
      </c>
      <c r="R1323" s="1" t="s">
        <v>4420</v>
      </c>
      <c r="S1323">
        <v>2017</v>
      </c>
      <c r="T1323" s="1" t="s">
        <v>90</v>
      </c>
    </row>
    <row r="1324" spans="1:20" x14ac:dyDescent="0.25">
      <c r="A1324" s="1" t="s">
        <v>3426</v>
      </c>
      <c r="B1324" s="2">
        <v>43069</v>
      </c>
      <c r="C1324" s="2">
        <v>43072</v>
      </c>
      <c r="D1324" s="1" t="s">
        <v>81</v>
      </c>
      <c r="E1324" s="1" t="s">
        <v>3427</v>
      </c>
      <c r="F1324" s="1" t="s">
        <v>3428</v>
      </c>
      <c r="G1324" s="1" t="s">
        <v>94</v>
      </c>
      <c r="H1324" s="1" t="s">
        <v>320</v>
      </c>
      <c r="I1324" s="1" t="s">
        <v>50</v>
      </c>
      <c r="J1324" s="1" t="s">
        <v>51</v>
      </c>
      <c r="K1324" s="1" t="s">
        <v>3429</v>
      </c>
      <c r="L1324" s="1" t="s">
        <v>29</v>
      </c>
      <c r="M1324" s="1" t="s">
        <v>53</v>
      </c>
      <c r="N1324" s="1" t="s">
        <v>3430</v>
      </c>
      <c r="O1324">
        <v>25.83</v>
      </c>
      <c r="P1324">
        <v>3</v>
      </c>
      <c r="Q1324">
        <v>9.5571000000000002</v>
      </c>
      <c r="R1324" s="1" t="s">
        <v>4420</v>
      </c>
      <c r="S1324">
        <v>2017</v>
      </c>
      <c r="T1324" s="1" t="s">
        <v>32</v>
      </c>
    </row>
    <row r="1325" spans="1:20" x14ac:dyDescent="0.25">
      <c r="A1325" s="1" t="s">
        <v>3431</v>
      </c>
      <c r="B1325" s="2">
        <v>42678</v>
      </c>
      <c r="C1325" s="2">
        <v>42680</v>
      </c>
      <c r="D1325" s="1" t="s">
        <v>21</v>
      </c>
      <c r="E1325" s="1" t="s">
        <v>3432</v>
      </c>
      <c r="F1325" s="1" t="s">
        <v>3433</v>
      </c>
      <c r="G1325" s="1" t="s">
        <v>84</v>
      </c>
      <c r="H1325" s="1" t="s">
        <v>3434</v>
      </c>
      <c r="I1325" s="1" t="s">
        <v>1508</v>
      </c>
      <c r="J1325" s="1" t="s">
        <v>51</v>
      </c>
      <c r="K1325" s="1" t="s">
        <v>2569</v>
      </c>
      <c r="L1325" s="1" t="s">
        <v>29</v>
      </c>
      <c r="M1325" s="1" t="s">
        <v>34</v>
      </c>
      <c r="N1325" s="1" t="s">
        <v>2570</v>
      </c>
      <c r="O1325">
        <v>104.78400000000001</v>
      </c>
      <c r="P1325">
        <v>1</v>
      </c>
      <c r="Q1325">
        <v>-14.4078</v>
      </c>
      <c r="R1325" s="1" t="s">
        <v>4423</v>
      </c>
      <c r="S1325">
        <v>2016</v>
      </c>
      <c r="T1325" s="1" t="s">
        <v>32</v>
      </c>
    </row>
    <row r="1326" spans="1:20" x14ac:dyDescent="0.25">
      <c r="A1326" s="1" t="s">
        <v>3431</v>
      </c>
      <c r="B1326" s="2">
        <v>42678</v>
      </c>
      <c r="C1326" s="2">
        <v>42680</v>
      </c>
      <c r="D1326" s="1" t="s">
        <v>21</v>
      </c>
      <c r="E1326" s="1" t="s">
        <v>3432</v>
      </c>
      <c r="F1326" s="1" t="s">
        <v>3433</v>
      </c>
      <c r="G1326" s="1" t="s">
        <v>84</v>
      </c>
      <c r="H1326" s="1" t="s">
        <v>3434</v>
      </c>
      <c r="I1326" s="1" t="s">
        <v>1508</v>
      </c>
      <c r="J1326" s="1" t="s">
        <v>51</v>
      </c>
      <c r="K1326" s="1" t="s">
        <v>2721</v>
      </c>
      <c r="L1326" s="1" t="s">
        <v>29</v>
      </c>
      <c r="M1326" s="1" t="s">
        <v>34</v>
      </c>
      <c r="N1326" s="1" t="s">
        <v>2722</v>
      </c>
      <c r="O1326">
        <v>650.35199999999998</v>
      </c>
      <c r="P1326">
        <v>3</v>
      </c>
      <c r="Q1326">
        <v>-97.552800000000005</v>
      </c>
      <c r="R1326" s="1" t="s">
        <v>4423</v>
      </c>
      <c r="S1326">
        <v>2016</v>
      </c>
      <c r="T1326" s="1" t="s">
        <v>32</v>
      </c>
    </row>
    <row r="1327" spans="1:20" x14ac:dyDescent="0.25">
      <c r="A1327" s="1" t="s">
        <v>3435</v>
      </c>
      <c r="B1327" s="2">
        <v>41893</v>
      </c>
      <c r="C1327" s="2">
        <v>41898</v>
      </c>
      <c r="D1327" s="1" t="s">
        <v>37</v>
      </c>
      <c r="E1327" s="1" t="s">
        <v>3436</v>
      </c>
      <c r="F1327" s="1" t="s">
        <v>3437</v>
      </c>
      <c r="G1327" s="1" t="s">
        <v>24</v>
      </c>
      <c r="H1327" s="1" t="s">
        <v>3438</v>
      </c>
      <c r="I1327" s="1" t="s">
        <v>50</v>
      </c>
      <c r="J1327" s="1" t="s">
        <v>51</v>
      </c>
      <c r="K1327" s="1" t="s">
        <v>173</v>
      </c>
      <c r="L1327" s="1" t="s">
        <v>29</v>
      </c>
      <c r="M1327" s="1" t="s">
        <v>53</v>
      </c>
      <c r="N1327" s="1" t="s">
        <v>174</v>
      </c>
      <c r="O1327">
        <v>127.95</v>
      </c>
      <c r="P1327">
        <v>3</v>
      </c>
      <c r="Q1327">
        <v>21.7515</v>
      </c>
      <c r="R1327" s="1" t="s">
        <v>4422</v>
      </c>
      <c r="S1327">
        <v>2014</v>
      </c>
      <c r="T1327" s="1" t="s">
        <v>72</v>
      </c>
    </row>
    <row r="1328" spans="1:20" x14ac:dyDescent="0.25">
      <c r="A1328" s="1" t="s">
        <v>3439</v>
      </c>
      <c r="B1328" s="2">
        <v>41659</v>
      </c>
      <c r="C1328" s="2">
        <v>41665</v>
      </c>
      <c r="D1328" s="1" t="s">
        <v>37</v>
      </c>
      <c r="E1328" s="1" t="s">
        <v>3440</v>
      </c>
      <c r="F1328" s="1" t="s">
        <v>3441</v>
      </c>
      <c r="G1328" s="1" t="s">
        <v>24</v>
      </c>
      <c r="H1328" s="1" t="s">
        <v>3442</v>
      </c>
      <c r="I1328" s="1" t="s">
        <v>281</v>
      </c>
      <c r="J1328" s="1" t="s">
        <v>87</v>
      </c>
      <c r="K1328" s="1" t="s">
        <v>350</v>
      </c>
      <c r="L1328" s="1" t="s">
        <v>29</v>
      </c>
      <c r="M1328" s="1" t="s">
        <v>53</v>
      </c>
      <c r="N1328" s="1" t="s">
        <v>351</v>
      </c>
      <c r="O1328">
        <v>272.94</v>
      </c>
      <c r="P1328">
        <v>3</v>
      </c>
      <c r="Q1328">
        <v>30.023399999999999</v>
      </c>
      <c r="R1328" s="1" t="s">
        <v>4426</v>
      </c>
      <c r="S1328">
        <v>2014</v>
      </c>
      <c r="T1328" s="1" t="s">
        <v>161</v>
      </c>
    </row>
    <row r="1329" spans="1:20" x14ac:dyDescent="0.25">
      <c r="A1329" s="1" t="s">
        <v>3439</v>
      </c>
      <c r="B1329" s="2">
        <v>41659</v>
      </c>
      <c r="C1329" s="2">
        <v>41665</v>
      </c>
      <c r="D1329" s="1" t="s">
        <v>37</v>
      </c>
      <c r="E1329" s="1" t="s">
        <v>3440</v>
      </c>
      <c r="F1329" s="1" t="s">
        <v>3441</v>
      </c>
      <c r="G1329" s="1" t="s">
        <v>24</v>
      </c>
      <c r="H1329" s="1" t="s">
        <v>3442</v>
      </c>
      <c r="I1329" s="1" t="s">
        <v>281</v>
      </c>
      <c r="J1329" s="1" t="s">
        <v>87</v>
      </c>
      <c r="K1329" s="1" t="s">
        <v>1090</v>
      </c>
      <c r="L1329" s="1" t="s">
        <v>29</v>
      </c>
      <c r="M1329" s="1" t="s">
        <v>53</v>
      </c>
      <c r="N1329" s="1" t="s">
        <v>1091</v>
      </c>
      <c r="O1329">
        <v>14.73</v>
      </c>
      <c r="P1329">
        <v>3</v>
      </c>
      <c r="Q1329">
        <v>4.8609</v>
      </c>
      <c r="R1329" s="1" t="s">
        <v>4426</v>
      </c>
      <c r="S1329">
        <v>2014</v>
      </c>
      <c r="T1329" s="1" t="s">
        <v>161</v>
      </c>
    </row>
    <row r="1330" spans="1:20" x14ac:dyDescent="0.25">
      <c r="A1330" s="1" t="s">
        <v>3443</v>
      </c>
      <c r="B1330" s="2">
        <v>42612</v>
      </c>
      <c r="C1330" s="2">
        <v>42619</v>
      </c>
      <c r="D1330" s="1" t="s">
        <v>37</v>
      </c>
      <c r="E1330" s="1" t="s">
        <v>2354</v>
      </c>
      <c r="F1330" s="1" t="s">
        <v>2355</v>
      </c>
      <c r="G1330" s="1" t="s">
        <v>24</v>
      </c>
      <c r="H1330" s="1" t="s">
        <v>49</v>
      </c>
      <c r="I1330" s="1" t="s">
        <v>50</v>
      </c>
      <c r="J1330" s="1" t="s">
        <v>51</v>
      </c>
      <c r="K1330" s="1" t="s">
        <v>2400</v>
      </c>
      <c r="L1330" s="1" t="s">
        <v>29</v>
      </c>
      <c r="M1330" s="1" t="s">
        <v>53</v>
      </c>
      <c r="N1330" s="1" t="s">
        <v>2401</v>
      </c>
      <c r="O1330">
        <v>47.04</v>
      </c>
      <c r="P1330">
        <v>4</v>
      </c>
      <c r="Q1330">
        <v>15.993600000000001</v>
      </c>
      <c r="R1330" s="1" t="s">
        <v>4421</v>
      </c>
      <c r="S1330">
        <v>2016</v>
      </c>
      <c r="T1330" s="1" t="s">
        <v>245</v>
      </c>
    </row>
    <row r="1331" spans="1:20" x14ac:dyDescent="0.25">
      <c r="A1331" s="1" t="s">
        <v>3444</v>
      </c>
      <c r="B1331" s="2">
        <v>43013</v>
      </c>
      <c r="C1331" s="2">
        <v>43017</v>
      </c>
      <c r="D1331" s="1" t="s">
        <v>37</v>
      </c>
      <c r="E1331" s="1" t="s">
        <v>1308</v>
      </c>
      <c r="F1331" s="1" t="s">
        <v>1309</v>
      </c>
      <c r="G1331" s="1" t="s">
        <v>84</v>
      </c>
      <c r="H1331" s="1" t="s">
        <v>165</v>
      </c>
      <c r="I1331" s="1" t="s">
        <v>114</v>
      </c>
      <c r="J1331" s="1" t="s">
        <v>63</v>
      </c>
      <c r="K1331" s="1" t="s">
        <v>1019</v>
      </c>
      <c r="L1331" s="1" t="s">
        <v>29</v>
      </c>
      <c r="M1331" s="1" t="s">
        <v>34</v>
      </c>
      <c r="N1331" s="1" t="s">
        <v>1020</v>
      </c>
      <c r="O1331">
        <v>221.38200000000001</v>
      </c>
      <c r="P1331">
        <v>2</v>
      </c>
      <c r="Q1331">
        <v>2.4598</v>
      </c>
      <c r="R1331" s="1" t="s">
        <v>4424</v>
      </c>
      <c r="S1331">
        <v>2017</v>
      </c>
      <c r="T1331" s="1" t="s">
        <v>45</v>
      </c>
    </row>
    <row r="1332" spans="1:20" x14ac:dyDescent="0.25">
      <c r="A1332" s="1" t="s">
        <v>3445</v>
      </c>
      <c r="B1332" s="2">
        <v>42981</v>
      </c>
      <c r="C1332" s="2">
        <v>42986</v>
      </c>
      <c r="D1332" s="1" t="s">
        <v>37</v>
      </c>
      <c r="E1332" s="1" t="s">
        <v>1463</v>
      </c>
      <c r="F1332" s="1" t="s">
        <v>1464</v>
      </c>
      <c r="G1332" s="1" t="s">
        <v>24</v>
      </c>
      <c r="H1332" s="1" t="s">
        <v>1730</v>
      </c>
      <c r="I1332" s="1" t="s">
        <v>86</v>
      </c>
      <c r="J1332" s="1" t="s">
        <v>87</v>
      </c>
      <c r="K1332" s="1" t="s">
        <v>1008</v>
      </c>
      <c r="L1332" s="1" t="s">
        <v>29</v>
      </c>
      <c r="M1332" s="1" t="s">
        <v>53</v>
      </c>
      <c r="N1332" s="1" t="s">
        <v>1009</v>
      </c>
      <c r="O1332">
        <v>108.4</v>
      </c>
      <c r="P1332">
        <v>5</v>
      </c>
      <c r="Q1332">
        <v>-105.69</v>
      </c>
      <c r="R1332" s="1" t="s">
        <v>4422</v>
      </c>
      <c r="S1332">
        <v>2017</v>
      </c>
      <c r="T1332" s="1" t="s">
        <v>72</v>
      </c>
    </row>
    <row r="1333" spans="1:20" x14ac:dyDescent="0.25">
      <c r="A1333" s="1" t="s">
        <v>3446</v>
      </c>
      <c r="B1333" s="2">
        <v>42646</v>
      </c>
      <c r="C1333" s="2">
        <v>42650</v>
      </c>
      <c r="D1333" s="1" t="s">
        <v>37</v>
      </c>
      <c r="E1333" s="1" t="s">
        <v>3432</v>
      </c>
      <c r="F1333" s="1" t="s">
        <v>3433</v>
      </c>
      <c r="G1333" s="1" t="s">
        <v>84</v>
      </c>
      <c r="H1333" s="1" t="s">
        <v>1708</v>
      </c>
      <c r="I1333" s="1" t="s">
        <v>86</v>
      </c>
      <c r="J1333" s="1" t="s">
        <v>87</v>
      </c>
      <c r="K1333" s="1" t="s">
        <v>375</v>
      </c>
      <c r="L1333" s="1" t="s">
        <v>29</v>
      </c>
      <c r="M1333" s="1" t="s">
        <v>53</v>
      </c>
      <c r="N1333" s="1" t="s">
        <v>376</v>
      </c>
      <c r="O1333">
        <v>38.08</v>
      </c>
      <c r="P1333">
        <v>5</v>
      </c>
      <c r="Q1333">
        <v>-29.512</v>
      </c>
      <c r="R1333" s="1" t="s">
        <v>4424</v>
      </c>
      <c r="S1333">
        <v>2016</v>
      </c>
      <c r="T1333" s="1" t="s">
        <v>45</v>
      </c>
    </row>
    <row r="1334" spans="1:20" x14ac:dyDescent="0.25">
      <c r="A1334" s="1" t="s">
        <v>3447</v>
      </c>
      <c r="B1334" s="2">
        <v>42695</v>
      </c>
      <c r="C1334" s="2">
        <v>42695</v>
      </c>
      <c r="D1334" s="1" t="s">
        <v>417</v>
      </c>
      <c r="E1334" s="1" t="s">
        <v>1228</v>
      </c>
      <c r="F1334" s="1" t="s">
        <v>1229</v>
      </c>
      <c r="G1334" s="1" t="s">
        <v>94</v>
      </c>
      <c r="H1334" s="1" t="s">
        <v>165</v>
      </c>
      <c r="I1334" s="1" t="s">
        <v>114</v>
      </c>
      <c r="J1334" s="1" t="s">
        <v>63</v>
      </c>
      <c r="K1334" s="1" t="s">
        <v>2411</v>
      </c>
      <c r="L1334" s="1" t="s">
        <v>29</v>
      </c>
      <c r="M1334" s="1" t="s">
        <v>30</v>
      </c>
      <c r="N1334" s="1" t="s">
        <v>2412</v>
      </c>
      <c r="O1334">
        <v>113.568</v>
      </c>
      <c r="P1334">
        <v>2</v>
      </c>
      <c r="Q1334">
        <v>12.776400000000001</v>
      </c>
      <c r="R1334" s="1" t="s">
        <v>4427</v>
      </c>
      <c r="S1334">
        <v>2016</v>
      </c>
      <c r="T1334" s="1" t="s">
        <v>32</v>
      </c>
    </row>
    <row r="1335" spans="1:20" x14ac:dyDescent="0.25">
      <c r="A1335" s="1" t="s">
        <v>3448</v>
      </c>
      <c r="B1335" s="2">
        <v>43011</v>
      </c>
      <c r="C1335" s="2">
        <v>43013</v>
      </c>
      <c r="D1335" s="1" t="s">
        <v>21</v>
      </c>
      <c r="E1335" s="1" t="s">
        <v>873</v>
      </c>
      <c r="F1335" s="1" t="s">
        <v>874</v>
      </c>
      <c r="G1335" s="1" t="s">
        <v>94</v>
      </c>
      <c r="H1335" s="1" t="s">
        <v>165</v>
      </c>
      <c r="I1335" s="1" t="s">
        <v>114</v>
      </c>
      <c r="J1335" s="1" t="s">
        <v>63</v>
      </c>
      <c r="K1335" s="1" t="s">
        <v>178</v>
      </c>
      <c r="L1335" s="1" t="s">
        <v>29</v>
      </c>
      <c r="M1335" s="1" t="s">
        <v>53</v>
      </c>
      <c r="N1335" s="1" t="s">
        <v>179</v>
      </c>
      <c r="O1335">
        <v>83.92</v>
      </c>
      <c r="P1335">
        <v>4</v>
      </c>
      <c r="Q1335">
        <v>21.819199999999999</v>
      </c>
      <c r="R1335" s="1" t="s">
        <v>4423</v>
      </c>
      <c r="S1335">
        <v>2017</v>
      </c>
      <c r="T1335" s="1" t="s">
        <v>45</v>
      </c>
    </row>
    <row r="1336" spans="1:20" x14ac:dyDescent="0.25">
      <c r="A1336" s="1" t="s">
        <v>3449</v>
      </c>
      <c r="B1336" s="2">
        <v>41758</v>
      </c>
      <c r="C1336" s="2">
        <v>41762</v>
      </c>
      <c r="D1336" s="1" t="s">
        <v>37</v>
      </c>
      <c r="E1336" s="1" t="s">
        <v>975</v>
      </c>
      <c r="F1336" s="1" t="s">
        <v>976</v>
      </c>
      <c r="G1336" s="1" t="s">
        <v>84</v>
      </c>
      <c r="H1336" s="1" t="s">
        <v>132</v>
      </c>
      <c r="I1336" s="1" t="s">
        <v>133</v>
      </c>
      <c r="J1336" s="1" t="s">
        <v>27</v>
      </c>
      <c r="K1336" s="1" t="s">
        <v>842</v>
      </c>
      <c r="L1336" s="1" t="s">
        <v>29</v>
      </c>
      <c r="M1336" s="1" t="s">
        <v>34</v>
      </c>
      <c r="N1336" s="1" t="s">
        <v>843</v>
      </c>
      <c r="O1336">
        <v>561.58399999999995</v>
      </c>
      <c r="P1336">
        <v>2</v>
      </c>
      <c r="Q1336">
        <v>70.197999999999993</v>
      </c>
      <c r="R1336" s="1" t="s">
        <v>4424</v>
      </c>
      <c r="S1336">
        <v>2014</v>
      </c>
      <c r="T1336" s="1" t="s">
        <v>107</v>
      </c>
    </row>
    <row r="1337" spans="1:20" x14ac:dyDescent="0.25">
      <c r="A1337" s="1" t="s">
        <v>3450</v>
      </c>
      <c r="B1337" s="2">
        <v>42719</v>
      </c>
      <c r="C1337" s="2">
        <v>42726</v>
      </c>
      <c r="D1337" s="1" t="s">
        <v>37</v>
      </c>
      <c r="E1337" s="1" t="s">
        <v>1555</v>
      </c>
      <c r="F1337" s="1" t="s">
        <v>1556</v>
      </c>
      <c r="G1337" s="1" t="s">
        <v>24</v>
      </c>
      <c r="H1337" s="1" t="s">
        <v>49</v>
      </c>
      <c r="I1337" s="1" t="s">
        <v>50</v>
      </c>
      <c r="J1337" s="1" t="s">
        <v>51</v>
      </c>
      <c r="K1337" s="1" t="s">
        <v>1709</v>
      </c>
      <c r="L1337" s="1" t="s">
        <v>29</v>
      </c>
      <c r="M1337" s="1" t="s">
        <v>53</v>
      </c>
      <c r="N1337" s="1" t="s">
        <v>1710</v>
      </c>
      <c r="O1337">
        <v>14.76</v>
      </c>
      <c r="P1337">
        <v>2</v>
      </c>
      <c r="Q1337">
        <v>4.2804000000000002</v>
      </c>
      <c r="R1337" s="1" t="s">
        <v>4421</v>
      </c>
      <c r="S1337">
        <v>2016</v>
      </c>
      <c r="T1337" s="1" t="s">
        <v>90</v>
      </c>
    </row>
    <row r="1338" spans="1:20" x14ac:dyDescent="0.25">
      <c r="A1338" s="1" t="s">
        <v>3451</v>
      </c>
      <c r="B1338" s="2">
        <v>42458</v>
      </c>
      <c r="C1338" s="2">
        <v>42462</v>
      </c>
      <c r="D1338" s="1" t="s">
        <v>37</v>
      </c>
      <c r="E1338" s="1" t="s">
        <v>489</v>
      </c>
      <c r="F1338" s="1" t="s">
        <v>490</v>
      </c>
      <c r="G1338" s="1" t="s">
        <v>24</v>
      </c>
      <c r="H1338" s="1" t="s">
        <v>869</v>
      </c>
      <c r="I1338" s="1" t="s">
        <v>223</v>
      </c>
      <c r="J1338" s="1" t="s">
        <v>63</v>
      </c>
      <c r="K1338" s="1" t="s">
        <v>701</v>
      </c>
      <c r="L1338" s="1" t="s">
        <v>29</v>
      </c>
      <c r="M1338" s="1" t="s">
        <v>30</v>
      </c>
      <c r="N1338" s="1" t="s">
        <v>702</v>
      </c>
      <c r="O1338">
        <v>299.97500000000002</v>
      </c>
      <c r="P1338">
        <v>5</v>
      </c>
      <c r="Q1338">
        <v>-167.98599999999999</v>
      </c>
      <c r="R1338" s="1" t="s">
        <v>4424</v>
      </c>
      <c r="S1338">
        <v>2016</v>
      </c>
      <c r="T1338" s="1" t="s">
        <v>187</v>
      </c>
    </row>
    <row r="1339" spans="1:20" x14ac:dyDescent="0.25">
      <c r="A1339" s="1" t="s">
        <v>3452</v>
      </c>
      <c r="B1339" s="2">
        <v>42718</v>
      </c>
      <c r="C1339" s="2">
        <v>42723</v>
      </c>
      <c r="D1339" s="1" t="s">
        <v>37</v>
      </c>
      <c r="E1339" s="1" t="s">
        <v>482</v>
      </c>
      <c r="F1339" s="1" t="s">
        <v>483</v>
      </c>
      <c r="G1339" s="1" t="s">
        <v>24</v>
      </c>
      <c r="H1339" s="1" t="s">
        <v>165</v>
      </c>
      <c r="I1339" s="1" t="s">
        <v>114</v>
      </c>
      <c r="J1339" s="1" t="s">
        <v>63</v>
      </c>
      <c r="K1339" s="1" t="s">
        <v>1391</v>
      </c>
      <c r="L1339" s="1" t="s">
        <v>29</v>
      </c>
      <c r="M1339" s="1" t="s">
        <v>53</v>
      </c>
      <c r="N1339" s="1" t="s">
        <v>1392</v>
      </c>
      <c r="O1339">
        <v>396.92</v>
      </c>
      <c r="P1339">
        <v>4</v>
      </c>
      <c r="Q1339">
        <v>198.46</v>
      </c>
      <c r="R1339" s="1" t="s">
        <v>4422</v>
      </c>
      <c r="S1339">
        <v>2016</v>
      </c>
      <c r="T1339" s="1" t="s">
        <v>90</v>
      </c>
    </row>
    <row r="1340" spans="1:20" x14ac:dyDescent="0.25">
      <c r="A1340" s="1" t="s">
        <v>3453</v>
      </c>
      <c r="B1340" s="2">
        <v>42885</v>
      </c>
      <c r="C1340" s="2">
        <v>42886</v>
      </c>
      <c r="D1340" s="1" t="s">
        <v>81</v>
      </c>
      <c r="E1340" s="1" t="s">
        <v>624</v>
      </c>
      <c r="F1340" s="1" t="s">
        <v>625</v>
      </c>
      <c r="G1340" s="1" t="s">
        <v>24</v>
      </c>
      <c r="H1340" s="1" t="s">
        <v>1396</v>
      </c>
      <c r="I1340" s="1" t="s">
        <v>1397</v>
      </c>
      <c r="J1340" s="1" t="s">
        <v>27</v>
      </c>
      <c r="K1340" s="1" t="s">
        <v>1465</v>
      </c>
      <c r="L1340" s="1" t="s">
        <v>29</v>
      </c>
      <c r="M1340" s="1" t="s">
        <v>30</v>
      </c>
      <c r="N1340" s="1" t="s">
        <v>1466</v>
      </c>
      <c r="O1340">
        <v>241.96</v>
      </c>
      <c r="P1340">
        <v>2</v>
      </c>
      <c r="Q1340">
        <v>33.874400000000001</v>
      </c>
      <c r="R1340" s="1" t="s">
        <v>4425</v>
      </c>
      <c r="S1340">
        <v>2017</v>
      </c>
      <c r="T1340" s="1" t="s">
        <v>153</v>
      </c>
    </row>
    <row r="1341" spans="1:20" x14ac:dyDescent="0.25">
      <c r="A1341" s="1" t="s">
        <v>3453</v>
      </c>
      <c r="B1341" s="2">
        <v>42885</v>
      </c>
      <c r="C1341" s="2">
        <v>42886</v>
      </c>
      <c r="D1341" s="1" t="s">
        <v>81</v>
      </c>
      <c r="E1341" s="1" t="s">
        <v>624</v>
      </c>
      <c r="F1341" s="1" t="s">
        <v>625</v>
      </c>
      <c r="G1341" s="1" t="s">
        <v>24</v>
      </c>
      <c r="H1341" s="1" t="s">
        <v>1396</v>
      </c>
      <c r="I1341" s="1" t="s">
        <v>1397</v>
      </c>
      <c r="J1341" s="1" t="s">
        <v>27</v>
      </c>
      <c r="K1341" s="1" t="s">
        <v>2504</v>
      </c>
      <c r="L1341" s="1" t="s">
        <v>29</v>
      </c>
      <c r="M1341" s="1" t="s">
        <v>53</v>
      </c>
      <c r="N1341" s="1" t="s">
        <v>2505</v>
      </c>
      <c r="O1341">
        <v>8.01</v>
      </c>
      <c r="P1341">
        <v>3</v>
      </c>
      <c r="Q1341">
        <v>3.0438000000000001</v>
      </c>
      <c r="R1341" s="1" t="s">
        <v>4425</v>
      </c>
      <c r="S1341">
        <v>2017</v>
      </c>
      <c r="T1341" s="1" t="s">
        <v>153</v>
      </c>
    </row>
    <row r="1342" spans="1:20" x14ac:dyDescent="0.25">
      <c r="A1342" s="1" t="s">
        <v>3454</v>
      </c>
      <c r="B1342" s="2">
        <v>42978</v>
      </c>
      <c r="C1342" s="2">
        <v>42980</v>
      </c>
      <c r="D1342" s="1" t="s">
        <v>21</v>
      </c>
      <c r="E1342" s="1" t="s">
        <v>1951</v>
      </c>
      <c r="F1342" s="1" t="s">
        <v>1952</v>
      </c>
      <c r="G1342" s="1" t="s">
        <v>84</v>
      </c>
      <c r="H1342" s="1" t="s">
        <v>1557</v>
      </c>
      <c r="I1342" s="1" t="s">
        <v>184</v>
      </c>
      <c r="J1342" s="1" t="s">
        <v>51</v>
      </c>
      <c r="K1342" s="1" t="s">
        <v>505</v>
      </c>
      <c r="L1342" s="1" t="s">
        <v>29</v>
      </c>
      <c r="M1342" s="1" t="s">
        <v>34</v>
      </c>
      <c r="N1342" s="1" t="s">
        <v>506</v>
      </c>
      <c r="O1342">
        <v>569.56799999999998</v>
      </c>
      <c r="P1342">
        <v>2</v>
      </c>
      <c r="Q1342">
        <v>7.1196000000000002</v>
      </c>
      <c r="R1342" s="1" t="s">
        <v>4423</v>
      </c>
      <c r="S1342">
        <v>2017</v>
      </c>
      <c r="T1342" s="1" t="s">
        <v>245</v>
      </c>
    </row>
    <row r="1343" spans="1:20" x14ac:dyDescent="0.25">
      <c r="A1343" s="1" t="s">
        <v>3455</v>
      </c>
      <c r="B1343" s="2">
        <v>42869</v>
      </c>
      <c r="C1343" s="2">
        <v>42870</v>
      </c>
      <c r="D1343" s="1" t="s">
        <v>81</v>
      </c>
      <c r="E1343" s="1" t="s">
        <v>864</v>
      </c>
      <c r="F1343" s="1" t="s">
        <v>865</v>
      </c>
      <c r="G1343" s="1" t="s">
        <v>24</v>
      </c>
      <c r="H1343" s="1" t="s">
        <v>95</v>
      </c>
      <c r="I1343" s="1" t="s">
        <v>86</v>
      </c>
      <c r="J1343" s="1" t="s">
        <v>87</v>
      </c>
      <c r="K1343" s="1" t="s">
        <v>1591</v>
      </c>
      <c r="L1343" s="1" t="s">
        <v>29</v>
      </c>
      <c r="M1343" s="1" t="s">
        <v>34</v>
      </c>
      <c r="N1343" s="1" t="s">
        <v>1592</v>
      </c>
      <c r="O1343">
        <v>899.43</v>
      </c>
      <c r="P1343">
        <v>5</v>
      </c>
      <c r="Q1343">
        <v>-12.849</v>
      </c>
      <c r="R1343" s="1" t="s">
        <v>4425</v>
      </c>
      <c r="S1343">
        <v>2017</v>
      </c>
      <c r="T1343" s="1" t="s">
        <v>153</v>
      </c>
    </row>
    <row r="1344" spans="1:20" x14ac:dyDescent="0.25">
      <c r="A1344" s="1" t="s">
        <v>3456</v>
      </c>
      <c r="B1344" s="2">
        <v>42674</v>
      </c>
      <c r="C1344" s="2">
        <v>42679</v>
      </c>
      <c r="D1344" s="1" t="s">
        <v>37</v>
      </c>
      <c r="E1344" s="1" t="s">
        <v>819</v>
      </c>
      <c r="F1344" s="1" t="s">
        <v>820</v>
      </c>
      <c r="G1344" s="1" t="s">
        <v>84</v>
      </c>
      <c r="H1344" s="1" t="s">
        <v>2012</v>
      </c>
      <c r="I1344" s="1" t="s">
        <v>1513</v>
      </c>
      <c r="J1344" s="1" t="s">
        <v>87</v>
      </c>
      <c r="K1344" s="1" t="s">
        <v>1738</v>
      </c>
      <c r="L1344" s="1" t="s">
        <v>29</v>
      </c>
      <c r="M1344" s="1" t="s">
        <v>34</v>
      </c>
      <c r="N1344" s="1" t="s">
        <v>1739</v>
      </c>
      <c r="O1344">
        <v>368.97</v>
      </c>
      <c r="P1344">
        <v>3</v>
      </c>
      <c r="Q1344">
        <v>81.173400000000001</v>
      </c>
      <c r="R1344" s="1" t="s">
        <v>4422</v>
      </c>
      <c r="S1344">
        <v>2016</v>
      </c>
      <c r="T1344" s="1" t="s">
        <v>45</v>
      </c>
    </row>
    <row r="1345" spans="1:20" x14ac:dyDescent="0.25">
      <c r="A1345" s="1" t="s">
        <v>3457</v>
      </c>
      <c r="B1345" s="2">
        <v>42301</v>
      </c>
      <c r="C1345" s="2">
        <v>42304</v>
      </c>
      <c r="D1345" s="1" t="s">
        <v>81</v>
      </c>
      <c r="E1345" s="1" t="s">
        <v>984</v>
      </c>
      <c r="F1345" s="1" t="s">
        <v>985</v>
      </c>
      <c r="G1345" s="1" t="s">
        <v>94</v>
      </c>
      <c r="H1345" s="1" t="s">
        <v>1461</v>
      </c>
      <c r="I1345" s="1" t="s">
        <v>50</v>
      </c>
      <c r="J1345" s="1" t="s">
        <v>51</v>
      </c>
      <c r="K1345" s="1" t="s">
        <v>449</v>
      </c>
      <c r="L1345" s="1" t="s">
        <v>29</v>
      </c>
      <c r="M1345" s="1" t="s">
        <v>34</v>
      </c>
      <c r="N1345" s="1" t="s">
        <v>450</v>
      </c>
      <c r="O1345">
        <v>454.27199999999999</v>
      </c>
      <c r="P1345">
        <v>8</v>
      </c>
      <c r="Q1345">
        <v>-73.819199999999995</v>
      </c>
      <c r="R1345" s="1" t="s">
        <v>4420</v>
      </c>
      <c r="S1345">
        <v>2015</v>
      </c>
      <c r="T1345" s="1" t="s">
        <v>45</v>
      </c>
    </row>
    <row r="1346" spans="1:20" x14ac:dyDescent="0.25">
      <c r="A1346" s="1" t="s">
        <v>3458</v>
      </c>
      <c r="B1346" s="2">
        <v>41946</v>
      </c>
      <c r="C1346" s="2">
        <v>41950</v>
      </c>
      <c r="D1346" s="1" t="s">
        <v>37</v>
      </c>
      <c r="E1346" s="1" t="s">
        <v>3459</v>
      </c>
      <c r="F1346" s="1" t="s">
        <v>3460</v>
      </c>
      <c r="G1346" s="1" t="s">
        <v>24</v>
      </c>
      <c r="H1346" s="1" t="s">
        <v>597</v>
      </c>
      <c r="I1346" s="1" t="s">
        <v>1027</v>
      </c>
      <c r="J1346" s="1" t="s">
        <v>27</v>
      </c>
      <c r="K1346" s="1" t="s">
        <v>185</v>
      </c>
      <c r="L1346" s="1" t="s">
        <v>29</v>
      </c>
      <c r="M1346" s="1" t="s">
        <v>43</v>
      </c>
      <c r="N1346" s="1" t="s">
        <v>186</v>
      </c>
      <c r="O1346">
        <v>945.03599999999994</v>
      </c>
      <c r="P1346">
        <v>6</v>
      </c>
      <c r="Q1346">
        <v>-299.26139999999998</v>
      </c>
      <c r="R1346" s="1" t="s">
        <v>4424</v>
      </c>
      <c r="S1346">
        <v>2014</v>
      </c>
      <c r="T1346" s="1" t="s">
        <v>32</v>
      </c>
    </row>
    <row r="1347" spans="1:20" x14ac:dyDescent="0.25">
      <c r="A1347" s="1" t="s">
        <v>3458</v>
      </c>
      <c r="B1347" s="2">
        <v>41946</v>
      </c>
      <c r="C1347" s="2">
        <v>41950</v>
      </c>
      <c r="D1347" s="1" t="s">
        <v>37</v>
      </c>
      <c r="E1347" s="1" t="s">
        <v>3459</v>
      </c>
      <c r="F1347" s="1" t="s">
        <v>3460</v>
      </c>
      <c r="G1347" s="1" t="s">
        <v>24</v>
      </c>
      <c r="H1347" s="1" t="s">
        <v>597</v>
      </c>
      <c r="I1347" s="1" t="s">
        <v>1027</v>
      </c>
      <c r="J1347" s="1" t="s">
        <v>27</v>
      </c>
      <c r="K1347" s="1" t="s">
        <v>1822</v>
      </c>
      <c r="L1347" s="1" t="s">
        <v>29</v>
      </c>
      <c r="M1347" s="1" t="s">
        <v>53</v>
      </c>
      <c r="N1347" s="1" t="s">
        <v>1823</v>
      </c>
      <c r="O1347">
        <v>410.35199999999998</v>
      </c>
      <c r="P1347">
        <v>3</v>
      </c>
      <c r="Q1347">
        <v>-51.293999999999997</v>
      </c>
      <c r="R1347" s="1" t="s">
        <v>4424</v>
      </c>
      <c r="S1347">
        <v>2014</v>
      </c>
      <c r="T1347" s="1" t="s">
        <v>32</v>
      </c>
    </row>
    <row r="1348" spans="1:20" x14ac:dyDescent="0.25">
      <c r="A1348" s="1" t="s">
        <v>3461</v>
      </c>
      <c r="B1348" s="2">
        <v>42882</v>
      </c>
      <c r="C1348" s="2">
        <v>42884</v>
      </c>
      <c r="D1348" s="1" t="s">
        <v>81</v>
      </c>
      <c r="E1348" s="1" t="s">
        <v>1562</v>
      </c>
      <c r="F1348" s="1" t="s">
        <v>1563</v>
      </c>
      <c r="G1348" s="1" t="s">
        <v>24</v>
      </c>
      <c r="H1348" s="1" t="s">
        <v>3229</v>
      </c>
      <c r="I1348" s="1" t="s">
        <v>2271</v>
      </c>
      <c r="J1348" s="1" t="s">
        <v>51</v>
      </c>
      <c r="K1348" s="1" t="s">
        <v>2180</v>
      </c>
      <c r="L1348" s="1" t="s">
        <v>29</v>
      </c>
      <c r="M1348" s="1" t="s">
        <v>53</v>
      </c>
      <c r="N1348" s="1" t="s">
        <v>2181</v>
      </c>
      <c r="O1348">
        <v>35</v>
      </c>
      <c r="P1348">
        <v>4</v>
      </c>
      <c r="Q1348">
        <v>14.7</v>
      </c>
      <c r="R1348" s="1" t="s">
        <v>4423</v>
      </c>
      <c r="S1348">
        <v>2017</v>
      </c>
      <c r="T1348" s="1" t="s">
        <v>153</v>
      </c>
    </row>
    <row r="1349" spans="1:20" x14ac:dyDescent="0.25">
      <c r="A1349" s="1" t="s">
        <v>3462</v>
      </c>
      <c r="B1349" s="2">
        <v>43083</v>
      </c>
      <c r="C1349" s="2">
        <v>43088</v>
      </c>
      <c r="D1349" s="1" t="s">
        <v>37</v>
      </c>
      <c r="E1349" s="1" t="s">
        <v>213</v>
      </c>
      <c r="F1349" s="1" t="s">
        <v>214</v>
      </c>
      <c r="G1349" s="1" t="s">
        <v>24</v>
      </c>
      <c r="H1349" s="1" t="s">
        <v>2469</v>
      </c>
      <c r="I1349" s="1" t="s">
        <v>86</v>
      </c>
      <c r="J1349" s="1" t="s">
        <v>87</v>
      </c>
      <c r="K1349" s="1" t="s">
        <v>42</v>
      </c>
      <c r="L1349" s="1" t="s">
        <v>29</v>
      </c>
      <c r="M1349" s="1" t="s">
        <v>43</v>
      </c>
      <c r="N1349" s="1" t="s">
        <v>44</v>
      </c>
      <c r="O1349">
        <v>974.98800000000006</v>
      </c>
      <c r="P1349">
        <v>4</v>
      </c>
      <c r="Q1349">
        <v>-97.498800000000003</v>
      </c>
      <c r="R1349" s="1" t="s">
        <v>4422</v>
      </c>
      <c r="S1349">
        <v>2017</v>
      </c>
      <c r="T1349" s="1" t="s">
        <v>90</v>
      </c>
    </row>
    <row r="1350" spans="1:20" x14ac:dyDescent="0.25">
      <c r="A1350" s="1" t="s">
        <v>3463</v>
      </c>
      <c r="B1350" s="2">
        <v>41916</v>
      </c>
      <c r="C1350" s="2">
        <v>41918</v>
      </c>
      <c r="D1350" s="1" t="s">
        <v>81</v>
      </c>
      <c r="E1350" s="1" t="s">
        <v>1143</v>
      </c>
      <c r="F1350" s="1" t="s">
        <v>1144</v>
      </c>
      <c r="G1350" s="1" t="s">
        <v>24</v>
      </c>
      <c r="H1350" s="1" t="s">
        <v>165</v>
      </c>
      <c r="I1350" s="1" t="s">
        <v>114</v>
      </c>
      <c r="J1350" s="1" t="s">
        <v>63</v>
      </c>
      <c r="K1350" s="1" t="s">
        <v>2569</v>
      </c>
      <c r="L1350" s="1" t="s">
        <v>29</v>
      </c>
      <c r="M1350" s="1" t="s">
        <v>34</v>
      </c>
      <c r="N1350" s="1" t="s">
        <v>2570</v>
      </c>
      <c r="O1350">
        <v>589.41</v>
      </c>
      <c r="P1350">
        <v>5</v>
      </c>
      <c r="Q1350">
        <v>-6.5490000000000004</v>
      </c>
      <c r="R1350" s="1" t="s">
        <v>4423</v>
      </c>
      <c r="S1350">
        <v>2014</v>
      </c>
      <c r="T1350" s="1" t="s">
        <v>45</v>
      </c>
    </row>
    <row r="1351" spans="1:20" x14ac:dyDescent="0.25">
      <c r="A1351" s="1" t="s">
        <v>3464</v>
      </c>
      <c r="B1351" s="2">
        <v>42656</v>
      </c>
      <c r="C1351" s="2">
        <v>42663</v>
      </c>
      <c r="D1351" s="1" t="s">
        <v>37</v>
      </c>
      <c r="E1351" s="1" t="s">
        <v>1951</v>
      </c>
      <c r="F1351" s="1" t="s">
        <v>1952</v>
      </c>
      <c r="G1351" s="1" t="s">
        <v>84</v>
      </c>
      <c r="H1351" s="1" t="s">
        <v>165</v>
      </c>
      <c r="I1351" s="1" t="s">
        <v>114</v>
      </c>
      <c r="J1351" s="1" t="s">
        <v>63</v>
      </c>
      <c r="K1351" s="1" t="s">
        <v>1140</v>
      </c>
      <c r="L1351" s="1" t="s">
        <v>29</v>
      </c>
      <c r="M1351" s="1" t="s">
        <v>53</v>
      </c>
      <c r="N1351" s="1" t="s">
        <v>1141</v>
      </c>
      <c r="O1351">
        <v>82.26</v>
      </c>
      <c r="P1351">
        <v>3</v>
      </c>
      <c r="Q1351">
        <v>33.726599999999998</v>
      </c>
      <c r="R1351" s="1" t="s">
        <v>4421</v>
      </c>
      <c r="S1351">
        <v>2016</v>
      </c>
      <c r="T1351" s="1" t="s">
        <v>45</v>
      </c>
    </row>
    <row r="1352" spans="1:20" x14ac:dyDescent="0.25">
      <c r="A1352" s="1" t="s">
        <v>3465</v>
      </c>
      <c r="B1352" s="2">
        <v>42798</v>
      </c>
      <c r="C1352" s="2">
        <v>42800</v>
      </c>
      <c r="D1352" s="1" t="s">
        <v>21</v>
      </c>
      <c r="E1352" s="1" t="s">
        <v>3466</v>
      </c>
      <c r="F1352" s="1" t="s">
        <v>3467</v>
      </c>
      <c r="G1352" s="1" t="s">
        <v>94</v>
      </c>
      <c r="H1352" s="1" t="s">
        <v>95</v>
      </c>
      <c r="I1352" s="1" t="s">
        <v>86</v>
      </c>
      <c r="J1352" s="1" t="s">
        <v>87</v>
      </c>
      <c r="K1352" s="1" t="s">
        <v>78</v>
      </c>
      <c r="L1352" s="1" t="s">
        <v>29</v>
      </c>
      <c r="M1352" s="1" t="s">
        <v>53</v>
      </c>
      <c r="N1352" s="1" t="s">
        <v>79</v>
      </c>
      <c r="O1352">
        <v>103.5</v>
      </c>
      <c r="P1352">
        <v>5</v>
      </c>
      <c r="Q1352">
        <v>-77.625</v>
      </c>
      <c r="R1352" s="1" t="s">
        <v>4423</v>
      </c>
      <c r="S1352">
        <v>2017</v>
      </c>
      <c r="T1352" s="1" t="s">
        <v>187</v>
      </c>
    </row>
    <row r="1353" spans="1:20" x14ac:dyDescent="0.25">
      <c r="A1353" s="1" t="s">
        <v>3468</v>
      </c>
      <c r="B1353" s="2">
        <v>42947</v>
      </c>
      <c r="C1353" s="2">
        <v>42950</v>
      </c>
      <c r="D1353" s="1" t="s">
        <v>81</v>
      </c>
      <c r="E1353" s="1" t="s">
        <v>3469</v>
      </c>
      <c r="F1353" s="1" t="s">
        <v>3470</v>
      </c>
      <c r="G1353" s="1" t="s">
        <v>24</v>
      </c>
      <c r="H1353" s="1" t="s">
        <v>320</v>
      </c>
      <c r="I1353" s="1" t="s">
        <v>50</v>
      </c>
      <c r="J1353" s="1" t="s">
        <v>51</v>
      </c>
      <c r="K1353" s="1" t="s">
        <v>1649</v>
      </c>
      <c r="L1353" s="1" t="s">
        <v>29</v>
      </c>
      <c r="M1353" s="1" t="s">
        <v>53</v>
      </c>
      <c r="N1353" s="1" t="s">
        <v>1650</v>
      </c>
      <c r="O1353">
        <v>36.96</v>
      </c>
      <c r="P1353">
        <v>7</v>
      </c>
      <c r="Q1353">
        <v>11.457599999999999</v>
      </c>
      <c r="R1353" s="1" t="s">
        <v>4420</v>
      </c>
      <c r="S1353">
        <v>2017</v>
      </c>
      <c r="T1353" s="1" t="s">
        <v>66</v>
      </c>
    </row>
    <row r="1354" spans="1:20" x14ac:dyDescent="0.25">
      <c r="A1354" s="1" t="s">
        <v>3471</v>
      </c>
      <c r="B1354" s="2">
        <v>42869</v>
      </c>
      <c r="C1354" s="2">
        <v>42872</v>
      </c>
      <c r="D1354" s="1" t="s">
        <v>81</v>
      </c>
      <c r="E1354" s="1" t="s">
        <v>867</v>
      </c>
      <c r="F1354" s="1" t="s">
        <v>868</v>
      </c>
      <c r="G1354" s="1" t="s">
        <v>84</v>
      </c>
      <c r="H1354" s="1" t="s">
        <v>2745</v>
      </c>
      <c r="I1354" s="1" t="s">
        <v>1080</v>
      </c>
      <c r="J1354" s="1" t="s">
        <v>63</v>
      </c>
      <c r="K1354" s="1" t="s">
        <v>2569</v>
      </c>
      <c r="L1354" s="1" t="s">
        <v>29</v>
      </c>
      <c r="M1354" s="1" t="s">
        <v>34</v>
      </c>
      <c r="N1354" s="1" t="s">
        <v>2570</v>
      </c>
      <c r="O1354">
        <v>261.95999999999998</v>
      </c>
      <c r="P1354">
        <v>2</v>
      </c>
      <c r="Q1354">
        <v>23.5764</v>
      </c>
      <c r="R1354" s="1" t="s">
        <v>4420</v>
      </c>
      <c r="S1354">
        <v>2017</v>
      </c>
      <c r="T1354" s="1" t="s">
        <v>153</v>
      </c>
    </row>
    <row r="1355" spans="1:20" x14ac:dyDescent="0.25">
      <c r="A1355" s="1" t="s">
        <v>3472</v>
      </c>
      <c r="B1355" s="2">
        <v>42635</v>
      </c>
      <c r="C1355" s="2">
        <v>42641</v>
      </c>
      <c r="D1355" s="1" t="s">
        <v>37</v>
      </c>
      <c r="E1355" s="1" t="s">
        <v>2815</v>
      </c>
      <c r="F1355" s="1" t="s">
        <v>2816</v>
      </c>
      <c r="G1355" s="1" t="s">
        <v>94</v>
      </c>
      <c r="H1355" s="1" t="s">
        <v>856</v>
      </c>
      <c r="I1355" s="1" t="s">
        <v>26</v>
      </c>
      <c r="J1355" s="1" t="s">
        <v>27</v>
      </c>
      <c r="K1355" s="1" t="s">
        <v>2317</v>
      </c>
      <c r="L1355" s="1" t="s">
        <v>29</v>
      </c>
      <c r="M1355" s="1" t="s">
        <v>53</v>
      </c>
      <c r="N1355" s="1" t="s">
        <v>2318</v>
      </c>
      <c r="O1355">
        <v>13.28</v>
      </c>
      <c r="P1355">
        <v>2</v>
      </c>
      <c r="Q1355">
        <v>6.3743999999999996</v>
      </c>
      <c r="R1355" s="1" t="s">
        <v>4426</v>
      </c>
      <c r="S1355">
        <v>2016</v>
      </c>
      <c r="T1355" s="1" t="s">
        <v>72</v>
      </c>
    </row>
    <row r="1356" spans="1:20" x14ac:dyDescent="0.25">
      <c r="A1356" s="1" t="s">
        <v>3473</v>
      </c>
      <c r="B1356" s="2">
        <v>42706</v>
      </c>
      <c r="C1356" s="2">
        <v>42712</v>
      </c>
      <c r="D1356" s="1" t="s">
        <v>37</v>
      </c>
      <c r="E1356" s="1" t="s">
        <v>3387</v>
      </c>
      <c r="F1356" s="1" t="s">
        <v>3388</v>
      </c>
      <c r="G1356" s="1" t="s">
        <v>94</v>
      </c>
      <c r="H1356" s="1" t="s">
        <v>1635</v>
      </c>
      <c r="I1356" s="1" t="s">
        <v>1636</v>
      </c>
      <c r="J1356" s="1" t="s">
        <v>63</v>
      </c>
      <c r="K1356" s="1" t="s">
        <v>542</v>
      </c>
      <c r="L1356" s="1" t="s">
        <v>29</v>
      </c>
      <c r="M1356" s="1" t="s">
        <v>53</v>
      </c>
      <c r="N1356" s="1" t="s">
        <v>3116</v>
      </c>
      <c r="O1356">
        <v>72.42</v>
      </c>
      <c r="P1356">
        <v>6</v>
      </c>
      <c r="Q1356">
        <v>23.898599999999998</v>
      </c>
      <c r="R1356" s="1" t="s">
        <v>4426</v>
      </c>
      <c r="S1356">
        <v>2016</v>
      </c>
      <c r="T1356" s="1" t="s">
        <v>90</v>
      </c>
    </row>
    <row r="1357" spans="1:20" x14ac:dyDescent="0.25">
      <c r="A1357" s="1" t="s">
        <v>3474</v>
      </c>
      <c r="B1357" s="2">
        <v>41653</v>
      </c>
      <c r="C1357" s="2">
        <v>41654</v>
      </c>
      <c r="D1357" s="1" t="s">
        <v>81</v>
      </c>
      <c r="E1357" s="1" t="s">
        <v>3475</v>
      </c>
      <c r="F1357" s="1" t="s">
        <v>3476</v>
      </c>
      <c r="G1357" s="1" t="s">
        <v>84</v>
      </c>
      <c r="H1357" s="1" t="s">
        <v>61</v>
      </c>
      <c r="I1357" s="1" t="s">
        <v>62</v>
      </c>
      <c r="J1357" s="1" t="s">
        <v>63</v>
      </c>
      <c r="K1357" s="1" t="s">
        <v>1166</v>
      </c>
      <c r="L1357" s="1" t="s">
        <v>29</v>
      </c>
      <c r="M1357" s="1" t="s">
        <v>30</v>
      </c>
      <c r="N1357" s="1" t="s">
        <v>1167</v>
      </c>
      <c r="O1357">
        <v>61.96</v>
      </c>
      <c r="P1357">
        <v>4</v>
      </c>
      <c r="Q1357">
        <v>-53.285600000000002</v>
      </c>
      <c r="R1357" s="1" t="s">
        <v>4425</v>
      </c>
      <c r="S1357">
        <v>2014</v>
      </c>
      <c r="T1357" s="1" t="s">
        <v>161</v>
      </c>
    </row>
    <row r="1358" spans="1:20" x14ac:dyDescent="0.25">
      <c r="A1358" s="1" t="s">
        <v>3477</v>
      </c>
      <c r="B1358" s="2">
        <v>42889</v>
      </c>
      <c r="C1358" s="2">
        <v>42896</v>
      </c>
      <c r="D1358" s="1" t="s">
        <v>37</v>
      </c>
      <c r="E1358" s="1" t="s">
        <v>2927</v>
      </c>
      <c r="F1358" s="1" t="s">
        <v>2928</v>
      </c>
      <c r="G1358" s="1" t="s">
        <v>24</v>
      </c>
      <c r="H1358" s="1" t="s">
        <v>431</v>
      </c>
      <c r="I1358" s="1" t="s">
        <v>41</v>
      </c>
      <c r="J1358" s="1" t="s">
        <v>27</v>
      </c>
      <c r="K1358" s="1" t="s">
        <v>520</v>
      </c>
      <c r="L1358" s="1" t="s">
        <v>29</v>
      </c>
      <c r="M1358" s="1" t="s">
        <v>30</v>
      </c>
      <c r="N1358" s="1" t="s">
        <v>521</v>
      </c>
      <c r="O1358">
        <v>241.56800000000001</v>
      </c>
      <c r="P1358">
        <v>2</v>
      </c>
      <c r="Q1358">
        <v>0</v>
      </c>
      <c r="R1358" s="1" t="s">
        <v>4421</v>
      </c>
      <c r="S1358">
        <v>2017</v>
      </c>
      <c r="T1358" s="1" t="s">
        <v>55</v>
      </c>
    </row>
    <row r="1359" spans="1:20" x14ac:dyDescent="0.25">
      <c r="A1359" s="1" t="s">
        <v>3478</v>
      </c>
      <c r="B1359" s="2">
        <v>42889</v>
      </c>
      <c r="C1359" s="2">
        <v>42895</v>
      </c>
      <c r="D1359" s="1" t="s">
        <v>37</v>
      </c>
      <c r="E1359" s="1" t="s">
        <v>3479</v>
      </c>
      <c r="F1359" s="1" t="s">
        <v>3480</v>
      </c>
      <c r="G1359" s="1" t="s">
        <v>84</v>
      </c>
      <c r="H1359" s="1" t="s">
        <v>165</v>
      </c>
      <c r="I1359" s="1" t="s">
        <v>114</v>
      </c>
      <c r="J1359" s="1" t="s">
        <v>63</v>
      </c>
      <c r="K1359" s="1" t="s">
        <v>1068</v>
      </c>
      <c r="L1359" s="1" t="s">
        <v>29</v>
      </c>
      <c r="M1359" s="1" t="s">
        <v>43</v>
      </c>
      <c r="N1359" s="1" t="s">
        <v>1069</v>
      </c>
      <c r="O1359">
        <v>384.76799999999997</v>
      </c>
      <c r="P1359">
        <v>2</v>
      </c>
      <c r="Q1359">
        <v>-115.43040000000001</v>
      </c>
      <c r="R1359" s="1" t="s">
        <v>4426</v>
      </c>
      <c r="S1359">
        <v>2017</v>
      </c>
      <c r="T1359" s="1" t="s">
        <v>55</v>
      </c>
    </row>
    <row r="1360" spans="1:20" x14ac:dyDescent="0.25">
      <c r="A1360" s="1" t="s">
        <v>3481</v>
      </c>
      <c r="B1360" s="2">
        <v>41897</v>
      </c>
      <c r="C1360" s="2">
        <v>41901</v>
      </c>
      <c r="D1360" s="1" t="s">
        <v>37</v>
      </c>
      <c r="E1360" s="1" t="s">
        <v>2949</v>
      </c>
      <c r="F1360" s="1" t="s">
        <v>2950</v>
      </c>
      <c r="G1360" s="1" t="s">
        <v>84</v>
      </c>
      <c r="H1360" s="1" t="s">
        <v>61</v>
      </c>
      <c r="I1360" s="1" t="s">
        <v>62</v>
      </c>
      <c r="J1360" s="1" t="s">
        <v>63</v>
      </c>
      <c r="K1360" s="1" t="s">
        <v>747</v>
      </c>
      <c r="L1360" s="1" t="s">
        <v>29</v>
      </c>
      <c r="M1360" s="1" t="s">
        <v>53</v>
      </c>
      <c r="N1360" s="1" t="s">
        <v>748</v>
      </c>
      <c r="O1360">
        <v>103.93600000000001</v>
      </c>
      <c r="P1360">
        <v>4</v>
      </c>
      <c r="Q1360">
        <v>16.889600000000002</v>
      </c>
      <c r="R1360" s="1" t="s">
        <v>4424</v>
      </c>
      <c r="S1360">
        <v>2014</v>
      </c>
      <c r="T1360" s="1" t="s">
        <v>72</v>
      </c>
    </row>
    <row r="1361" spans="1:20" x14ac:dyDescent="0.25">
      <c r="A1361" s="1" t="s">
        <v>3482</v>
      </c>
      <c r="B1361" s="2">
        <v>42694</v>
      </c>
      <c r="C1361" s="2">
        <v>42699</v>
      </c>
      <c r="D1361" s="1" t="s">
        <v>37</v>
      </c>
      <c r="E1361" s="1" t="s">
        <v>1526</v>
      </c>
      <c r="F1361" s="1" t="s">
        <v>1527</v>
      </c>
      <c r="G1361" s="1" t="s">
        <v>84</v>
      </c>
      <c r="H1361" s="1" t="s">
        <v>3483</v>
      </c>
      <c r="I1361" s="1" t="s">
        <v>41</v>
      </c>
      <c r="J1361" s="1" t="s">
        <v>27</v>
      </c>
      <c r="K1361" s="1" t="s">
        <v>269</v>
      </c>
      <c r="L1361" s="1" t="s">
        <v>29</v>
      </c>
      <c r="M1361" s="1" t="s">
        <v>30</v>
      </c>
      <c r="N1361" s="1" t="s">
        <v>270</v>
      </c>
      <c r="O1361">
        <v>289.56799999999998</v>
      </c>
      <c r="P1361">
        <v>2</v>
      </c>
      <c r="Q1361">
        <v>10.8588</v>
      </c>
      <c r="R1361" s="1" t="s">
        <v>4422</v>
      </c>
      <c r="S1361">
        <v>2016</v>
      </c>
      <c r="T1361" s="1" t="s">
        <v>32</v>
      </c>
    </row>
    <row r="1362" spans="1:20" x14ac:dyDescent="0.25">
      <c r="A1362" s="1" t="s">
        <v>3484</v>
      </c>
      <c r="B1362" s="2">
        <v>42209</v>
      </c>
      <c r="C1362" s="2">
        <v>42213</v>
      </c>
      <c r="D1362" s="1" t="s">
        <v>37</v>
      </c>
      <c r="E1362" s="1" t="s">
        <v>3485</v>
      </c>
      <c r="F1362" s="1" t="s">
        <v>3486</v>
      </c>
      <c r="G1362" s="1" t="s">
        <v>94</v>
      </c>
      <c r="H1362" s="1" t="s">
        <v>856</v>
      </c>
      <c r="I1362" s="1" t="s">
        <v>26</v>
      </c>
      <c r="J1362" s="1" t="s">
        <v>27</v>
      </c>
      <c r="K1362" s="1" t="s">
        <v>52</v>
      </c>
      <c r="L1362" s="1" t="s">
        <v>29</v>
      </c>
      <c r="M1362" s="1" t="s">
        <v>53</v>
      </c>
      <c r="N1362" s="1" t="s">
        <v>54</v>
      </c>
      <c r="O1362">
        <v>20.94</v>
      </c>
      <c r="P1362">
        <v>3</v>
      </c>
      <c r="Q1362">
        <v>6.0726000000000004</v>
      </c>
      <c r="R1362" s="1" t="s">
        <v>4424</v>
      </c>
      <c r="S1362">
        <v>2015</v>
      </c>
      <c r="T1362" s="1" t="s">
        <v>66</v>
      </c>
    </row>
    <row r="1363" spans="1:20" x14ac:dyDescent="0.25">
      <c r="A1363" s="1" t="s">
        <v>3487</v>
      </c>
      <c r="B1363" s="2">
        <v>42652</v>
      </c>
      <c r="C1363" s="2">
        <v>42654</v>
      </c>
      <c r="D1363" s="1" t="s">
        <v>21</v>
      </c>
      <c r="E1363" s="1" t="s">
        <v>3488</v>
      </c>
      <c r="F1363" s="1" t="s">
        <v>3489</v>
      </c>
      <c r="G1363" s="1" t="s">
        <v>84</v>
      </c>
      <c r="H1363" s="1" t="s">
        <v>61</v>
      </c>
      <c r="I1363" s="1" t="s">
        <v>62</v>
      </c>
      <c r="J1363" s="1" t="s">
        <v>63</v>
      </c>
      <c r="K1363" s="1" t="s">
        <v>708</v>
      </c>
      <c r="L1363" s="1" t="s">
        <v>29</v>
      </c>
      <c r="M1363" s="1" t="s">
        <v>53</v>
      </c>
      <c r="N1363" s="1" t="s">
        <v>709</v>
      </c>
      <c r="O1363">
        <v>332.83199999999999</v>
      </c>
      <c r="P1363">
        <v>4</v>
      </c>
      <c r="Q1363">
        <v>-24.962399999999999</v>
      </c>
      <c r="R1363" s="1" t="s">
        <v>4423</v>
      </c>
      <c r="S1363">
        <v>2016</v>
      </c>
      <c r="T1363" s="1" t="s">
        <v>45</v>
      </c>
    </row>
    <row r="1364" spans="1:20" x14ac:dyDescent="0.25">
      <c r="A1364" s="1" t="s">
        <v>3490</v>
      </c>
      <c r="B1364" s="2">
        <v>42993</v>
      </c>
      <c r="C1364" s="2">
        <v>42997</v>
      </c>
      <c r="D1364" s="1" t="s">
        <v>37</v>
      </c>
      <c r="E1364" s="1" t="s">
        <v>1652</v>
      </c>
      <c r="F1364" s="1" t="s">
        <v>1653</v>
      </c>
      <c r="G1364" s="1" t="s">
        <v>24</v>
      </c>
      <c r="H1364" s="1" t="s">
        <v>320</v>
      </c>
      <c r="I1364" s="1" t="s">
        <v>50</v>
      </c>
      <c r="J1364" s="1" t="s">
        <v>51</v>
      </c>
      <c r="K1364" s="1" t="s">
        <v>1208</v>
      </c>
      <c r="L1364" s="1" t="s">
        <v>29</v>
      </c>
      <c r="M1364" s="1" t="s">
        <v>34</v>
      </c>
      <c r="N1364" s="1" t="s">
        <v>1209</v>
      </c>
      <c r="O1364">
        <v>218.352</v>
      </c>
      <c r="P1364">
        <v>3</v>
      </c>
      <c r="Q1364">
        <v>0</v>
      </c>
      <c r="R1364" s="1" t="s">
        <v>4424</v>
      </c>
      <c r="S1364">
        <v>2017</v>
      </c>
      <c r="T1364" s="1" t="s">
        <v>72</v>
      </c>
    </row>
    <row r="1365" spans="1:20" x14ac:dyDescent="0.25">
      <c r="A1365" s="1" t="s">
        <v>3490</v>
      </c>
      <c r="B1365" s="2">
        <v>42993</v>
      </c>
      <c r="C1365" s="2">
        <v>42997</v>
      </c>
      <c r="D1365" s="1" t="s">
        <v>37</v>
      </c>
      <c r="E1365" s="1" t="s">
        <v>1652</v>
      </c>
      <c r="F1365" s="1" t="s">
        <v>1653</v>
      </c>
      <c r="G1365" s="1" t="s">
        <v>24</v>
      </c>
      <c r="H1365" s="1" t="s">
        <v>320</v>
      </c>
      <c r="I1365" s="1" t="s">
        <v>50</v>
      </c>
      <c r="J1365" s="1" t="s">
        <v>51</v>
      </c>
      <c r="K1365" s="1" t="s">
        <v>1382</v>
      </c>
      <c r="L1365" s="1" t="s">
        <v>29</v>
      </c>
      <c r="M1365" s="1" t="s">
        <v>53</v>
      </c>
      <c r="N1365" s="1" t="s">
        <v>1383</v>
      </c>
      <c r="O1365">
        <v>529.9</v>
      </c>
      <c r="P1365">
        <v>5</v>
      </c>
      <c r="Q1365">
        <v>105.98</v>
      </c>
      <c r="R1365" s="1" t="s">
        <v>4424</v>
      </c>
      <c r="S1365">
        <v>2017</v>
      </c>
      <c r="T1365" s="1" t="s">
        <v>72</v>
      </c>
    </row>
    <row r="1366" spans="1:20" x14ac:dyDescent="0.25">
      <c r="A1366" s="1" t="s">
        <v>3491</v>
      </c>
      <c r="B1366" s="2">
        <v>42751</v>
      </c>
      <c r="C1366" s="2">
        <v>42753</v>
      </c>
      <c r="D1366" s="1" t="s">
        <v>21</v>
      </c>
      <c r="E1366" s="1" t="s">
        <v>2666</v>
      </c>
      <c r="F1366" s="1" t="s">
        <v>2667</v>
      </c>
      <c r="G1366" s="1" t="s">
        <v>24</v>
      </c>
      <c r="H1366" s="1" t="s">
        <v>468</v>
      </c>
      <c r="I1366" s="1" t="s">
        <v>281</v>
      </c>
      <c r="J1366" s="1" t="s">
        <v>87</v>
      </c>
      <c r="K1366" s="1" t="s">
        <v>3008</v>
      </c>
      <c r="L1366" s="1" t="s">
        <v>29</v>
      </c>
      <c r="M1366" s="1" t="s">
        <v>34</v>
      </c>
      <c r="N1366" s="1" t="s">
        <v>3009</v>
      </c>
      <c r="O1366">
        <v>302.67</v>
      </c>
      <c r="P1366">
        <v>3</v>
      </c>
      <c r="Q1366">
        <v>72.640799999999999</v>
      </c>
      <c r="R1366" s="1" t="s">
        <v>4423</v>
      </c>
      <c r="S1366">
        <v>2017</v>
      </c>
      <c r="T1366" s="1" t="s">
        <v>161</v>
      </c>
    </row>
    <row r="1367" spans="1:20" x14ac:dyDescent="0.25">
      <c r="A1367" s="1" t="s">
        <v>3492</v>
      </c>
      <c r="B1367" s="2">
        <v>41960</v>
      </c>
      <c r="C1367" s="2">
        <v>41965</v>
      </c>
      <c r="D1367" s="1" t="s">
        <v>37</v>
      </c>
      <c r="E1367" s="1" t="s">
        <v>864</v>
      </c>
      <c r="F1367" s="1" t="s">
        <v>865</v>
      </c>
      <c r="G1367" s="1" t="s">
        <v>24</v>
      </c>
      <c r="H1367" s="1" t="s">
        <v>2945</v>
      </c>
      <c r="I1367" s="1" t="s">
        <v>114</v>
      </c>
      <c r="J1367" s="1" t="s">
        <v>63</v>
      </c>
      <c r="K1367" s="1" t="s">
        <v>1686</v>
      </c>
      <c r="L1367" s="1" t="s">
        <v>29</v>
      </c>
      <c r="M1367" s="1" t="s">
        <v>30</v>
      </c>
      <c r="N1367" s="1" t="s">
        <v>1687</v>
      </c>
      <c r="O1367">
        <v>4007.84</v>
      </c>
      <c r="P1367">
        <v>10</v>
      </c>
      <c r="Q1367">
        <v>-50.097999999999999</v>
      </c>
      <c r="R1367" s="1" t="s">
        <v>4422</v>
      </c>
      <c r="S1367">
        <v>2014</v>
      </c>
      <c r="T1367" s="1" t="s">
        <v>32</v>
      </c>
    </row>
    <row r="1368" spans="1:20" x14ac:dyDescent="0.25">
      <c r="A1368" s="1" t="s">
        <v>3493</v>
      </c>
      <c r="B1368" s="2">
        <v>41932</v>
      </c>
      <c r="C1368" s="2">
        <v>41935</v>
      </c>
      <c r="D1368" s="1" t="s">
        <v>81</v>
      </c>
      <c r="E1368" s="1" t="s">
        <v>3258</v>
      </c>
      <c r="F1368" s="1" t="s">
        <v>3259</v>
      </c>
      <c r="G1368" s="1" t="s">
        <v>84</v>
      </c>
      <c r="H1368" s="1" t="s">
        <v>3115</v>
      </c>
      <c r="I1368" s="1" t="s">
        <v>133</v>
      </c>
      <c r="J1368" s="1" t="s">
        <v>27</v>
      </c>
      <c r="K1368" s="1" t="s">
        <v>1225</v>
      </c>
      <c r="L1368" s="1" t="s">
        <v>29</v>
      </c>
      <c r="M1368" s="1" t="s">
        <v>43</v>
      </c>
      <c r="N1368" s="1" t="s">
        <v>1226</v>
      </c>
      <c r="O1368">
        <v>328.59</v>
      </c>
      <c r="P1368">
        <v>3</v>
      </c>
      <c r="Q1368">
        <v>-147.8655</v>
      </c>
      <c r="R1368" s="1" t="s">
        <v>4420</v>
      </c>
      <c r="S1368">
        <v>2014</v>
      </c>
      <c r="T1368" s="1" t="s">
        <v>45</v>
      </c>
    </row>
    <row r="1369" spans="1:20" x14ac:dyDescent="0.25">
      <c r="A1369" s="1" t="s">
        <v>3494</v>
      </c>
      <c r="B1369" s="2">
        <v>42302</v>
      </c>
      <c r="C1369" s="2">
        <v>42307</v>
      </c>
      <c r="D1369" s="1" t="s">
        <v>37</v>
      </c>
      <c r="E1369" s="1" t="s">
        <v>261</v>
      </c>
      <c r="F1369" s="1" t="s">
        <v>262</v>
      </c>
      <c r="G1369" s="1" t="s">
        <v>84</v>
      </c>
      <c r="H1369" s="1" t="s">
        <v>222</v>
      </c>
      <c r="I1369" s="1" t="s">
        <v>192</v>
      </c>
      <c r="J1369" s="1" t="s">
        <v>63</v>
      </c>
      <c r="K1369" s="1" t="s">
        <v>1883</v>
      </c>
      <c r="L1369" s="1" t="s">
        <v>29</v>
      </c>
      <c r="M1369" s="1" t="s">
        <v>34</v>
      </c>
      <c r="N1369" s="1" t="s">
        <v>1884</v>
      </c>
      <c r="O1369">
        <v>291.10000000000002</v>
      </c>
      <c r="P1369">
        <v>5</v>
      </c>
      <c r="Q1369">
        <v>75.686000000000007</v>
      </c>
      <c r="R1369" s="1" t="s">
        <v>4422</v>
      </c>
      <c r="S1369">
        <v>2015</v>
      </c>
      <c r="T1369" s="1" t="s">
        <v>45</v>
      </c>
    </row>
    <row r="1370" spans="1:20" x14ac:dyDescent="0.25">
      <c r="A1370" s="1" t="s">
        <v>3495</v>
      </c>
      <c r="B1370" s="2">
        <v>43055</v>
      </c>
      <c r="C1370" s="2">
        <v>43058</v>
      </c>
      <c r="D1370" s="1" t="s">
        <v>81</v>
      </c>
      <c r="E1370" s="1" t="s">
        <v>1143</v>
      </c>
      <c r="F1370" s="1" t="s">
        <v>1144</v>
      </c>
      <c r="G1370" s="1" t="s">
        <v>24</v>
      </c>
      <c r="H1370" s="1" t="s">
        <v>183</v>
      </c>
      <c r="I1370" s="1" t="s">
        <v>184</v>
      </c>
      <c r="J1370" s="1" t="s">
        <v>51</v>
      </c>
      <c r="K1370" s="1" t="s">
        <v>716</v>
      </c>
      <c r="L1370" s="1" t="s">
        <v>29</v>
      </c>
      <c r="M1370" s="1" t="s">
        <v>53</v>
      </c>
      <c r="N1370" s="1" t="s">
        <v>717</v>
      </c>
      <c r="O1370">
        <v>139.91999999999999</v>
      </c>
      <c r="P1370">
        <v>2</v>
      </c>
      <c r="Q1370">
        <v>23.7864</v>
      </c>
      <c r="R1370" s="1" t="s">
        <v>4420</v>
      </c>
      <c r="S1370">
        <v>2017</v>
      </c>
      <c r="T1370" s="1" t="s">
        <v>32</v>
      </c>
    </row>
    <row r="1371" spans="1:20" x14ac:dyDescent="0.25">
      <c r="A1371" s="1" t="s">
        <v>3496</v>
      </c>
      <c r="B1371" s="2">
        <v>41699</v>
      </c>
      <c r="C1371" s="2">
        <v>41703</v>
      </c>
      <c r="D1371" s="1" t="s">
        <v>37</v>
      </c>
      <c r="E1371" s="1" t="s">
        <v>2852</v>
      </c>
      <c r="F1371" s="1" t="s">
        <v>2853</v>
      </c>
      <c r="G1371" s="1" t="s">
        <v>94</v>
      </c>
      <c r="H1371" s="1" t="s">
        <v>3497</v>
      </c>
      <c r="I1371" s="1" t="s">
        <v>126</v>
      </c>
      <c r="J1371" s="1" t="s">
        <v>87</v>
      </c>
      <c r="K1371" s="1" t="s">
        <v>151</v>
      </c>
      <c r="L1371" s="1" t="s">
        <v>29</v>
      </c>
      <c r="M1371" s="1" t="s">
        <v>34</v>
      </c>
      <c r="N1371" s="1" t="s">
        <v>152</v>
      </c>
      <c r="O1371">
        <v>634.11599999999999</v>
      </c>
      <c r="P1371">
        <v>6</v>
      </c>
      <c r="Q1371">
        <v>-172.1172</v>
      </c>
      <c r="R1371" s="1" t="s">
        <v>4424</v>
      </c>
      <c r="S1371">
        <v>2014</v>
      </c>
      <c r="T1371" s="1" t="s">
        <v>187</v>
      </c>
    </row>
    <row r="1372" spans="1:20" x14ac:dyDescent="0.25">
      <c r="A1372" s="1" t="s">
        <v>3498</v>
      </c>
      <c r="B1372" s="2">
        <v>42215</v>
      </c>
      <c r="C1372" s="2">
        <v>42217</v>
      </c>
      <c r="D1372" s="1" t="s">
        <v>81</v>
      </c>
      <c r="E1372" s="1" t="s">
        <v>2590</v>
      </c>
      <c r="F1372" s="1" t="s">
        <v>2591</v>
      </c>
      <c r="G1372" s="1" t="s">
        <v>94</v>
      </c>
      <c r="H1372" s="1" t="s">
        <v>316</v>
      </c>
      <c r="I1372" s="1" t="s">
        <v>158</v>
      </c>
      <c r="J1372" s="1" t="s">
        <v>87</v>
      </c>
      <c r="K1372" s="1" t="s">
        <v>994</v>
      </c>
      <c r="L1372" s="1" t="s">
        <v>29</v>
      </c>
      <c r="M1372" s="1" t="s">
        <v>34</v>
      </c>
      <c r="N1372" s="1" t="s">
        <v>995</v>
      </c>
      <c r="O1372">
        <v>155.88</v>
      </c>
      <c r="P1372">
        <v>6</v>
      </c>
      <c r="Q1372">
        <v>38.97</v>
      </c>
      <c r="R1372" s="1" t="s">
        <v>4423</v>
      </c>
      <c r="S1372">
        <v>2015</v>
      </c>
      <c r="T1372" s="1" t="s">
        <v>66</v>
      </c>
    </row>
    <row r="1373" spans="1:20" x14ac:dyDescent="0.25">
      <c r="A1373" s="1" t="s">
        <v>3499</v>
      </c>
      <c r="B1373" s="2">
        <v>42309</v>
      </c>
      <c r="C1373" s="2">
        <v>42311</v>
      </c>
      <c r="D1373" s="1" t="s">
        <v>21</v>
      </c>
      <c r="E1373" s="1" t="s">
        <v>2248</v>
      </c>
      <c r="F1373" s="1" t="s">
        <v>2249</v>
      </c>
      <c r="G1373" s="1" t="s">
        <v>24</v>
      </c>
      <c r="H1373" s="1" t="s">
        <v>165</v>
      </c>
      <c r="I1373" s="1" t="s">
        <v>114</v>
      </c>
      <c r="J1373" s="1" t="s">
        <v>63</v>
      </c>
      <c r="K1373" s="1" t="s">
        <v>2171</v>
      </c>
      <c r="L1373" s="1" t="s">
        <v>29</v>
      </c>
      <c r="M1373" s="1" t="s">
        <v>34</v>
      </c>
      <c r="N1373" s="1" t="s">
        <v>2172</v>
      </c>
      <c r="O1373">
        <v>327.56400000000002</v>
      </c>
      <c r="P1373">
        <v>4</v>
      </c>
      <c r="Q1373">
        <v>21.837599999999998</v>
      </c>
      <c r="R1373" s="1" t="s">
        <v>4423</v>
      </c>
      <c r="S1373">
        <v>2015</v>
      </c>
      <c r="T1373" s="1" t="s">
        <v>32</v>
      </c>
    </row>
    <row r="1374" spans="1:20" x14ac:dyDescent="0.25">
      <c r="A1374" s="1" t="s">
        <v>3500</v>
      </c>
      <c r="B1374" s="2">
        <v>42160</v>
      </c>
      <c r="C1374" s="2">
        <v>42165</v>
      </c>
      <c r="D1374" s="1" t="s">
        <v>37</v>
      </c>
      <c r="E1374" s="1" t="s">
        <v>2372</v>
      </c>
      <c r="F1374" s="1" t="s">
        <v>2373</v>
      </c>
      <c r="G1374" s="1" t="s">
        <v>84</v>
      </c>
      <c r="H1374" s="1" t="s">
        <v>2945</v>
      </c>
      <c r="I1374" s="1" t="s">
        <v>114</v>
      </c>
      <c r="J1374" s="1" t="s">
        <v>63</v>
      </c>
      <c r="K1374" s="1" t="s">
        <v>616</v>
      </c>
      <c r="L1374" s="1" t="s">
        <v>29</v>
      </c>
      <c r="M1374" s="1" t="s">
        <v>34</v>
      </c>
      <c r="N1374" s="1" t="s">
        <v>617</v>
      </c>
      <c r="O1374">
        <v>1522.6379999999999</v>
      </c>
      <c r="P1374">
        <v>9</v>
      </c>
      <c r="Q1374">
        <v>169.18199999999999</v>
      </c>
      <c r="R1374" s="1" t="s">
        <v>4422</v>
      </c>
      <c r="S1374">
        <v>2015</v>
      </c>
      <c r="T1374" s="1" t="s">
        <v>55</v>
      </c>
    </row>
    <row r="1375" spans="1:20" x14ac:dyDescent="0.25">
      <c r="A1375" s="1" t="s">
        <v>3501</v>
      </c>
      <c r="B1375" s="2">
        <v>41766</v>
      </c>
      <c r="C1375" s="2">
        <v>41771</v>
      </c>
      <c r="D1375" s="1" t="s">
        <v>37</v>
      </c>
      <c r="E1375" s="1" t="s">
        <v>1639</v>
      </c>
      <c r="F1375" s="1" t="s">
        <v>1640</v>
      </c>
      <c r="G1375" s="1" t="s">
        <v>24</v>
      </c>
      <c r="H1375" s="1" t="s">
        <v>462</v>
      </c>
      <c r="I1375" s="1" t="s">
        <v>425</v>
      </c>
      <c r="J1375" s="1" t="s">
        <v>63</v>
      </c>
      <c r="K1375" s="1" t="s">
        <v>2557</v>
      </c>
      <c r="L1375" s="1" t="s">
        <v>29</v>
      </c>
      <c r="M1375" s="1" t="s">
        <v>43</v>
      </c>
      <c r="N1375" s="1" t="s">
        <v>2558</v>
      </c>
      <c r="O1375">
        <v>194.25</v>
      </c>
      <c r="P1375">
        <v>2</v>
      </c>
      <c r="Q1375">
        <v>-38.85</v>
      </c>
      <c r="R1375" s="1" t="s">
        <v>4422</v>
      </c>
      <c r="S1375">
        <v>2014</v>
      </c>
      <c r="T1375" s="1" t="s">
        <v>153</v>
      </c>
    </row>
    <row r="1376" spans="1:20" x14ac:dyDescent="0.25">
      <c r="A1376" s="1" t="s">
        <v>3501</v>
      </c>
      <c r="B1376" s="2">
        <v>41766</v>
      </c>
      <c r="C1376" s="2">
        <v>41771</v>
      </c>
      <c r="D1376" s="1" t="s">
        <v>37</v>
      </c>
      <c r="E1376" s="1" t="s">
        <v>1639</v>
      </c>
      <c r="F1376" s="1" t="s">
        <v>1640</v>
      </c>
      <c r="G1376" s="1" t="s">
        <v>24</v>
      </c>
      <c r="H1376" s="1" t="s">
        <v>462</v>
      </c>
      <c r="I1376" s="1" t="s">
        <v>425</v>
      </c>
      <c r="J1376" s="1" t="s">
        <v>63</v>
      </c>
      <c r="K1376" s="1" t="s">
        <v>807</v>
      </c>
      <c r="L1376" s="1" t="s">
        <v>29</v>
      </c>
      <c r="M1376" s="1" t="s">
        <v>34</v>
      </c>
      <c r="N1376" s="1" t="s">
        <v>808</v>
      </c>
      <c r="O1376">
        <v>872.32</v>
      </c>
      <c r="P1376">
        <v>4</v>
      </c>
      <c r="Q1376">
        <v>244.24959999999999</v>
      </c>
      <c r="R1376" s="1" t="s">
        <v>4422</v>
      </c>
      <c r="S1376">
        <v>2014</v>
      </c>
      <c r="T1376" s="1" t="s">
        <v>153</v>
      </c>
    </row>
    <row r="1377" spans="1:20" x14ac:dyDescent="0.25">
      <c r="A1377" s="1" t="s">
        <v>3502</v>
      </c>
      <c r="B1377" s="2">
        <v>41747</v>
      </c>
      <c r="C1377" s="2">
        <v>41751</v>
      </c>
      <c r="D1377" s="1" t="s">
        <v>37</v>
      </c>
      <c r="E1377" s="1" t="s">
        <v>118</v>
      </c>
      <c r="F1377" s="1" t="s">
        <v>119</v>
      </c>
      <c r="G1377" s="1" t="s">
        <v>24</v>
      </c>
      <c r="H1377" s="1" t="s">
        <v>95</v>
      </c>
      <c r="I1377" s="1" t="s">
        <v>86</v>
      </c>
      <c r="J1377" s="1" t="s">
        <v>87</v>
      </c>
      <c r="K1377" s="1" t="s">
        <v>386</v>
      </c>
      <c r="L1377" s="1" t="s">
        <v>29</v>
      </c>
      <c r="M1377" s="1" t="s">
        <v>34</v>
      </c>
      <c r="N1377" s="1" t="s">
        <v>387</v>
      </c>
      <c r="O1377">
        <v>317.05799999999999</v>
      </c>
      <c r="P1377">
        <v>3</v>
      </c>
      <c r="Q1377">
        <v>-18.117599999999999</v>
      </c>
      <c r="R1377" s="1" t="s">
        <v>4424</v>
      </c>
      <c r="S1377">
        <v>2014</v>
      </c>
      <c r="T1377" s="1" t="s">
        <v>107</v>
      </c>
    </row>
    <row r="1378" spans="1:20" x14ac:dyDescent="0.25">
      <c r="A1378" s="1" t="s">
        <v>3503</v>
      </c>
      <c r="B1378" s="2">
        <v>42797</v>
      </c>
      <c r="C1378" s="2">
        <v>42802</v>
      </c>
      <c r="D1378" s="1" t="s">
        <v>37</v>
      </c>
      <c r="E1378" s="1" t="s">
        <v>2555</v>
      </c>
      <c r="F1378" s="1" t="s">
        <v>2556</v>
      </c>
      <c r="G1378" s="1" t="s">
        <v>24</v>
      </c>
      <c r="H1378" s="1" t="s">
        <v>49</v>
      </c>
      <c r="I1378" s="1" t="s">
        <v>50</v>
      </c>
      <c r="J1378" s="1" t="s">
        <v>51</v>
      </c>
      <c r="K1378" s="1" t="s">
        <v>115</v>
      </c>
      <c r="L1378" s="1" t="s">
        <v>29</v>
      </c>
      <c r="M1378" s="1" t="s">
        <v>34</v>
      </c>
      <c r="N1378" s="1" t="s">
        <v>116</v>
      </c>
      <c r="O1378">
        <v>170.352</v>
      </c>
      <c r="P1378">
        <v>3</v>
      </c>
      <c r="Q1378">
        <v>-17.0352</v>
      </c>
      <c r="R1378" s="1" t="s">
        <v>4422</v>
      </c>
      <c r="S1378">
        <v>2017</v>
      </c>
      <c r="T1378" s="1" t="s">
        <v>187</v>
      </c>
    </row>
    <row r="1379" spans="1:20" x14ac:dyDescent="0.25">
      <c r="A1379" s="1" t="s">
        <v>3504</v>
      </c>
      <c r="B1379" s="2">
        <v>42665</v>
      </c>
      <c r="C1379" s="2">
        <v>42665</v>
      </c>
      <c r="D1379" s="1" t="s">
        <v>417</v>
      </c>
      <c r="E1379" s="1" t="s">
        <v>2061</v>
      </c>
      <c r="F1379" s="1" t="s">
        <v>2062</v>
      </c>
      <c r="G1379" s="1" t="s">
        <v>24</v>
      </c>
      <c r="H1379" s="1" t="s">
        <v>183</v>
      </c>
      <c r="I1379" s="1" t="s">
        <v>184</v>
      </c>
      <c r="J1379" s="1" t="s">
        <v>51</v>
      </c>
      <c r="K1379" s="1" t="s">
        <v>3505</v>
      </c>
      <c r="L1379" s="1" t="s">
        <v>29</v>
      </c>
      <c r="M1379" s="1" t="s">
        <v>53</v>
      </c>
      <c r="N1379" s="1" t="s">
        <v>3506</v>
      </c>
      <c r="O1379">
        <v>101.94</v>
      </c>
      <c r="P1379">
        <v>3</v>
      </c>
      <c r="Q1379">
        <v>30.582000000000001</v>
      </c>
      <c r="R1379" s="1" t="s">
        <v>4427</v>
      </c>
      <c r="S1379">
        <v>2016</v>
      </c>
      <c r="T1379" s="1" t="s">
        <v>45</v>
      </c>
    </row>
    <row r="1380" spans="1:20" x14ac:dyDescent="0.25">
      <c r="A1380" s="1" t="s">
        <v>3507</v>
      </c>
      <c r="B1380" s="2">
        <v>42937</v>
      </c>
      <c r="C1380" s="2">
        <v>42943</v>
      </c>
      <c r="D1380" s="1" t="s">
        <v>37</v>
      </c>
      <c r="E1380" s="1" t="s">
        <v>1630</v>
      </c>
      <c r="F1380" s="1" t="s">
        <v>1631</v>
      </c>
      <c r="G1380" s="1" t="s">
        <v>24</v>
      </c>
      <c r="H1380" s="1" t="s">
        <v>3224</v>
      </c>
      <c r="I1380" s="1" t="s">
        <v>707</v>
      </c>
      <c r="J1380" s="1" t="s">
        <v>27</v>
      </c>
      <c r="K1380" s="1" t="s">
        <v>329</v>
      </c>
      <c r="L1380" s="1" t="s">
        <v>29</v>
      </c>
      <c r="M1380" s="1" t="s">
        <v>53</v>
      </c>
      <c r="N1380" s="1" t="s">
        <v>330</v>
      </c>
      <c r="O1380">
        <v>8.8000000000000007</v>
      </c>
      <c r="P1380">
        <v>5</v>
      </c>
      <c r="Q1380">
        <v>3.8719999999999999</v>
      </c>
      <c r="R1380" s="1" t="s">
        <v>4426</v>
      </c>
      <c r="S1380">
        <v>2017</v>
      </c>
      <c r="T1380" s="1" t="s">
        <v>66</v>
      </c>
    </row>
    <row r="1381" spans="1:20" x14ac:dyDescent="0.25">
      <c r="A1381" s="1" t="s">
        <v>3507</v>
      </c>
      <c r="B1381" s="2">
        <v>42937</v>
      </c>
      <c r="C1381" s="2">
        <v>42943</v>
      </c>
      <c r="D1381" s="1" t="s">
        <v>37</v>
      </c>
      <c r="E1381" s="1" t="s">
        <v>1630</v>
      </c>
      <c r="F1381" s="1" t="s">
        <v>1631</v>
      </c>
      <c r="G1381" s="1" t="s">
        <v>24</v>
      </c>
      <c r="H1381" s="1" t="s">
        <v>3224</v>
      </c>
      <c r="I1381" s="1" t="s">
        <v>707</v>
      </c>
      <c r="J1381" s="1" t="s">
        <v>27</v>
      </c>
      <c r="K1381" s="1" t="s">
        <v>889</v>
      </c>
      <c r="L1381" s="1" t="s">
        <v>29</v>
      </c>
      <c r="M1381" s="1" t="s">
        <v>30</v>
      </c>
      <c r="N1381" s="1" t="s">
        <v>890</v>
      </c>
      <c r="O1381">
        <v>302.94</v>
      </c>
      <c r="P1381">
        <v>3</v>
      </c>
      <c r="Q1381">
        <v>69.676199999999994</v>
      </c>
      <c r="R1381" s="1" t="s">
        <v>4426</v>
      </c>
      <c r="S1381">
        <v>2017</v>
      </c>
      <c r="T1381" s="1" t="s">
        <v>66</v>
      </c>
    </row>
    <row r="1382" spans="1:20" x14ac:dyDescent="0.25">
      <c r="A1382" s="1" t="s">
        <v>3508</v>
      </c>
      <c r="B1382" s="2">
        <v>41975</v>
      </c>
      <c r="C1382" s="2">
        <v>41980</v>
      </c>
      <c r="D1382" s="1" t="s">
        <v>37</v>
      </c>
      <c r="E1382" s="1" t="s">
        <v>3509</v>
      </c>
      <c r="F1382" s="1" t="s">
        <v>3510</v>
      </c>
      <c r="G1382" s="1" t="s">
        <v>84</v>
      </c>
      <c r="H1382" s="1" t="s">
        <v>2513</v>
      </c>
      <c r="I1382" s="1" t="s">
        <v>1080</v>
      </c>
      <c r="J1382" s="1" t="s">
        <v>63</v>
      </c>
      <c r="K1382" s="1" t="s">
        <v>639</v>
      </c>
      <c r="L1382" s="1" t="s">
        <v>29</v>
      </c>
      <c r="M1382" s="1" t="s">
        <v>53</v>
      </c>
      <c r="N1382" s="1" t="s">
        <v>640</v>
      </c>
      <c r="O1382">
        <v>60.72</v>
      </c>
      <c r="P1382">
        <v>3</v>
      </c>
      <c r="Q1382">
        <v>23.680800000000001</v>
      </c>
      <c r="R1382" s="1" t="s">
        <v>4422</v>
      </c>
      <c r="S1382">
        <v>2014</v>
      </c>
      <c r="T1382" s="1" t="s">
        <v>90</v>
      </c>
    </row>
    <row r="1383" spans="1:20" x14ac:dyDescent="0.25">
      <c r="A1383" s="1" t="s">
        <v>3508</v>
      </c>
      <c r="B1383" s="2">
        <v>41975</v>
      </c>
      <c r="C1383" s="2">
        <v>41980</v>
      </c>
      <c r="D1383" s="1" t="s">
        <v>37</v>
      </c>
      <c r="E1383" s="1" t="s">
        <v>3509</v>
      </c>
      <c r="F1383" s="1" t="s">
        <v>3510</v>
      </c>
      <c r="G1383" s="1" t="s">
        <v>84</v>
      </c>
      <c r="H1383" s="1" t="s">
        <v>2513</v>
      </c>
      <c r="I1383" s="1" t="s">
        <v>1080</v>
      </c>
      <c r="J1383" s="1" t="s">
        <v>63</v>
      </c>
      <c r="K1383" s="1" t="s">
        <v>1504</v>
      </c>
      <c r="L1383" s="1" t="s">
        <v>29</v>
      </c>
      <c r="M1383" s="1" t="s">
        <v>34</v>
      </c>
      <c r="N1383" s="1" t="s">
        <v>1505</v>
      </c>
      <c r="O1383">
        <v>239.84</v>
      </c>
      <c r="P1383">
        <v>8</v>
      </c>
      <c r="Q1383">
        <v>64.756799999999998</v>
      </c>
      <c r="R1383" s="1" t="s">
        <v>4422</v>
      </c>
      <c r="S1383">
        <v>2014</v>
      </c>
      <c r="T1383" s="1" t="s">
        <v>90</v>
      </c>
    </row>
    <row r="1384" spans="1:20" x14ac:dyDescent="0.25">
      <c r="A1384" s="1" t="s">
        <v>3511</v>
      </c>
      <c r="B1384" s="2">
        <v>42516</v>
      </c>
      <c r="C1384" s="2">
        <v>42521</v>
      </c>
      <c r="D1384" s="1" t="s">
        <v>37</v>
      </c>
      <c r="E1384" s="1" t="s">
        <v>2908</v>
      </c>
      <c r="F1384" s="1" t="s">
        <v>2909</v>
      </c>
      <c r="G1384" s="1" t="s">
        <v>24</v>
      </c>
      <c r="H1384" s="1" t="s">
        <v>840</v>
      </c>
      <c r="I1384" s="1" t="s">
        <v>50</v>
      </c>
      <c r="J1384" s="1" t="s">
        <v>51</v>
      </c>
      <c r="K1384" s="1" t="s">
        <v>287</v>
      </c>
      <c r="L1384" s="1" t="s">
        <v>29</v>
      </c>
      <c r="M1384" s="1" t="s">
        <v>34</v>
      </c>
      <c r="N1384" s="1" t="s">
        <v>288</v>
      </c>
      <c r="O1384">
        <v>484.70400000000001</v>
      </c>
      <c r="P1384">
        <v>6</v>
      </c>
      <c r="Q1384">
        <v>-84.8232</v>
      </c>
      <c r="R1384" s="1" t="s">
        <v>4422</v>
      </c>
      <c r="S1384">
        <v>2016</v>
      </c>
      <c r="T1384" s="1" t="s">
        <v>153</v>
      </c>
    </row>
    <row r="1385" spans="1:20" x14ac:dyDescent="0.25">
      <c r="A1385" s="1" t="s">
        <v>3512</v>
      </c>
      <c r="B1385" s="2">
        <v>42115</v>
      </c>
      <c r="C1385" s="2">
        <v>42122</v>
      </c>
      <c r="D1385" s="1" t="s">
        <v>37</v>
      </c>
      <c r="E1385" s="1" t="s">
        <v>3266</v>
      </c>
      <c r="F1385" s="1" t="s">
        <v>3267</v>
      </c>
      <c r="G1385" s="1" t="s">
        <v>24</v>
      </c>
      <c r="H1385" s="1" t="s">
        <v>856</v>
      </c>
      <c r="I1385" s="1" t="s">
        <v>26</v>
      </c>
      <c r="J1385" s="1" t="s">
        <v>27</v>
      </c>
      <c r="K1385" s="1" t="s">
        <v>348</v>
      </c>
      <c r="L1385" s="1" t="s">
        <v>29</v>
      </c>
      <c r="M1385" s="1" t="s">
        <v>34</v>
      </c>
      <c r="N1385" s="1" t="s">
        <v>349</v>
      </c>
      <c r="O1385">
        <v>191.96</v>
      </c>
      <c r="P1385">
        <v>2</v>
      </c>
      <c r="Q1385">
        <v>51.8292</v>
      </c>
      <c r="R1385" s="1" t="s">
        <v>4421</v>
      </c>
      <c r="S1385">
        <v>2015</v>
      </c>
      <c r="T1385" s="1" t="s">
        <v>107</v>
      </c>
    </row>
    <row r="1386" spans="1:20" x14ac:dyDescent="0.25">
      <c r="A1386" s="1" t="s">
        <v>3512</v>
      </c>
      <c r="B1386" s="2">
        <v>42115</v>
      </c>
      <c r="C1386" s="2">
        <v>42122</v>
      </c>
      <c r="D1386" s="1" t="s">
        <v>37</v>
      </c>
      <c r="E1386" s="1" t="s">
        <v>3266</v>
      </c>
      <c r="F1386" s="1" t="s">
        <v>3267</v>
      </c>
      <c r="G1386" s="1" t="s">
        <v>24</v>
      </c>
      <c r="H1386" s="1" t="s">
        <v>856</v>
      </c>
      <c r="I1386" s="1" t="s">
        <v>26</v>
      </c>
      <c r="J1386" s="1" t="s">
        <v>27</v>
      </c>
      <c r="K1386" s="1" t="s">
        <v>716</v>
      </c>
      <c r="L1386" s="1" t="s">
        <v>29</v>
      </c>
      <c r="M1386" s="1" t="s">
        <v>53</v>
      </c>
      <c r="N1386" s="1" t="s">
        <v>717</v>
      </c>
      <c r="O1386">
        <v>209.88</v>
      </c>
      <c r="P1386">
        <v>3</v>
      </c>
      <c r="Q1386">
        <v>35.679600000000001</v>
      </c>
      <c r="R1386" s="1" t="s">
        <v>4421</v>
      </c>
      <c r="S1386">
        <v>2015</v>
      </c>
      <c r="T1386" s="1" t="s">
        <v>107</v>
      </c>
    </row>
    <row r="1387" spans="1:20" x14ac:dyDescent="0.25">
      <c r="A1387" s="1" t="s">
        <v>3513</v>
      </c>
      <c r="B1387" s="2">
        <v>42538</v>
      </c>
      <c r="C1387" s="2">
        <v>42540</v>
      </c>
      <c r="D1387" s="1" t="s">
        <v>81</v>
      </c>
      <c r="E1387" s="1" t="s">
        <v>3514</v>
      </c>
      <c r="F1387" s="1" t="s">
        <v>3515</v>
      </c>
      <c r="G1387" s="1" t="s">
        <v>24</v>
      </c>
      <c r="H1387" s="1" t="s">
        <v>49</v>
      </c>
      <c r="I1387" s="1" t="s">
        <v>50</v>
      </c>
      <c r="J1387" s="1" t="s">
        <v>51</v>
      </c>
      <c r="K1387" s="1" t="s">
        <v>2613</v>
      </c>
      <c r="L1387" s="1" t="s">
        <v>29</v>
      </c>
      <c r="M1387" s="1" t="s">
        <v>30</v>
      </c>
      <c r="N1387" s="1" t="s">
        <v>2614</v>
      </c>
      <c r="O1387">
        <v>239.666</v>
      </c>
      <c r="P1387">
        <v>2</v>
      </c>
      <c r="Q1387">
        <v>14.098000000000001</v>
      </c>
      <c r="R1387" s="1" t="s">
        <v>4423</v>
      </c>
      <c r="S1387">
        <v>2016</v>
      </c>
      <c r="T1387" s="1" t="s">
        <v>55</v>
      </c>
    </row>
    <row r="1388" spans="1:20" x14ac:dyDescent="0.25">
      <c r="A1388" s="1" t="s">
        <v>3516</v>
      </c>
      <c r="B1388" s="2">
        <v>42748</v>
      </c>
      <c r="C1388" s="2">
        <v>42753</v>
      </c>
      <c r="D1388" s="1" t="s">
        <v>21</v>
      </c>
      <c r="E1388" s="1" t="s">
        <v>2049</v>
      </c>
      <c r="F1388" s="1" t="s">
        <v>2050</v>
      </c>
      <c r="G1388" s="1" t="s">
        <v>84</v>
      </c>
      <c r="H1388" s="1" t="s">
        <v>869</v>
      </c>
      <c r="I1388" s="1" t="s">
        <v>556</v>
      </c>
      <c r="J1388" s="1" t="s">
        <v>87</v>
      </c>
      <c r="K1388" s="1" t="s">
        <v>2470</v>
      </c>
      <c r="L1388" s="1" t="s">
        <v>29</v>
      </c>
      <c r="M1388" s="1" t="s">
        <v>30</v>
      </c>
      <c r="N1388" s="1" t="s">
        <v>2471</v>
      </c>
      <c r="O1388">
        <v>212.94</v>
      </c>
      <c r="P1388">
        <v>3</v>
      </c>
      <c r="Q1388">
        <v>53.234999999999999</v>
      </c>
      <c r="R1388" s="1" t="s">
        <v>4422</v>
      </c>
      <c r="S1388">
        <v>2017</v>
      </c>
      <c r="T1388" s="1" t="s">
        <v>161</v>
      </c>
    </row>
    <row r="1389" spans="1:20" x14ac:dyDescent="0.25">
      <c r="A1389" s="1" t="s">
        <v>3517</v>
      </c>
      <c r="B1389" s="2">
        <v>41888</v>
      </c>
      <c r="C1389" s="2">
        <v>41891</v>
      </c>
      <c r="D1389" s="1" t="s">
        <v>81</v>
      </c>
      <c r="E1389" s="1" t="s">
        <v>3518</v>
      </c>
      <c r="F1389" s="1" t="s">
        <v>3519</v>
      </c>
      <c r="G1389" s="1" t="s">
        <v>84</v>
      </c>
      <c r="H1389" s="1" t="s">
        <v>320</v>
      </c>
      <c r="I1389" s="1" t="s">
        <v>50</v>
      </c>
      <c r="J1389" s="1" t="s">
        <v>51</v>
      </c>
      <c r="K1389" s="1" t="s">
        <v>52</v>
      </c>
      <c r="L1389" s="1" t="s">
        <v>29</v>
      </c>
      <c r="M1389" s="1" t="s">
        <v>53</v>
      </c>
      <c r="N1389" s="1" t="s">
        <v>54</v>
      </c>
      <c r="O1389">
        <v>41.88</v>
      </c>
      <c r="P1389">
        <v>6</v>
      </c>
      <c r="Q1389">
        <v>12.145200000000001</v>
      </c>
      <c r="R1389" s="1" t="s">
        <v>4420</v>
      </c>
      <c r="S1389">
        <v>2014</v>
      </c>
      <c r="T1389" s="1" t="s">
        <v>72</v>
      </c>
    </row>
    <row r="1390" spans="1:20" x14ac:dyDescent="0.25">
      <c r="A1390" s="1" t="s">
        <v>3520</v>
      </c>
      <c r="B1390" s="2">
        <v>42023</v>
      </c>
      <c r="C1390" s="2">
        <v>42027</v>
      </c>
      <c r="D1390" s="1" t="s">
        <v>37</v>
      </c>
      <c r="E1390" s="1" t="s">
        <v>3521</v>
      </c>
      <c r="F1390" s="1" t="s">
        <v>3522</v>
      </c>
      <c r="G1390" s="1" t="s">
        <v>24</v>
      </c>
      <c r="H1390" s="1" t="s">
        <v>3523</v>
      </c>
      <c r="I1390" s="1" t="s">
        <v>86</v>
      </c>
      <c r="J1390" s="1" t="s">
        <v>87</v>
      </c>
      <c r="K1390" s="1" t="s">
        <v>1618</v>
      </c>
      <c r="L1390" s="1" t="s">
        <v>29</v>
      </c>
      <c r="M1390" s="1" t="s">
        <v>43</v>
      </c>
      <c r="N1390" s="1" t="s">
        <v>1619</v>
      </c>
      <c r="O1390">
        <v>102.438</v>
      </c>
      <c r="P1390">
        <v>1</v>
      </c>
      <c r="Q1390">
        <v>-13.1706</v>
      </c>
      <c r="R1390" s="1" t="s">
        <v>4424</v>
      </c>
      <c r="S1390">
        <v>2015</v>
      </c>
      <c r="T1390" s="1" t="s">
        <v>161</v>
      </c>
    </row>
    <row r="1391" spans="1:20" x14ac:dyDescent="0.25">
      <c r="A1391" s="1" t="s">
        <v>3520</v>
      </c>
      <c r="B1391" s="2">
        <v>42023</v>
      </c>
      <c r="C1391" s="2">
        <v>42027</v>
      </c>
      <c r="D1391" s="1" t="s">
        <v>37</v>
      </c>
      <c r="E1391" s="1" t="s">
        <v>3521</v>
      </c>
      <c r="F1391" s="1" t="s">
        <v>3522</v>
      </c>
      <c r="G1391" s="1" t="s">
        <v>24</v>
      </c>
      <c r="H1391" s="1" t="s">
        <v>3523</v>
      </c>
      <c r="I1391" s="1" t="s">
        <v>86</v>
      </c>
      <c r="J1391" s="1" t="s">
        <v>87</v>
      </c>
      <c r="K1391" s="1" t="s">
        <v>2185</v>
      </c>
      <c r="L1391" s="1" t="s">
        <v>29</v>
      </c>
      <c r="M1391" s="1" t="s">
        <v>34</v>
      </c>
      <c r="N1391" s="1" t="s">
        <v>2186</v>
      </c>
      <c r="O1391">
        <v>199.304</v>
      </c>
      <c r="P1391">
        <v>4</v>
      </c>
      <c r="Q1391">
        <v>-8.5416000000000007</v>
      </c>
      <c r="R1391" s="1" t="s">
        <v>4424</v>
      </c>
      <c r="S1391">
        <v>2015</v>
      </c>
      <c r="T1391" s="1" t="s">
        <v>161</v>
      </c>
    </row>
    <row r="1392" spans="1:20" x14ac:dyDescent="0.25">
      <c r="A1392" s="1" t="s">
        <v>3524</v>
      </c>
      <c r="B1392" s="2">
        <v>42729</v>
      </c>
      <c r="C1392" s="2">
        <v>42734</v>
      </c>
      <c r="D1392" s="1" t="s">
        <v>37</v>
      </c>
      <c r="E1392" s="1" t="s">
        <v>1600</v>
      </c>
      <c r="F1392" s="1" t="s">
        <v>1601</v>
      </c>
      <c r="G1392" s="1" t="s">
        <v>24</v>
      </c>
      <c r="H1392" s="1" t="s">
        <v>183</v>
      </c>
      <c r="I1392" s="1" t="s">
        <v>184</v>
      </c>
      <c r="J1392" s="1" t="s">
        <v>51</v>
      </c>
      <c r="K1392" s="1" t="s">
        <v>1297</v>
      </c>
      <c r="L1392" s="1" t="s">
        <v>29</v>
      </c>
      <c r="M1392" s="1" t="s">
        <v>34</v>
      </c>
      <c r="N1392" s="1" t="s">
        <v>1298</v>
      </c>
      <c r="O1392">
        <v>698.35199999999998</v>
      </c>
      <c r="P1392">
        <v>3</v>
      </c>
      <c r="Q1392">
        <v>52.376399999999997</v>
      </c>
      <c r="R1392" s="1" t="s">
        <v>4422</v>
      </c>
      <c r="S1392">
        <v>2016</v>
      </c>
      <c r="T1392" s="1" t="s">
        <v>90</v>
      </c>
    </row>
    <row r="1393" spans="1:20" x14ac:dyDescent="0.25">
      <c r="A1393" s="1" t="s">
        <v>3524</v>
      </c>
      <c r="B1393" s="2">
        <v>42729</v>
      </c>
      <c r="C1393" s="2">
        <v>42734</v>
      </c>
      <c r="D1393" s="1" t="s">
        <v>37</v>
      </c>
      <c r="E1393" s="1" t="s">
        <v>1600</v>
      </c>
      <c r="F1393" s="1" t="s">
        <v>1601</v>
      </c>
      <c r="G1393" s="1" t="s">
        <v>24</v>
      </c>
      <c r="H1393" s="1" t="s">
        <v>183</v>
      </c>
      <c r="I1393" s="1" t="s">
        <v>184</v>
      </c>
      <c r="J1393" s="1" t="s">
        <v>51</v>
      </c>
      <c r="K1393" s="1" t="s">
        <v>1452</v>
      </c>
      <c r="L1393" s="1" t="s">
        <v>29</v>
      </c>
      <c r="M1393" s="1" t="s">
        <v>43</v>
      </c>
      <c r="N1393" s="1" t="s">
        <v>1453</v>
      </c>
      <c r="O1393">
        <v>1747.25</v>
      </c>
      <c r="P1393">
        <v>5</v>
      </c>
      <c r="Q1393">
        <v>629.01</v>
      </c>
      <c r="R1393" s="1" t="s">
        <v>4422</v>
      </c>
      <c r="S1393">
        <v>2016</v>
      </c>
      <c r="T1393" s="1" t="s">
        <v>90</v>
      </c>
    </row>
    <row r="1394" spans="1:20" x14ac:dyDescent="0.25">
      <c r="A1394" s="1" t="s">
        <v>3525</v>
      </c>
      <c r="B1394" s="2">
        <v>41943</v>
      </c>
      <c r="C1394" s="2">
        <v>41945</v>
      </c>
      <c r="D1394" s="1" t="s">
        <v>21</v>
      </c>
      <c r="E1394" s="1" t="s">
        <v>867</v>
      </c>
      <c r="F1394" s="1" t="s">
        <v>868</v>
      </c>
      <c r="G1394" s="1" t="s">
        <v>84</v>
      </c>
      <c r="H1394" s="1" t="s">
        <v>860</v>
      </c>
      <c r="I1394" s="1" t="s">
        <v>223</v>
      </c>
      <c r="J1394" s="1" t="s">
        <v>63</v>
      </c>
      <c r="K1394" s="1" t="s">
        <v>1662</v>
      </c>
      <c r="L1394" s="1" t="s">
        <v>29</v>
      </c>
      <c r="M1394" s="1" t="s">
        <v>43</v>
      </c>
      <c r="N1394" s="1" t="s">
        <v>1663</v>
      </c>
      <c r="O1394">
        <v>1421.664</v>
      </c>
      <c r="P1394">
        <v>8</v>
      </c>
      <c r="Q1394">
        <v>-734.52639999999997</v>
      </c>
      <c r="R1394" s="1" t="s">
        <v>4423</v>
      </c>
      <c r="S1394">
        <v>2014</v>
      </c>
      <c r="T1394" s="1" t="s">
        <v>45</v>
      </c>
    </row>
    <row r="1395" spans="1:20" x14ac:dyDescent="0.25">
      <c r="A1395" s="1" t="s">
        <v>3526</v>
      </c>
      <c r="B1395" s="2">
        <v>42719</v>
      </c>
      <c r="C1395" s="2">
        <v>42725</v>
      </c>
      <c r="D1395" s="1" t="s">
        <v>37</v>
      </c>
      <c r="E1395" s="1" t="s">
        <v>1342</v>
      </c>
      <c r="F1395" s="1" t="s">
        <v>1343</v>
      </c>
      <c r="G1395" s="1" t="s">
        <v>94</v>
      </c>
      <c r="H1395" s="1" t="s">
        <v>869</v>
      </c>
      <c r="I1395" s="1" t="s">
        <v>1508</v>
      </c>
      <c r="J1395" s="1" t="s">
        <v>51</v>
      </c>
      <c r="K1395" s="1" t="s">
        <v>298</v>
      </c>
      <c r="L1395" s="1" t="s">
        <v>29</v>
      </c>
      <c r="M1395" s="1" t="s">
        <v>43</v>
      </c>
      <c r="N1395" s="1" t="s">
        <v>299</v>
      </c>
      <c r="O1395">
        <v>564.19500000000005</v>
      </c>
      <c r="P1395">
        <v>3</v>
      </c>
      <c r="Q1395">
        <v>-304.6653</v>
      </c>
      <c r="R1395" s="1" t="s">
        <v>4426</v>
      </c>
      <c r="S1395">
        <v>2016</v>
      </c>
      <c r="T1395" s="1" t="s">
        <v>90</v>
      </c>
    </row>
    <row r="1396" spans="1:20" x14ac:dyDescent="0.25">
      <c r="A1396" s="1" t="s">
        <v>3527</v>
      </c>
      <c r="B1396" s="2">
        <v>42986</v>
      </c>
      <c r="C1396" s="2">
        <v>42989</v>
      </c>
      <c r="D1396" s="1" t="s">
        <v>81</v>
      </c>
      <c r="E1396" s="1" t="s">
        <v>1847</v>
      </c>
      <c r="F1396" s="1" t="s">
        <v>1848</v>
      </c>
      <c r="G1396" s="1" t="s">
        <v>84</v>
      </c>
      <c r="H1396" s="1" t="s">
        <v>680</v>
      </c>
      <c r="I1396" s="1" t="s">
        <v>86</v>
      </c>
      <c r="J1396" s="1" t="s">
        <v>87</v>
      </c>
      <c r="K1396" s="1" t="s">
        <v>934</v>
      </c>
      <c r="L1396" s="1" t="s">
        <v>29</v>
      </c>
      <c r="M1396" s="1" t="s">
        <v>53</v>
      </c>
      <c r="N1396" s="1" t="s">
        <v>935</v>
      </c>
      <c r="O1396">
        <v>21.184000000000001</v>
      </c>
      <c r="P1396">
        <v>2</v>
      </c>
      <c r="Q1396">
        <v>-11.651199999999999</v>
      </c>
      <c r="R1396" s="1" t="s">
        <v>4420</v>
      </c>
      <c r="S1396">
        <v>2017</v>
      </c>
      <c r="T1396" s="1" t="s">
        <v>72</v>
      </c>
    </row>
    <row r="1397" spans="1:20" x14ac:dyDescent="0.25">
      <c r="A1397" s="1" t="s">
        <v>3527</v>
      </c>
      <c r="B1397" s="2">
        <v>42986</v>
      </c>
      <c r="C1397" s="2">
        <v>42989</v>
      </c>
      <c r="D1397" s="1" t="s">
        <v>81</v>
      </c>
      <c r="E1397" s="1" t="s">
        <v>1847</v>
      </c>
      <c r="F1397" s="1" t="s">
        <v>1848</v>
      </c>
      <c r="G1397" s="1" t="s">
        <v>84</v>
      </c>
      <c r="H1397" s="1" t="s">
        <v>680</v>
      </c>
      <c r="I1397" s="1" t="s">
        <v>86</v>
      </c>
      <c r="J1397" s="1" t="s">
        <v>87</v>
      </c>
      <c r="K1397" s="1" t="s">
        <v>2419</v>
      </c>
      <c r="L1397" s="1" t="s">
        <v>29</v>
      </c>
      <c r="M1397" s="1" t="s">
        <v>34</v>
      </c>
      <c r="N1397" s="1" t="s">
        <v>2420</v>
      </c>
      <c r="O1397">
        <v>213.43</v>
      </c>
      <c r="P1397">
        <v>5</v>
      </c>
      <c r="Q1397">
        <v>-39.637</v>
      </c>
      <c r="R1397" s="1" t="s">
        <v>4420</v>
      </c>
      <c r="S1397">
        <v>2017</v>
      </c>
      <c r="T1397" s="1" t="s">
        <v>72</v>
      </c>
    </row>
    <row r="1398" spans="1:20" x14ac:dyDescent="0.25">
      <c r="A1398" s="1" t="s">
        <v>3528</v>
      </c>
      <c r="B1398" s="2">
        <v>42786</v>
      </c>
      <c r="C1398" s="2">
        <v>42793</v>
      </c>
      <c r="D1398" s="1" t="s">
        <v>37</v>
      </c>
      <c r="E1398" s="1" t="s">
        <v>2286</v>
      </c>
      <c r="F1398" s="1" t="s">
        <v>2287</v>
      </c>
      <c r="G1398" s="1" t="s">
        <v>94</v>
      </c>
      <c r="H1398" s="1" t="s">
        <v>2024</v>
      </c>
      <c r="I1398" s="1" t="s">
        <v>511</v>
      </c>
      <c r="J1398" s="1" t="s">
        <v>51</v>
      </c>
      <c r="K1398" s="1" t="s">
        <v>736</v>
      </c>
      <c r="L1398" s="1" t="s">
        <v>29</v>
      </c>
      <c r="M1398" s="1" t="s">
        <v>53</v>
      </c>
      <c r="N1398" s="1" t="s">
        <v>737</v>
      </c>
      <c r="O1398">
        <v>68.703999999999994</v>
      </c>
      <c r="P1398">
        <v>2</v>
      </c>
      <c r="Q1398">
        <v>16.3172</v>
      </c>
      <c r="R1398" s="1" t="s">
        <v>4421</v>
      </c>
      <c r="S1398">
        <v>2017</v>
      </c>
      <c r="T1398" s="1" t="s">
        <v>289</v>
      </c>
    </row>
    <row r="1399" spans="1:20" x14ac:dyDescent="0.25">
      <c r="A1399" s="1" t="s">
        <v>3528</v>
      </c>
      <c r="B1399" s="2">
        <v>42786</v>
      </c>
      <c r="C1399" s="2">
        <v>42793</v>
      </c>
      <c r="D1399" s="1" t="s">
        <v>37</v>
      </c>
      <c r="E1399" s="1" t="s">
        <v>2286</v>
      </c>
      <c r="F1399" s="1" t="s">
        <v>2287</v>
      </c>
      <c r="G1399" s="1" t="s">
        <v>94</v>
      </c>
      <c r="H1399" s="1" t="s">
        <v>2024</v>
      </c>
      <c r="I1399" s="1" t="s">
        <v>511</v>
      </c>
      <c r="J1399" s="1" t="s">
        <v>51</v>
      </c>
      <c r="K1399" s="1" t="s">
        <v>1250</v>
      </c>
      <c r="L1399" s="1" t="s">
        <v>29</v>
      </c>
      <c r="M1399" s="1" t="s">
        <v>43</v>
      </c>
      <c r="N1399" s="1" t="s">
        <v>1054</v>
      </c>
      <c r="O1399">
        <v>386.91</v>
      </c>
      <c r="P1399">
        <v>9</v>
      </c>
      <c r="Q1399">
        <v>-185.71680000000001</v>
      </c>
      <c r="R1399" s="1" t="s">
        <v>4421</v>
      </c>
      <c r="S1399">
        <v>2017</v>
      </c>
      <c r="T1399" s="1" t="s">
        <v>289</v>
      </c>
    </row>
    <row r="1400" spans="1:20" x14ac:dyDescent="0.25">
      <c r="A1400" s="1" t="s">
        <v>3529</v>
      </c>
      <c r="B1400" s="2">
        <v>43034</v>
      </c>
      <c r="C1400" s="2">
        <v>43040</v>
      </c>
      <c r="D1400" s="1" t="s">
        <v>37</v>
      </c>
      <c r="E1400" s="1" t="s">
        <v>601</v>
      </c>
      <c r="F1400" s="1" t="s">
        <v>602</v>
      </c>
      <c r="G1400" s="1" t="s">
        <v>24</v>
      </c>
      <c r="H1400" s="1" t="s">
        <v>3530</v>
      </c>
      <c r="I1400" s="1" t="s">
        <v>707</v>
      </c>
      <c r="J1400" s="1" t="s">
        <v>27</v>
      </c>
      <c r="K1400" s="1" t="s">
        <v>898</v>
      </c>
      <c r="L1400" s="1" t="s">
        <v>29</v>
      </c>
      <c r="M1400" s="1" t="s">
        <v>43</v>
      </c>
      <c r="N1400" s="1" t="s">
        <v>899</v>
      </c>
      <c r="O1400">
        <v>356.85</v>
      </c>
      <c r="P1400">
        <v>5</v>
      </c>
      <c r="Q1400">
        <v>60.664499999999997</v>
      </c>
      <c r="R1400" s="1" t="s">
        <v>4426</v>
      </c>
      <c r="S1400">
        <v>2017</v>
      </c>
      <c r="T1400" s="1" t="s">
        <v>45</v>
      </c>
    </row>
    <row r="1401" spans="1:20" x14ac:dyDescent="0.25">
      <c r="A1401" s="1" t="s">
        <v>3531</v>
      </c>
      <c r="B1401" s="2">
        <v>42867</v>
      </c>
      <c r="C1401" s="2">
        <v>42869</v>
      </c>
      <c r="D1401" s="1" t="s">
        <v>21</v>
      </c>
      <c r="E1401" s="1" t="s">
        <v>609</v>
      </c>
      <c r="F1401" s="1" t="s">
        <v>610</v>
      </c>
      <c r="G1401" s="1" t="s">
        <v>24</v>
      </c>
      <c r="H1401" s="1" t="s">
        <v>1286</v>
      </c>
      <c r="I1401" s="1" t="s">
        <v>354</v>
      </c>
      <c r="J1401" s="1" t="s">
        <v>63</v>
      </c>
      <c r="K1401" s="1" t="s">
        <v>2892</v>
      </c>
      <c r="L1401" s="1" t="s">
        <v>29</v>
      </c>
      <c r="M1401" s="1" t="s">
        <v>53</v>
      </c>
      <c r="N1401" s="1" t="s">
        <v>2893</v>
      </c>
      <c r="O1401">
        <v>42.85</v>
      </c>
      <c r="P1401">
        <v>5</v>
      </c>
      <c r="Q1401">
        <v>15.426</v>
      </c>
      <c r="R1401" s="1" t="s">
        <v>4423</v>
      </c>
      <c r="S1401">
        <v>2017</v>
      </c>
      <c r="T1401" s="1" t="s">
        <v>153</v>
      </c>
    </row>
    <row r="1402" spans="1:20" x14ac:dyDescent="0.25">
      <c r="A1402" s="1" t="s">
        <v>3532</v>
      </c>
      <c r="B1402" s="2">
        <v>42252</v>
      </c>
      <c r="C1402" s="2">
        <v>42259</v>
      </c>
      <c r="D1402" s="1" t="s">
        <v>37</v>
      </c>
      <c r="E1402" s="1" t="s">
        <v>3533</v>
      </c>
      <c r="F1402" s="1" t="s">
        <v>3534</v>
      </c>
      <c r="G1402" s="1" t="s">
        <v>94</v>
      </c>
      <c r="H1402" s="1" t="s">
        <v>3535</v>
      </c>
      <c r="I1402" s="1" t="s">
        <v>707</v>
      </c>
      <c r="J1402" s="1" t="s">
        <v>27</v>
      </c>
      <c r="K1402" s="1" t="s">
        <v>3536</v>
      </c>
      <c r="L1402" s="1" t="s">
        <v>29</v>
      </c>
      <c r="M1402" s="1" t="s">
        <v>53</v>
      </c>
      <c r="N1402" s="1" t="s">
        <v>3537</v>
      </c>
      <c r="O1402">
        <v>67.959999999999994</v>
      </c>
      <c r="P1402">
        <v>4</v>
      </c>
      <c r="Q1402">
        <v>12.232799999999999</v>
      </c>
      <c r="R1402" s="1" t="s">
        <v>4421</v>
      </c>
      <c r="S1402">
        <v>2015</v>
      </c>
      <c r="T1402" s="1" t="s">
        <v>72</v>
      </c>
    </row>
    <row r="1403" spans="1:20" x14ac:dyDescent="0.25">
      <c r="A1403" s="1" t="s">
        <v>3538</v>
      </c>
      <c r="B1403" s="2">
        <v>41922</v>
      </c>
      <c r="C1403" s="2">
        <v>41926</v>
      </c>
      <c r="D1403" s="1" t="s">
        <v>37</v>
      </c>
      <c r="E1403" s="1" t="s">
        <v>1248</v>
      </c>
      <c r="F1403" s="1" t="s">
        <v>1249</v>
      </c>
      <c r="G1403" s="1" t="s">
        <v>94</v>
      </c>
      <c r="H1403" s="1" t="s">
        <v>510</v>
      </c>
      <c r="I1403" s="1" t="s">
        <v>511</v>
      </c>
      <c r="J1403" s="1" t="s">
        <v>51</v>
      </c>
      <c r="K1403" s="1" t="s">
        <v>1138</v>
      </c>
      <c r="L1403" s="1" t="s">
        <v>29</v>
      </c>
      <c r="M1403" s="1" t="s">
        <v>53</v>
      </c>
      <c r="N1403" s="1" t="s">
        <v>1139</v>
      </c>
      <c r="O1403">
        <v>46.872</v>
      </c>
      <c r="P1403">
        <v>7</v>
      </c>
      <c r="Q1403">
        <v>3.5154000000000001</v>
      </c>
      <c r="R1403" s="1" t="s">
        <v>4424</v>
      </c>
      <c r="S1403">
        <v>2014</v>
      </c>
      <c r="T1403" s="1" t="s">
        <v>45</v>
      </c>
    </row>
    <row r="1404" spans="1:20" x14ac:dyDescent="0.25">
      <c r="A1404" s="1" t="s">
        <v>3539</v>
      </c>
      <c r="B1404" s="2">
        <v>41948</v>
      </c>
      <c r="C1404" s="2">
        <v>41953</v>
      </c>
      <c r="D1404" s="1" t="s">
        <v>37</v>
      </c>
      <c r="E1404" s="1" t="s">
        <v>2434</v>
      </c>
      <c r="F1404" s="1" t="s">
        <v>2435</v>
      </c>
      <c r="G1404" s="1" t="s">
        <v>94</v>
      </c>
      <c r="H1404" s="1" t="s">
        <v>49</v>
      </c>
      <c r="I1404" s="1" t="s">
        <v>50</v>
      </c>
      <c r="J1404" s="1" t="s">
        <v>51</v>
      </c>
      <c r="K1404" s="1" t="s">
        <v>2416</v>
      </c>
      <c r="L1404" s="1" t="s">
        <v>29</v>
      </c>
      <c r="M1404" s="1" t="s">
        <v>53</v>
      </c>
      <c r="N1404" s="1" t="s">
        <v>2417</v>
      </c>
      <c r="O1404">
        <v>20.04</v>
      </c>
      <c r="P1404">
        <v>6</v>
      </c>
      <c r="Q1404">
        <v>8.8176000000000005</v>
      </c>
      <c r="R1404" s="1" t="s">
        <v>4422</v>
      </c>
      <c r="S1404">
        <v>2014</v>
      </c>
      <c r="T1404" s="1" t="s">
        <v>32</v>
      </c>
    </row>
    <row r="1405" spans="1:20" x14ac:dyDescent="0.25">
      <c r="A1405" s="1" t="s">
        <v>3540</v>
      </c>
      <c r="B1405" s="2">
        <v>42355</v>
      </c>
      <c r="C1405" s="2">
        <v>42360</v>
      </c>
      <c r="D1405" s="1" t="s">
        <v>37</v>
      </c>
      <c r="E1405" s="1" t="s">
        <v>1363</v>
      </c>
      <c r="F1405" s="1" t="s">
        <v>1364</v>
      </c>
      <c r="G1405" s="1" t="s">
        <v>24</v>
      </c>
      <c r="H1405" s="1" t="s">
        <v>203</v>
      </c>
      <c r="I1405" s="1" t="s">
        <v>126</v>
      </c>
      <c r="J1405" s="1" t="s">
        <v>87</v>
      </c>
      <c r="K1405" s="1" t="s">
        <v>870</v>
      </c>
      <c r="L1405" s="1" t="s">
        <v>29</v>
      </c>
      <c r="M1405" s="1" t="s">
        <v>53</v>
      </c>
      <c r="N1405" s="1" t="s">
        <v>871</v>
      </c>
      <c r="O1405">
        <v>41.552</v>
      </c>
      <c r="P1405">
        <v>2</v>
      </c>
      <c r="Q1405">
        <v>-19.737200000000001</v>
      </c>
      <c r="R1405" s="1" t="s">
        <v>4422</v>
      </c>
      <c r="S1405">
        <v>2015</v>
      </c>
      <c r="T1405" s="1" t="s">
        <v>90</v>
      </c>
    </row>
    <row r="1406" spans="1:20" x14ac:dyDescent="0.25">
      <c r="A1406" s="1" t="s">
        <v>3541</v>
      </c>
      <c r="B1406" s="2">
        <v>42937</v>
      </c>
      <c r="C1406" s="2">
        <v>42941</v>
      </c>
      <c r="D1406" s="1" t="s">
        <v>37</v>
      </c>
      <c r="E1406" s="1" t="s">
        <v>1894</v>
      </c>
      <c r="F1406" s="1" t="s">
        <v>1895</v>
      </c>
      <c r="G1406" s="1" t="s">
        <v>24</v>
      </c>
      <c r="H1406" s="1" t="s">
        <v>630</v>
      </c>
      <c r="I1406" s="1" t="s">
        <v>50</v>
      </c>
      <c r="J1406" s="1" t="s">
        <v>51</v>
      </c>
      <c r="K1406" s="1" t="s">
        <v>1523</v>
      </c>
      <c r="L1406" s="1" t="s">
        <v>29</v>
      </c>
      <c r="M1406" s="1" t="s">
        <v>34</v>
      </c>
      <c r="N1406" s="1" t="s">
        <v>1524</v>
      </c>
      <c r="O1406">
        <v>225.29599999999999</v>
      </c>
      <c r="P1406">
        <v>2</v>
      </c>
      <c r="Q1406">
        <v>22.529599999999999</v>
      </c>
      <c r="R1406" s="1" t="s">
        <v>4424</v>
      </c>
      <c r="S1406">
        <v>2017</v>
      </c>
      <c r="T1406" s="1" t="s">
        <v>66</v>
      </c>
    </row>
    <row r="1407" spans="1:20" x14ac:dyDescent="0.25">
      <c r="A1407" s="1" t="s">
        <v>3542</v>
      </c>
      <c r="B1407" s="2">
        <v>42144</v>
      </c>
      <c r="C1407" s="2">
        <v>42148</v>
      </c>
      <c r="D1407" s="1" t="s">
        <v>37</v>
      </c>
      <c r="E1407" s="1" t="s">
        <v>1359</v>
      </c>
      <c r="F1407" s="1" t="s">
        <v>1360</v>
      </c>
      <c r="G1407" s="1" t="s">
        <v>24</v>
      </c>
      <c r="H1407" s="1" t="s">
        <v>3543</v>
      </c>
      <c r="I1407" s="1" t="s">
        <v>1027</v>
      </c>
      <c r="J1407" s="1" t="s">
        <v>27</v>
      </c>
      <c r="K1407" s="1" t="s">
        <v>1528</v>
      </c>
      <c r="L1407" s="1" t="s">
        <v>29</v>
      </c>
      <c r="M1407" s="1" t="s">
        <v>53</v>
      </c>
      <c r="N1407" s="1" t="s">
        <v>1529</v>
      </c>
      <c r="O1407">
        <v>163.136</v>
      </c>
      <c r="P1407">
        <v>4</v>
      </c>
      <c r="Q1407">
        <v>20.391999999999999</v>
      </c>
      <c r="R1407" s="1" t="s">
        <v>4424</v>
      </c>
      <c r="S1407">
        <v>2015</v>
      </c>
      <c r="T1407" s="1" t="s">
        <v>153</v>
      </c>
    </row>
    <row r="1408" spans="1:20" x14ac:dyDescent="0.25">
      <c r="A1408" s="1" t="s">
        <v>3544</v>
      </c>
      <c r="B1408" s="2">
        <v>42322</v>
      </c>
      <c r="C1408" s="2">
        <v>42327</v>
      </c>
      <c r="D1408" s="1" t="s">
        <v>37</v>
      </c>
      <c r="E1408" s="1" t="s">
        <v>2781</v>
      </c>
      <c r="F1408" s="1" t="s">
        <v>2782</v>
      </c>
      <c r="G1408" s="1" t="s">
        <v>24</v>
      </c>
      <c r="H1408" s="1" t="s">
        <v>3545</v>
      </c>
      <c r="I1408" s="1" t="s">
        <v>1887</v>
      </c>
      <c r="J1408" s="1" t="s">
        <v>51</v>
      </c>
      <c r="K1408" s="1" t="s">
        <v>238</v>
      </c>
      <c r="L1408" s="1" t="s">
        <v>29</v>
      </c>
      <c r="M1408" s="1" t="s">
        <v>34</v>
      </c>
      <c r="N1408" s="1" t="s">
        <v>239</v>
      </c>
      <c r="O1408">
        <v>883.84</v>
      </c>
      <c r="P1408">
        <v>4</v>
      </c>
      <c r="Q1408">
        <v>99.432000000000002</v>
      </c>
      <c r="R1408" s="1" t="s">
        <v>4422</v>
      </c>
      <c r="S1408">
        <v>2015</v>
      </c>
      <c r="T1408" s="1" t="s">
        <v>32</v>
      </c>
    </row>
    <row r="1409" spans="1:20" x14ac:dyDescent="0.25">
      <c r="A1409" s="1" t="s">
        <v>3544</v>
      </c>
      <c r="B1409" s="2">
        <v>42322</v>
      </c>
      <c r="C1409" s="2">
        <v>42327</v>
      </c>
      <c r="D1409" s="1" t="s">
        <v>37</v>
      </c>
      <c r="E1409" s="1" t="s">
        <v>2781</v>
      </c>
      <c r="F1409" s="1" t="s">
        <v>2782</v>
      </c>
      <c r="G1409" s="1" t="s">
        <v>24</v>
      </c>
      <c r="H1409" s="1" t="s">
        <v>3545</v>
      </c>
      <c r="I1409" s="1" t="s">
        <v>1887</v>
      </c>
      <c r="J1409" s="1" t="s">
        <v>51</v>
      </c>
      <c r="K1409" s="1" t="s">
        <v>348</v>
      </c>
      <c r="L1409" s="1" t="s">
        <v>29</v>
      </c>
      <c r="M1409" s="1" t="s">
        <v>34</v>
      </c>
      <c r="N1409" s="1" t="s">
        <v>349</v>
      </c>
      <c r="O1409">
        <v>230.352</v>
      </c>
      <c r="P1409">
        <v>3</v>
      </c>
      <c r="Q1409">
        <v>20.155799999999999</v>
      </c>
      <c r="R1409" s="1" t="s">
        <v>4422</v>
      </c>
      <c r="S1409">
        <v>2015</v>
      </c>
      <c r="T1409" s="1" t="s">
        <v>32</v>
      </c>
    </row>
    <row r="1410" spans="1:20" x14ac:dyDescent="0.25">
      <c r="A1410" s="1" t="s">
        <v>3546</v>
      </c>
      <c r="B1410" s="2">
        <v>43083</v>
      </c>
      <c r="C1410" s="2">
        <v>43083</v>
      </c>
      <c r="D1410" s="1" t="s">
        <v>417</v>
      </c>
      <c r="E1410" s="1" t="s">
        <v>232</v>
      </c>
      <c r="F1410" s="1" t="s">
        <v>233</v>
      </c>
      <c r="G1410" s="1" t="s">
        <v>24</v>
      </c>
      <c r="H1410" s="1" t="s">
        <v>2200</v>
      </c>
      <c r="I1410" s="1" t="s">
        <v>126</v>
      </c>
      <c r="J1410" s="1" t="s">
        <v>87</v>
      </c>
      <c r="K1410" s="1" t="s">
        <v>1844</v>
      </c>
      <c r="L1410" s="1" t="s">
        <v>29</v>
      </c>
      <c r="M1410" s="1" t="s">
        <v>53</v>
      </c>
      <c r="N1410" s="1" t="s">
        <v>1845</v>
      </c>
      <c r="O1410">
        <v>266.35199999999998</v>
      </c>
      <c r="P1410">
        <v>6</v>
      </c>
      <c r="Q1410">
        <v>-292.98719999999997</v>
      </c>
      <c r="R1410" s="1" t="s">
        <v>4427</v>
      </c>
      <c r="S1410">
        <v>2017</v>
      </c>
      <c r="T1410" s="1" t="s">
        <v>90</v>
      </c>
    </row>
    <row r="1411" spans="1:20" x14ac:dyDescent="0.25">
      <c r="A1411" s="1" t="s">
        <v>3546</v>
      </c>
      <c r="B1411" s="2">
        <v>43083</v>
      </c>
      <c r="C1411" s="2">
        <v>43083</v>
      </c>
      <c r="D1411" s="1" t="s">
        <v>417</v>
      </c>
      <c r="E1411" s="1" t="s">
        <v>232</v>
      </c>
      <c r="F1411" s="1" t="s">
        <v>233</v>
      </c>
      <c r="G1411" s="1" t="s">
        <v>24</v>
      </c>
      <c r="H1411" s="1" t="s">
        <v>2200</v>
      </c>
      <c r="I1411" s="1" t="s">
        <v>126</v>
      </c>
      <c r="J1411" s="1" t="s">
        <v>87</v>
      </c>
      <c r="K1411" s="1" t="s">
        <v>346</v>
      </c>
      <c r="L1411" s="1" t="s">
        <v>29</v>
      </c>
      <c r="M1411" s="1" t="s">
        <v>53</v>
      </c>
      <c r="N1411" s="1" t="s">
        <v>347</v>
      </c>
      <c r="O1411">
        <v>56.328000000000003</v>
      </c>
      <c r="P1411">
        <v>3</v>
      </c>
      <c r="Q1411">
        <v>-26.755800000000001</v>
      </c>
      <c r="R1411" s="1" t="s">
        <v>4427</v>
      </c>
      <c r="S1411">
        <v>2017</v>
      </c>
      <c r="T1411" s="1" t="s">
        <v>90</v>
      </c>
    </row>
    <row r="1412" spans="1:20" x14ac:dyDescent="0.25">
      <c r="A1412" s="1" t="s">
        <v>3547</v>
      </c>
      <c r="B1412" s="2">
        <v>42468</v>
      </c>
      <c r="C1412" s="2">
        <v>42475</v>
      </c>
      <c r="D1412" s="1" t="s">
        <v>37</v>
      </c>
      <c r="E1412" s="1" t="s">
        <v>739</v>
      </c>
      <c r="F1412" s="1" t="s">
        <v>740</v>
      </c>
      <c r="G1412" s="1" t="s">
        <v>94</v>
      </c>
      <c r="H1412" s="1" t="s">
        <v>3548</v>
      </c>
      <c r="I1412" s="1" t="s">
        <v>1049</v>
      </c>
      <c r="J1412" s="1" t="s">
        <v>27</v>
      </c>
      <c r="K1412" s="1" t="s">
        <v>1114</v>
      </c>
      <c r="L1412" s="1" t="s">
        <v>29</v>
      </c>
      <c r="M1412" s="1" t="s">
        <v>53</v>
      </c>
      <c r="N1412" s="1" t="s">
        <v>1115</v>
      </c>
      <c r="O1412">
        <v>159.91999999999999</v>
      </c>
      <c r="P1412">
        <v>4</v>
      </c>
      <c r="Q1412">
        <v>31.984000000000002</v>
      </c>
      <c r="R1412" s="1" t="s">
        <v>4421</v>
      </c>
      <c r="S1412">
        <v>2016</v>
      </c>
      <c r="T1412" s="1" t="s">
        <v>107</v>
      </c>
    </row>
    <row r="1413" spans="1:20" x14ac:dyDescent="0.25">
      <c r="A1413" s="1" t="s">
        <v>3549</v>
      </c>
      <c r="B1413" s="2">
        <v>42678</v>
      </c>
      <c r="C1413" s="2">
        <v>42683</v>
      </c>
      <c r="D1413" s="1" t="s">
        <v>37</v>
      </c>
      <c r="E1413" s="1" t="s">
        <v>2520</v>
      </c>
      <c r="F1413" s="1" t="s">
        <v>2521</v>
      </c>
      <c r="G1413" s="1" t="s">
        <v>84</v>
      </c>
      <c r="H1413" s="1" t="s">
        <v>997</v>
      </c>
      <c r="I1413" s="1" t="s">
        <v>41</v>
      </c>
      <c r="J1413" s="1" t="s">
        <v>27</v>
      </c>
      <c r="K1413" s="1" t="s">
        <v>1568</v>
      </c>
      <c r="L1413" s="1" t="s">
        <v>29</v>
      </c>
      <c r="M1413" s="1" t="s">
        <v>53</v>
      </c>
      <c r="N1413" s="1" t="s">
        <v>1569</v>
      </c>
      <c r="O1413">
        <v>50.496000000000002</v>
      </c>
      <c r="P1413">
        <v>6</v>
      </c>
      <c r="Q1413">
        <v>8.2056000000000004</v>
      </c>
      <c r="R1413" s="1" t="s">
        <v>4422</v>
      </c>
      <c r="S1413">
        <v>2016</v>
      </c>
      <c r="T1413" s="1" t="s">
        <v>32</v>
      </c>
    </row>
    <row r="1414" spans="1:20" x14ac:dyDescent="0.25">
      <c r="A1414" s="1" t="s">
        <v>3550</v>
      </c>
      <c r="B1414" s="2">
        <v>42173</v>
      </c>
      <c r="C1414" s="2">
        <v>42175</v>
      </c>
      <c r="D1414" s="1" t="s">
        <v>81</v>
      </c>
      <c r="E1414" s="1" t="s">
        <v>789</v>
      </c>
      <c r="F1414" s="1" t="s">
        <v>790</v>
      </c>
      <c r="G1414" s="1" t="s">
        <v>84</v>
      </c>
      <c r="H1414" s="1" t="s">
        <v>1233</v>
      </c>
      <c r="I1414" s="1" t="s">
        <v>133</v>
      </c>
      <c r="J1414" s="1" t="s">
        <v>27</v>
      </c>
      <c r="K1414" s="1" t="s">
        <v>321</v>
      </c>
      <c r="L1414" s="1" t="s">
        <v>29</v>
      </c>
      <c r="M1414" s="1" t="s">
        <v>34</v>
      </c>
      <c r="N1414" s="1" t="s">
        <v>322</v>
      </c>
      <c r="O1414">
        <v>643.13599999999997</v>
      </c>
      <c r="P1414">
        <v>4</v>
      </c>
      <c r="Q1414">
        <v>56.2744</v>
      </c>
      <c r="R1414" s="1" t="s">
        <v>4423</v>
      </c>
      <c r="S1414">
        <v>2015</v>
      </c>
      <c r="T1414" s="1" t="s">
        <v>55</v>
      </c>
    </row>
    <row r="1415" spans="1:20" x14ac:dyDescent="0.25">
      <c r="A1415" s="1" t="s">
        <v>3551</v>
      </c>
      <c r="B1415" s="2">
        <v>41785</v>
      </c>
      <c r="C1415" s="2">
        <v>41790</v>
      </c>
      <c r="D1415" s="1" t="s">
        <v>37</v>
      </c>
      <c r="E1415" s="1" t="s">
        <v>1432</v>
      </c>
      <c r="F1415" s="1" t="s">
        <v>1433</v>
      </c>
      <c r="G1415" s="1" t="s">
        <v>24</v>
      </c>
      <c r="H1415" s="1" t="s">
        <v>125</v>
      </c>
      <c r="I1415" s="1" t="s">
        <v>126</v>
      </c>
      <c r="J1415" s="1" t="s">
        <v>87</v>
      </c>
      <c r="K1415" s="1" t="s">
        <v>1591</v>
      </c>
      <c r="L1415" s="1" t="s">
        <v>29</v>
      </c>
      <c r="M1415" s="1" t="s">
        <v>34</v>
      </c>
      <c r="N1415" s="1" t="s">
        <v>1592</v>
      </c>
      <c r="O1415">
        <v>359.77199999999999</v>
      </c>
      <c r="P1415">
        <v>2</v>
      </c>
      <c r="Q1415">
        <v>-5.1395999999999997</v>
      </c>
      <c r="R1415" s="1" t="s">
        <v>4422</v>
      </c>
      <c r="S1415">
        <v>2014</v>
      </c>
      <c r="T1415" s="1" t="s">
        <v>153</v>
      </c>
    </row>
    <row r="1416" spans="1:20" x14ac:dyDescent="0.25">
      <c r="A1416" s="1" t="s">
        <v>3552</v>
      </c>
      <c r="B1416" s="2">
        <v>42922</v>
      </c>
      <c r="C1416" s="2">
        <v>42927</v>
      </c>
      <c r="D1416" s="1" t="s">
        <v>37</v>
      </c>
      <c r="E1416" s="1" t="s">
        <v>395</v>
      </c>
      <c r="F1416" s="1" t="s">
        <v>396</v>
      </c>
      <c r="G1416" s="1" t="s">
        <v>24</v>
      </c>
      <c r="H1416" s="1" t="s">
        <v>49</v>
      </c>
      <c r="I1416" s="1" t="s">
        <v>50</v>
      </c>
      <c r="J1416" s="1" t="s">
        <v>51</v>
      </c>
      <c r="K1416" s="1" t="s">
        <v>127</v>
      </c>
      <c r="L1416" s="1" t="s">
        <v>29</v>
      </c>
      <c r="M1416" s="1" t="s">
        <v>34</v>
      </c>
      <c r="N1416" s="1" t="s">
        <v>209</v>
      </c>
      <c r="O1416">
        <v>122.136</v>
      </c>
      <c r="P1416">
        <v>3</v>
      </c>
      <c r="Q1416">
        <v>-13.7403</v>
      </c>
      <c r="R1416" s="1" t="s">
        <v>4422</v>
      </c>
      <c r="S1416">
        <v>2017</v>
      </c>
      <c r="T1416" s="1" t="s">
        <v>66</v>
      </c>
    </row>
    <row r="1417" spans="1:20" x14ac:dyDescent="0.25">
      <c r="A1417" s="1" t="s">
        <v>3553</v>
      </c>
      <c r="B1417" s="2">
        <v>42549</v>
      </c>
      <c r="C1417" s="2">
        <v>42551</v>
      </c>
      <c r="D1417" s="1" t="s">
        <v>21</v>
      </c>
      <c r="E1417" s="1" t="s">
        <v>2163</v>
      </c>
      <c r="F1417" s="1" t="s">
        <v>2164</v>
      </c>
      <c r="G1417" s="1" t="s">
        <v>24</v>
      </c>
      <c r="H1417" s="1" t="s">
        <v>3554</v>
      </c>
      <c r="I1417" s="1" t="s">
        <v>354</v>
      </c>
      <c r="J1417" s="1" t="s">
        <v>63</v>
      </c>
      <c r="K1417" s="1" t="s">
        <v>2419</v>
      </c>
      <c r="L1417" s="1" t="s">
        <v>29</v>
      </c>
      <c r="M1417" s="1" t="s">
        <v>34</v>
      </c>
      <c r="N1417" s="1" t="s">
        <v>2420</v>
      </c>
      <c r="O1417">
        <v>121.96</v>
      </c>
      <c r="P1417">
        <v>2</v>
      </c>
      <c r="Q1417">
        <v>20.7332</v>
      </c>
      <c r="R1417" s="1" t="s">
        <v>4423</v>
      </c>
      <c r="S1417">
        <v>2016</v>
      </c>
      <c r="T1417" s="1" t="s">
        <v>55</v>
      </c>
    </row>
    <row r="1418" spans="1:20" x14ac:dyDescent="0.25">
      <c r="A1418" s="1" t="s">
        <v>3555</v>
      </c>
      <c r="B1418" s="2">
        <v>42993</v>
      </c>
      <c r="C1418" s="2">
        <v>42997</v>
      </c>
      <c r="D1418" s="1" t="s">
        <v>37</v>
      </c>
      <c r="E1418" s="1" t="s">
        <v>3556</v>
      </c>
      <c r="F1418" s="1" t="s">
        <v>3557</v>
      </c>
      <c r="G1418" s="1" t="s">
        <v>84</v>
      </c>
      <c r="H1418" s="1" t="s">
        <v>2051</v>
      </c>
      <c r="I1418" s="1" t="s">
        <v>354</v>
      </c>
      <c r="J1418" s="1" t="s">
        <v>63</v>
      </c>
      <c r="K1418" s="1" t="s">
        <v>2195</v>
      </c>
      <c r="L1418" s="1" t="s">
        <v>29</v>
      </c>
      <c r="M1418" s="1" t="s">
        <v>53</v>
      </c>
      <c r="N1418" s="1" t="s">
        <v>2196</v>
      </c>
      <c r="O1418">
        <v>47.4</v>
      </c>
      <c r="P1418">
        <v>5</v>
      </c>
      <c r="Q1418">
        <v>18.96</v>
      </c>
      <c r="R1418" s="1" t="s">
        <v>4424</v>
      </c>
      <c r="S1418">
        <v>2017</v>
      </c>
      <c r="T1418" s="1" t="s">
        <v>72</v>
      </c>
    </row>
    <row r="1419" spans="1:20" x14ac:dyDescent="0.25">
      <c r="A1419" s="1" t="s">
        <v>3555</v>
      </c>
      <c r="B1419" s="2">
        <v>42993</v>
      </c>
      <c r="C1419" s="2">
        <v>42997</v>
      </c>
      <c r="D1419" s="1" t="s">
        <v>37</v>
      </c>
      <c r="E1419" s="1" t="s">
        <v>3556</v>
      </c>
      <c r="F1419" s="1" t="s">
        <v>3557</v>
      </c>
      <c r="G1419" s="1" t="s">
        <v>84</v>
      </c>
      <c r="H1419" s="1" t="s">
        <v>2051</v>
      </c>
      <c r="I1419" s="1" t="s">
        <v>354</v>
      </c>
      <c r="J1419" s="1" t="s">
        <v>63</v>
      </c>
      <c r="K1419" s="1" t="s">
        <v>2564</v>
      </c>
      <c r="L1419" s="1" t="s">
        <v>29</v>
      </c>
      <c r="M1419" s="1" t="s">
        <v>34</v>
      </c>
      <c r="N1419" s="1" t="s">
        <v>2565</v>
      </c>
      <c r="O1419">
        <v>512.96</v>
      </c>
      <c r="P1419">
        <v>4</v>
      </c>
      <c r="Q1419">
        <v>143.62880000000001</v>
      </c>
      <c r="R1419" s="1" t="s">
        <v>4424</v>
      </c>
      <c r="S1419">
        <v>2017</v>
      </c>
      <c r="T1419" s="1" t="s">
        <v>72</v>
      </c>
    </row>
    <row r="1420" spans="1:20" x14ac:dyDescent="0.25">
      <c r="A1420" s="1" t="s">
        <v>3558</v>
      </c>
      <c r="B1420" s="2">
        <v>42575</v>
      </c>
      <c r="C1420" s="2">
        <v>42577</v>
      </c>
      <c r="D1420" s="1" t="s">
        <v>21</v>
      </c>
      <c r="E1420" s="1" t="s">
        <v>3185</v>
      </c>
      <c r="F1420" s="1" t="s">
        <v>3186</v>
      </c>
      <c r="G1420" s="1" t="s">
        <v>84</v>
      </c>
      <c r="H1420" s="1" t="s">
        <v>165</v>
      </c>
      <c r="I1420" s="1" t="s">
        <v>114</v>
      </c>
      <c r="J1420" s="1" t="s">
        <v>63</v>
      </c>
      <c r="K1420" s="1" t="s">
        <v>1132</v>
      </c>
      <c r="L1420" s="1" t="s">
        <v>29</v>
      </c>
      <c r="M1420" s="1" t="s">
        <v>34</v>
      </c>
      <c r="N1420" s="1" t="s">
        <v>1133</v>
      </c>
      <c r="O1420">
        <v>253.76400000000001</v>
      </c>
      <c r="P1420">
        <v>2</v>
      </c>
      <c r="Q1420">
        <v>31.015599999999999</v>
      </c>
      <c r="R1420" s="1" t="s">
        <v>4423</v>
      </c>
      <c r="S1420">
        <v>2016</v>
      </c>
      <c r="T1420" s="1" t="s">
        <v>66</v>
      </c>
    </row>
    <row r="1421" spans="1:20" x14ac:dyDescent="0.25">
      <c r="A1421" s="1" t="s">
        <v>3559</v>
      </c>
      <c r="B1421" s="2">
        <v>42845</v>
      </c>
      <c r="C1421" s="2">
        <v>42849</v>
      </c>
      <c r="D1421" s="1" t="s">
        <v>37</v>
      </c>
      <c r="E1421" s="1" t="s">
        <v>2350</v>
      </c>
      <c r="F1421" s="1" t="s">
        <v>2351</v>
      </c>
      <c r="G1421" s="1" t="s">
        <v>24</v>
      </c>
      <c r="H1421" s="1" t="s">
        <v>125</v>
      </c>
      <c r="I1421" s="1" t="s">
        <v>126</v>
      </c>
      <c r="J1421" s="1" t="s">
        <v>87</v>
      </c>
      <c r="K1421" s="1" t="s">
        <v>386</v>
      </c>
      <c r="L1421" s="1" t="s">
        <v>29</v>
      </c>
      <c r="M1421" s="1" t="s">
        <v>34</v>
      </c>
      <c r="N1421" s="1" t="s">
        <v>387</v>
      </c>
      <c r="O1421">
        <v>317.05799999999999</v>
      </c>
      <c r="P1421">
        <v>3</v>
      </c>
      <c r="Q1421">
        <v>-18.117599999999999</v>
      </c>
      <c r="R1421" s="1" t="s">
        <v>4424</v>
      </c>
      <c r="S1421">
        <v>2017</v>
      </c>
      <c r="T1421" s="1" t="s">
        <v>107</v>
      </c>
    </row>
    <row r="1422" spans="1:20" x14ac:dyDescent="0.25">
      <c r="A1422" s="1" t="s">
        <v>3559</v>
      </c>
      <c r="B1422" s="2">
        <v>42845</v>
      </c>
      <c r="C1422" s="2">
        <v>42849</v>
      </c>
      <c r="D1422" s="1" t="s">
        <v>37</v>
      </c>
      <c r="E1422" s="1" t="s">
        <v>2350</v>
      </c>
      <c r="F1422" s="1" t="s">
        <v>2351</v>
      </c>
      <c r="G1422" s="1" t="s">
        <v>24</v>
      </c>
      <c r="H1422" s="1" t="s">
        <v>125</v>
      </c>
      <c r="I1422" s="1" t="s">
        <v>126</v>
      </c>
      <c r="J1422" s="1" t="s">
        <v>87</v>
      </c>
      <c r="K1422" s="1" t="s">
        <v>1339</v>
      </c>
      <c r="L1422" s="1" t="s">
        <v>29</v>
      </c>
      <c r="M1422" s="1" t="s">
        <v>53</v>
      </c>
      <c r="N1422" s="1" t="s">
        <v>1340</v>
      </c>
      <c r="O1422">
        <v>14.56</v>
      </c>
      <c r="P1422">
        <v>5</v>
      </c>
      <c r="Q1422">
        <v>-6.1879999999999997</v>
      </c>
      <c r="R1422" s="1" t="s">
        <v>4424</v>
      </c>
      <c r="S1422">
        <v>2017</v>
      </c>
      <c r="T1422" s="1" t="s">
        <v>107</v>
      </c>
    </row>
    <row r="1423" spans="1:20" x14ac:dyDescent="0.25">
      <c r="A1423" s="1" t="s">
        <v>3560</v>
      </c>
      <c r="B1423" s="2">
        <v>42616</v>
      </c>
      <c r="C1423" s="2">
        <v>42621</v>
      </c>
      <c r="D1423" s="1" t="s">
        <v>21</v>
      </c>
      <c r="E1423" s="1" t="s">
        <v>2026</v>
      </c>
      <c r="F1423" s="1" t="s">
        <v>2027</v>
      </c>
      <c r="G1423" s="1" t="s">
        <v>24</v>
      </c>
      <c r="H1423" s="1" t="s">
        <v>2745</v>
      </c>
      <c r="I1423" s="1" t="s">
        <v>1080</v>
      </c>
      <c r="J1423" s="1" t="s">
        <v>63</v>
      </c>
      <c r="K1423" s="1" t="s">
        <v>1467</v>
      </c>
      <c r="L1423" s="1" t="s">
        <v>29</v>
      </c>
      <c r="M1423" s="1" t="s">
        <v>30</v>
      </c>
      <c r="N1423" s="1" t="s">
        <v>1468</v>
      </c>
      <c r="O1423">
        <v>344.94</v>
      </c>
      <c r="P1423">
        <v>3</v>
      </c>
      <c r="Q1423">
        <v>31.044599999999999</v>
      </c>
      <c r="R1423" s="1" t="s">
        <v>4422</v>
      </c>
      <c r="S1423">
        <v>2016</v>
      </c>
      <c r="T1423" s="1" t="s">
        <v>72</v>
      </c>
    </row>
    <row r="1424" spans="1:20" x14ac:dyDescent="0.25">
      <c r="A1424" s="1" t="s">
        <v>3560</v>
      </c>
      <c r="B1424" s="2">
        <v>42616</v>
      </c>
      <c r="C1424" s="2">
        <v>42621</v>
      </c>
      <c r="D1424" s="1" t="s">
        <v>21</v>
      </c>
      <c r="E1424" s="1" t="s">
        <v>2026</v>
      </c>
      <c r="F1424" s="1" t="s">
        <v>2027</v>
      </c>
      <c r="G1424" s="1" t="s">
        <v>24</v>
      </c>
      <c r="H1424" s="1" t="s">
        <v>2745</v>
      </c>
      <c r="I1424" s="1" t="s">
        <v>1080</v>
      </c>
      <c r="J1424" s="1" t="s">
        <v>63</v>
      </c>
      <c r="K1424" s="1" t="s">
        <v>1709</v>
      </c>
      <c r="L1424" s="1" t="s">
        <v>29</v>
      </c>
      <c r="M1424" s="1" t="s">
        <v>53</v>
      </c>
      <c r="N1424" s="1" t="s">
        <v>1710</v>
      </c>
      <c r="O1424">
        <v>14.76</v>
      </c>
      <c r="P1424">
        <v>2</v>
      </c>
      <c r="Q1424">
        <v>4.2804000000000002</v>
      </c>
      <c r="R1424" s="1" t="s">
        <v>4422</v>
      </c>
      <c r="S1424">
        <v>2016</v>
      </c>
      <c r="T1424" s="1" t="s">
        <v>72</v>
      </c>
    </row>
    <row r="1425" spans="1:20" x14ac:dyDescent="0.25">
      <c r="A1425" s="1" t="s">
        <v>3561</v>
      </c>
      <c r="B1425" s="2">
        <v>42941</v>
      </c>
      <c r="C1425" s="2">
        <v>42944</v>
      </c>
      <c r="D1425" s="1" t="s">
        <v>21</v>
      </c>
      <c r="E1425" s="1" t="s">
        <v>2497</v>
      </c>
      <c r="F1425" s="1" t="s">
        <v>2498</v>
      </c>
      <c r="G1425" s="1" t="s">
        <v>24</v>
      </c>
      <c r="H1425" s="1" t="s">
        <v>61</v>
      </c>
      <c r="I1425" s="1" t="s">
        <v>62</v>
      </c>
      <c r="J1425" s="1" t="s">
        <v>63</v>
      </c>
      <c r="K1425" s="1" t="s">
        <v>668</v>
      </c>
      <c r="L1425" s="1" t="s">
        <v>29</v>
      </c>
      <c r="M1425" s="1" t="s">
        <v>53</v>
      </c>
      <c r="N1425" s="1" t="s">
        <v>669</v>
      </c>
      <c r="O1425">
        <v>20.096</v>
      </c>
      <c r="P1425">
        <v>4</v>
      </c>
      <c r="Q1425">
        <v>3.0144000000000002</v>
      </c>
      <c r="R1425" s="1" t="s">
        <v>4420</v>
      </c>
      <c r="S1425">
        <v>2017</v>
      </c>
      <c r="T1425" s="1" t="s">
        <v>66</v>
      </c>
    </row>
    <row r="1426" spans="1:20" x14ac:dyDescent="0.25">
      <c r="A1426" s="1" t="s">
        <v>3561</v>
      </c>
      <c r="B1426" s="2">
        <v>42941</v>
      </c>
      <c r="C1426" s="2">
        <v>42944</v>
      </c>
      <c r="D1426" s="1" t="s">
        <v>21</v>
      </c>
      <c r="E1426" s="1" t="s">
        <v>2497</v>
      </c>
      <c r="F1426" s="1" t="s">
        <v>2498</v>
      </c>
      <c r="G1426" s="1" t="s">
        <v>24</v>
      </c>
      <c r="H1426" s="1" t="s">
        <v>61</v>
      </c>
      <c r="I1426" s="1" t="s">
        <v>62</v>
      </c>
      <c r="J1426" s="1" t="s">
        <v>63</v>
      </c>
      <c r="K1426" s="1" t="s">
        <v>3156</v>
      </c>
      <c r="L1426" s="1" t="s">
        <v>29</v>
      </c>
      <c r="M1426" s="1" t="s">
        <v>43</v>
      </c>
      <c r="N1426" s="1" t="s">
        <v>3157</v>
      </c>
      <c r="O1426">
        <v>138.58799999999999</v>
      </c>
      <c r="P1426">
        <v>1</v>
      </c>
      <c r="Q1426">
        <v>-34.646999999999998</v>
      </c>
      <c r="R1426" s="1" t="s">
        <v>4420</v>
      </c>
      <c r="S1426">
        <v>2017</v>
      </c>
      <c r="T1426" s="1" t="s">
        <v>66</v>
      </c>
    </row>
    <row r="1427" spans="1:20" x14ac:dyDescent="0.25">
      <c r="A1427" s="1" t="s">
        <v>3562</v>
      </c>
      <c r="B1427" s="2">
        <v>42260</v>
      </c>
      <c r="C1427" s="2">
        <v>42267</v>
      </c>
      <c r="D1427" s="1" t="s">
        <v>37</v>
      </c>
      <c r="E1427" s="1" t="s">
        <v>358</v>
      </c>
      <c r="F1427" s="1" t="s">
        <v>359</v>
      </c>
      <c r="G1427" s="1" t="s">
        <v>24</v>
      </c>
      <c r="H1427" s="1" t="s">
        <v>2129</v>
      </c>
      <c r="I1427" s="1" t="s">
        <v>658</v>
      </c>
      <c r="J1427" s="1" t="s">
        <v>27</v>
      </c>
      <c r="K1427" s="1" t="s">
        <v>981</v>
      </c>
      <c r="L1427" s="1" t="s">
        <v>29</v>
      </c>
      <c r="M1427" s="1" t="s">
        <v>53</v>
      </c>
      <c r="N1427" s="1" t="s">
        <v>982</v>
      </c>
      <c r="O1427">
        <v>129.93</v>
      </c>
      <c r="P1427">
        <v>3</v>
      </c>
      <c r="Q1427">
        <v>12.993</v>
      </c>
      <c r="R1427" s="1" t="s">
        <v>4421</v>
      </c>
      <c r="S1427">
        <v>2015</v>
      </c>
      <c r="T1427" s="1" t="s">
        <v>72</v>
      </c>
    </row>
    <row r="1428" spans="1:20" x14ac:dyDescent="0.25">
      <c r="A1428" s="1" t="s">
        <v>3563</v>
      </c>
      <c r="B1428" s="2">
        <v>42684</v>
      </c>
      <c r="C1428" s="2">
        <v>42689</v>
      </c>
      <c r="D1428" s="1" t="s">
        <v>37</v>
      </c>
      <c r="E1428" s="1" t="s">
        <v>1728</v>
      </c>
      <c r="F1428" s="1" t="s">
        <v>1729</v>
      </c>
      <c r="G1428" s="1" t="s">
        <v>94</v>
      </c>
      <c r="H1428" s="1" t="s">
        <v>1840</v>
      </c>
      <c r="I1428" s="1" t="s">
        <v>50</v>
      </c>
      <c r="J1428" s="1" t="s">
        <v>51</v>
      </c>
      <c r="K1428" s="1" t="s">
        <v>2650</v>
      </c>
      <c r="L1428" s="1" t="s">
        <v>29</v>
      </c>
      <c r="M1428" s="1" t="s">
        <v>53</v>
      </c>
      <c r="N1428" s="1" t="s">
        <v>2651</v>
      </c>
      <c r="O1428">
        <v>9.98</v>
      </c>
      <c r="P1428">
        <v>1</v>
      </c>
      <c r="Q1428">
        <v>2.7944</v>
      </c>
      <c r="R1428" s="1" t="s">
        <v>4422</v>
      </c>
      <c r="S1428">
        <v>2016</v>
      </c>
      <c r="T1428" s="1" t="s">
        <v>32</v>
      </c>
    </row>
    <row r="1429" spans="1:20" x14ac:dyDescent="0.25">
      <c r="A1429" s="1" t="s">
        <v>3564</v>
      </c>
      <c r="B1429" s="2">
        <v>42324</v>
      </c>
      <c r="C1429" s="2">
        <v>42328</v>
      </c>
      <c r="D1429" s="1" t="s">
        <v>37</v>
      </c>
      <c r="E1429" s="1" t="s">
        <v>560</v>
      </c>
      <c r="F1429" s="1" t="s">
        <v>561</v>
      </c>
      <c r="G1429" s="1" t="s">
        <v>84</v>
      </c>
      <c r="H1429" s="1" t="s">
        <v>125</v>
      </c>
      <c r="I1429" s="1" t="s">
        <v>126</v>
      </c>
      <c r="J1429" s="1" t="s">
        <v>87</v>
      </c>
      <c r="K1429" s="1" t="s">
        <v>2681</v>
      </c>
      <c r="L1429" s="1" t="s">
        <v>29</v>
      </c>
      <c r="M1429" s="1" t="s">
        <v>53</v>
      </c>
      <c r="N1429" s="1" t="s">
        <v>2682</v>
      </c>
      <c r="O1429">
        <v>34.503999999999998</v>
      </c>
      <c r="P1429">
        <v>2</v>
      </c>
      <c r="Q1429">
        <v>-15.5268</v>
      </c>
      <c r="R1429" s="1" t="s">
        <v>4424</v>
      </c>
      <c r="S1429">
        <v>2015</v>
      </c>
      <c r="T1429" s="1" t="s">
        <v>32</v>
      </c>
    </row>
    <row r="1430" spans="1:20" x14ac:dyDescent="0.25">
      <c r="A1430" s="1" t="s">
        <v>3565</v>
      </c>
      <c r="B1430" s="2">
        <v>42241</v>
      </c>
      <c r="C1430" s="2">
        <v>42241</v>
      </c>
      <c r="D1430" s="1" t="s">
        <v>417</v>
      </c>
      <c r="E1430" s="1" t="s">
        <v>1363</v>
      </c>
      <c r="F1430" s="1" t="s">
        <v>1364</v>
      </c>
      <c r="G1430" s="1" t="s">
        <v>24</v>
      </c>
      <c r="H1430" s="1" t="s">
        <v>95</v>
      </c>
      <c r="I1430" s="1" t="s">
        <v>86</v>
      </c>
      <c r="J1430" s="1" t="s">
        <v>87</v>
      </c>
      <c r="K1430" s="1" t="s">
        <v>1281</v>
      </c>
      <c r="L1430" s="1" t="s">
        <v>29</v>
      </c>
      <c r="M1430" s="1" t="s">
        <v>53</v>
      </c>
      <c r="N1430" s="1" t="s">
        <v>1749</v>
      </c>
      <c r="O1430">
        <v>20.103999999999999</v>
      </c>
      <c r="P1430">
        <v>2</v>
      </c>
      <c r="Q1430">
        <v>-16.585799999999999</v>
      </c>
      <c r="R1430" s="1" t="s">
        <v>4427</v>
      </c>
      <c r="S1430">
        <v>2015</v>
      </c>
      <c r="T1430" s="1" t="s">
        <v>245</v>
      </c>
    </row>
    <row r="1431" spans="1:20" x14ac:dyDescent="0.25">
      <c r="A1431" s="1" t="s">
        <v>3565</v>
      </c>
      <c r="B1431" s="2">
        <v>42241</v>
      </c>
      <c r="C1431" s="2">
        <v>42241</v>
      </c>
      <c r="D1431" s="1" t="s">
        <v>417</v>
      </c>
      <c r="E1431" s="1" t="s">
        <v>1363</v>
      </c>
      <c r="F1431" s="1" t="s">
        <v>1364</v>
      </c>
      <c r="G1431" s="1" t="s">
        <v>24</v>
      </c>
      <c r="H1431" s="1" t="s">
        <v>95</v>
      </c>
      <c r="I1431" s="1" t="s">
        <v>86</v>
      </c>
      <c r="J1431" s="1" t="s">
        <v>87</v>
      </c>
      <c r="K1431" s="1" t="s">
        <v>3566</v>
      </c>
      <c r="L1431" s="1" t="s">
        <v>29</v>
      </c>
      <c r="M1431" s="1" t="s">
        <v>53</v>
      </c>
      <c r="N1431" s="1" t="s">
        <v>3567</v>
      </c>
      <c r="O1431">
        <v>7.88</v>
      </c>
      <c r="P1431">
        <v>5</v>
      </c>
      <c r="Q1431">
        <v>-3.94</v>
      </c>
      <c r="R1431" s="1" t="s">
        <v>4427</v>
      </c>
      <c r="S1431">
        <v>2015</v>
      </c>
      <c r="T1431" s="1" t="s">
        <v>245</v>
      </c>
    </row>
    <row r="1432" spans="1:20" x14ac:dyDescent="0.25">
      <c r="A1432" s="1" t="s">
        <v>3568</v>
      </c>
      <c r="B1432" s="2">
        <v>42729</v>
      </c>
      <c r="C1432" s="2">
        <v>42736</v>
      </c>
      <c r="D1432" s="1" t="s">
        <v>37</v>
      </c>
      <c r="E1432" s="1" t="s">
        <v>1612</v>
      </c>
      <c r="F1432" s="1" t="s">
        <v>1613</v>
      </c>
      <c r="G1432" s="1" t="s">
        <v>84</v>
      </c>
      <c r="H1432" s="1" t="s">
        <v>510</v>
      </c>
      <c r="I1432" s="1" t="s">
        <v>511</v>
      </c>
      <c r="J1432" s="1" t="s">
        <v>51</v>
      </c>
      <c r="K1432" s="1" t="s">
        <v>309</v>
      </c>
      <c r="L1432" s="1" t="s">
        <v>29</v>
      </c>
      <c r="M1432" s="1" t="s">
        <v>43</v>
      </c>
      <c r="N1432" s="1" t="s">
        <v>310</v>
      </c>
      <c r="O1432">
        <v>35.445</v>
      </c>
      <c r="P1432">
        <v>1</v>
      </c>
      <c r="Q1432">
        <v>-24.102599999999999</v>
      </c>
      <c r="R1432" s="1" t="s">
        <v>4421</v>
      </c>
      <c r="S1432">
        <v>2016</v>
      </c>
      <c r="T1432" s="1" t="s">
        <v>90</v>
      </c>
    </row>
    <row r="1433" spans="1:20" x14ac:dyDescent="0.25">
      <c r="A1433" s="1" t="s">
        <v>3568</v>
      </c>
      <c r="B1433" s="2">
        <v>42729</v>
      </c>
      <c r="C1433" s="2">
        <v>42736</v>
      </c>
      <c r="D1433" s="1" t="s">
        <v>37</v>
      </c>
      <c r="E1433" s="1" t="s">
        <v>1612</v>
      </c>
      <c r="F1433" s="1" t="s">
        <v>1613</v>
      </c>
      <c r="G1433" s="1" t="s">
        <v>84</v>
      </c>
      <c r="H1433" s="1" t="s">
        <v>510</v>
      </c>
      <c r="I1433" s="1" t="s">
        <v>511</v>
      </c>
      <c r="J1433" s="1" t="s">
        <v>51</v>
      </c>
      <c r="K1433" s="1" t="s">
        <v>1504</v>
      </c>
      <c r="L1433" s="1" t="s">
        <v>29</v>
      </c>
      <c r="M1433" s="1" t="s">
        <v>34</v>
      </c>
      <c r="N1433" s="1" t="s">
        <v>1505</v>
      </c>
      <c r="O1433">
        <v>47.968000000000004</v>
      </c>
      <c r="P1433">
        <v>2</v>
      </c>
      <c r="Q1433">
        <v>4.1971999999999996</v>
      </c>
      <c r="R1433" s="1" t="s">
        <v>4421</v>
      </c>
      <c r="S1433">
        <v>2016</v>
      </c>
      <c r="T1433" s="1" t="s">
        <v>90</v>
      </c>
    </row>
    <row r="1434" spans="1:20" x14ac:dyDescent="0.25">
      <c r="A1434" s="1" t="s">
        <v>3569</v>
      </c>
      <c r="B1434" s="2">
        <v>42094</v>
      </c>
      <c r="C1434" s="2">
        <v>42099</v>
      </c>
      <c r="D1434" s="1" t="s">
        <v>37</v>
      </c>
      <c r="E1434" s="1" t="s">
        <v>494</v>
      </c>
      <c r="F1434" s="1" t="s">
        <v>495</v>
      </c>
      <c r="G1434" s="1" t="s">
        <v>84</v>
      </c>
      <c r="H1434" s="1" t="s">
        <v>95</v>
      </c>
      <c r="I1434" s="1" t="s">
        <v>86</v>
      </c>
      <c r="J1434" s="1" t="s">
        <v>87</v>
      </c>
      <c r="K1434" s="1" t="s">
        <v>2639</v>
      </c>
      <c r="L1434" s="1" t="s">
        <v>29</v>
      </c>
      <c r="M1434" s="1" t="s">
        <v>53</v>
      </c>
      <c r="N1434" s="1" t="s">
        <v>2640</v>
      </c>
      <c r="O1434">
        <v>22.38</v>
      </c>
      <c r="P1434">
        <v>3</v>
      </c>
      <c r="Q1434">
        <v>-7.8330000000000002</v>
      </c>
      <c r="R1434" s="1" t="s">
        <v>4422</v>
      </c>
      <c r="S1434">
        <v>2015</v>
      </c>
      <c r="T1434" s="1" t="s">
        <v>187</v>
      </c>
    </row>
    <row r="1435" spans="1:20" x14ac:dyDescent="0.25">
      <c r="A1435" s="1" t="s">
        <v>3570</v>
      </c>
      <c r="B1435" s="2">
        <v>42992</v>
      </c>
      <c r="C1435" s="2">
        <v>42993</v>
      </c>
      <c r="D1435" s="1" t="s">
        <v>81</v>
      </c>
      <c r="E1435" s="1" t="s">
        <v>3571</v>
      </c>
      <c r="F1435" s="1" t="s">
        <v>3572</v>
      </c>
      <c r="G1435" s="1" t="s">
        <v>24</v>
      </c>
      <c r="H1435" s="1" t="s">
        <v>61</v>
      </c>
      <c r="I1435" s="1" t="s">
        <v>62</v>
      </c>
      <c r="J1435" s="1" t="s">
        <v>63</v>
      </c>
      <c r="K1435" s="1" t="s">
        <v>486</v>
      </c>
      <c r="L1435" s="1" t="s">
        <v>29</v>
      </c>
      <c r="M1435" s="1" t="s">
        <v>34</v>
      </c>
      <c r="N1435" s="1" t="s">
        <v>487</v>
      </c>
      <c r="O1435">
        <v>113.372</v>
      </c>
      <c r="P1435">
        <v>2</v>
      </c>
      <c r="Q1435">
        <v>-29.152799999999999</v>
      </c>
      <c r="R1435" s="1" t="s">
        <v>4425</v>
      </c>
      <c r="S1435">
        <v>2017</v>
      </c>
      <c r="T1435" s="1" t="s">
        <v>72</v>
      </c>
    </row>
    <row r="1436" spans="1:20" x14ac:dyDescent="0.25">
      <c r="A1436" s="1" t="s">
        <v>3570</v>
      </c>
      <c r="B1436" s="2">
        <v>42992</v>
      </c>
      <c r="C1436" s="2">
        <v>42993</v>
      </c>
      <c r="D1436" s="1" t="s">
        <v>81</v>
      </c>
      <c r="E1436" s="1" t="s">
        <v>3571</v>
      </c>
      <c r="F1436" s="1" t="s">
        <v>3572</v>
      </c>
      <c r="G1436" s="1" t="s">
        <v>24</v>
      </c>
      <c r="H1436" s="1" t="s">
        <v>61</v>
      </c>
      <c r="I1436" s="1" t="s">
        <v>62</v>
      </c>
      <c r="J1436" s="1" t="s">
        <v>63</v>
      </c>
      <c r="K1436" s="1" t="s">
        <v>3573</v>
      </c>
      <c r="L1436" s="1" t="s">
        <v>29</v>
      </c>
      <c r="M1436" s="1" t="s">
        <v>53</v>
      </c>
      <c r="N1436" s="1" t="s">
        <v>3574</v>
      </c>
      <c r="O1436">
        <v>127.93600000000001</v>
      </c>
      <c r="P1436">
        <v>8</v>
      </c>
      <c r="Q1436">
        <v>4.7976000000000001</v>
      </c>
      <c r="R1436" s="1" t="s">
        <v>4425</v>
      </c>
      <c r="S1436">
        <v>2017</v>
      </c>
      <c r="T1436" s="1" t="s">
        <v>72</v>
      </c>
    </row>
    <row r="1437" spans="1:20" x14ac:dyDescent="0.25">
      <c r="A1437" s="1" t="s">
        <v>3575</v>
      </c>
      <c r="B1437" s="2">
        <v>41807</v>
      </c>
      <c r="C1437" s="2">
        <v>41811</v>
      </c>
      <c r="D1437" s="1" t="s">
        <v>37</v>
      </c>
      <c r="E1437" s="1" t="s">
        <v>1333</v>
      </c>
      <c r="F1437" s="1" t="s">
        <v>1334</v>
      </c>
      <c r="G1437" s="1" t="s">
        <v>24</v>
      </c>
      <c r="H1437" s="1" t="s">
        <v>183</v>
      </c>
      <c r="I1437" s="1" t="s">
        <v>184</v>
      </c>
      <c r="J1437" s="1" t="s">
        <v>51</v>
      </c>
      <c r="K1437" s="1" t="s">
        <v>1352</v>
      </c>
      <c r="L1437" s="1" t="s">
        <v>29</v>
      </c>
      <c r="M1437" s="1" t="s">
        <v>53</v>
      </c>
      <c r="N1437" s="1" t="s">
        <v>415</v>
      </c>
      <c r="O1437">
        <v>6.24</v>
      </c>
      <c r="P1437">
        <v>3</v>
      </c>
      <c r="Q1437">
        <v>2.6208</v>
      </c>
      <c r="R1437" s="1" t="s">
        <v>4424</v>
      </c>
      <c r="S1437">
        <v>2014</v>
      </c>
      <c r="T1437" s="1" t="s">
        <v>55</v>
      </c>
    </row>
    <row r="1438" spans="1:20" x14ac:dyDescent="0.25">
      <c r="A1438" s="1" t="s">
        <v>3576</v>
      </c>
      <c r="B1438" s="2">
        <v>43097</v>
      </c>
      <c r="C1438" s="2">
        <v>43101</v>
      </c>
      <c r="D1438" s="1" t="s">
        <v>37</v>
      </c>
      <c r="E1438" s="1" t="s">
        <v>3408</v>
      </c>
      <c r="F1438" s="1" t="s">
        <v>3409</v>
      </c>
      <c r="G1438" s="1" t="s">
        <v>84</v>
      </c>
      <c r="H1438" s="1" t="s">
        <v>1370</v>
      </c>
      <c r="I1438" s="1" t="s">
        <v>126</v>
      </c>
      <c r="J1438" s="1" t="s">
        <v>87</v>
      </c>
      <c r="K1438" s="1" t="s">
        <v>2317</v>
      </c>
      <c r="L1438" s="1" t="s">
        <v>29</v>
      </c>
      <c r="M1438" s="1" t="s">
        <v>53</v>
      </c>
      <c r="N1438" s="1" t="s">
        <v>2318</v>
      </c>
      <c r="O1438">
        <v>7.968</v>
      </c>
      <c r="P1438">
        <v>3</v>
      </c>
      <c r="Q1438">
        <v>-2.3904000000000001</v>
      </c>
      <c r="R1438" s="1" t="s">
        <v>4424</v>
      </c>
      <c r="S1438">
        <v>2017</v>
      </c>
      <c r="T1438" s="1" t="s">
        <v>90</v>
      </c>
    </row>
    <row r="1439" spans="1:20" x14ac:dyDescent="0.25">
      <c r="A1439" s="1" t="s">
        <v>3576</v>
      </c>
      <c r="B1439" s="2">
        <v>43097</v>
      </c>
      <c r="C1439" s="2">
        <v>43101</v>
      </c>
      <c r="D1439" s="1" t="s">
        <v>37</v>
      </c>
      <c r="E1439" s="1" t="s">
        <v>3408</v>
      </c>
      <c r="F1439" s="1" t="s">
        <v>3409</v>
      </c>
      <c r="G1439" s="1" t="s">
        <v>84</v>
      </c>
      <c r="H1439" s="1" t="s">
        <v>1370</v>
      </c>
      <c r="I1439" s="1" t="s">
        <v>126</v>
      </c>
      <c r="J1439" s="1" t="s">
        <v>87</v>
      </c>
      <c r="K1439" s="1" t="s">
        <v>247</v>
      </c>
      <c r="L1439" s="1" t="s">
        <v>29</v>
      </c>
      <c r="M1439" s="1" t="s">
        <v>34</v>
      </c>
      <c r="N1439" s="1" t="s">
        <v>248</v>
      </c>
      <c r="O1439">
        <v>113.372</v>
      </c>
      <c r="P1439">
        <v>2</v>
      </c>
      <c r="Q1439">
        <v>-3.2391999999999999</v>
      </c>
      <c r="R1439" s="1" t="s">
        <v>4424</v>
      </c>
      <c r="S1439">
        <v>2017</v>
      </c>
      <c r="T1439" s="1" t="s">
        <v>90</v>
      </c>
    </row>
    <row r="1440" spans="1:20" x14ac:dyDescent="0.25">
      <c r="A1440" s="1" t="s">
        <v>3576</v>
      </c>
      <c r="B1440" s="2">
        <v>43097</v>
      </c>
      <c r="C1440" s="2">
        <v>43101</v>
      </c>
      <c r="D1440" s="1" t="s">
        <v>37</v>
      </c>
      <c r="E1440" s="1" t="s">
        <v>3408</v>
      </c>
      <c r="F1440" s="1" t="s">
        <v>3409</v>
      </c>
      <c r="G1440" s="1" t="s">
        <v>84</v>
      </c>
      <c r="H1440" s="1" t="s">
        <v>1370</v>
      </c>
      <c r="I1440" s="1" t="s">
        <v>126</v>
      </c>
      <c r="J1440" s="1" t="s">
        <v>87</v>
      </c>
      <c r="K1440" s="1" t="s">
        <v>437</v>
      </c>
      <c r="L1440" s="1" t="s">
        <v>29</v>
      </c>
      <c r="M1440" s="1" t="s">
        <v>53</v>
      </c>
      <c r="N1440" s="1" t="s">
        <v>438</v>
      </c>
      <c r="O1440">
        <v>2.96</v>
      </c>
      <c r="P1440">
        <v>2</v>
      </c>
      <c r="Q1440">
        <v>-1.4059999999999999</v>
      </c>
      <c r="R1440" s="1" t="s">
        <v>4424</v>
      </c>
      <c r="S1440">
        <v>2017</v>
      </c>
      <c r="T1440" s="1" t="s">
        <v>90</v>
      </c>
    </row>
    <row r="1441" spans="1:20" x14ac:dyDescent="0.25">
      <c r="A1441" s="1" t="s">
        <v>3577</v>
      </c>
      <c r="B1441" s="2">
        <v>42210</v>
      </c>
      <c r="C1441" s="2">
        <v>42214</v>
      </c>
      <c r="D1441" s="1" t="s">
        <v>37</v>
      </c>
      <c r="E1441" s="1" t="s">
        <v>3397</v>
      </c>
      <c r="F1441" s="1" t="s">
        <v>3398</v>
      </c>
      <c r="G1441" s="1" t="s">
        <v>84</v>
      </c>
      <c r="H1441" s="1" t="s">
        <v>1607</v>
      </c>
      <c r="I1441" s="1" t="s">
        <v>1267</v>
      </c>
      <c r="J1441" s="1" t="s">
        <v>27</v>
      </c>
      <c r="K1441" s="1" t="s">
        <v>445</v>
      </c>
      <c r="L1441" s="1" t="s">
        <v>29</v>
      </c>
      <c r="M1441" s="1" t="s">
        <v>43</v>
      </c>
      <c r="N1441" s="1" t="s">
        <v>446</v>
      </c>
      <c r="O1441">
        <v>358.58</v>
      </c>
      <c r="P1441">
        <v>2</v>
      </c>
      <c r="Q1441">
        <v>39.443800000000003</v>
      </c>
      <c r="R1441" s="1" t="s">
        <v>4424</v>
      </c>
      <c r="S1441">
        <v>2015</v>
      </c>
      <c r="T1441" s="1" t="s">
        <v>66</v>
      </c>
    </row>
    <row r="1442" spans="1:20" x14ac:dyDescent="0.25">
      <c r="A1442" s="1" t="s">
        <v>3578</v>
      </c>
      <c r="B1442" s="2">
        <v>42621</v>
      </c>
      <c r="C1442" s="2">
        <v>42621</v>
      </c>
      <c r="D1442" s="1" t="s">
        <v>417</v>
      </c>
      <c r="E1442" s="1" t="s">
        <v>838</v>
      </c>
      <c r="F1442" s="1" t="s">
        <v>839</v>
      </c>
      <c r="G1442" s="1" t="s">
        <v>24</v>
      </c>
      <c r="H1442" s="1" t="s">
        <v>840</v>
      </c>
      <c r="I1442" s="1" t="s">
        <v>50</v>
      </c>
      <c r="J1442" s="1" t="s">
        <v>51</v>
      </c>
      <c r="K1442" s="1" t="s">
        <v>1225</v>
      </c>
      <c r="L1442" s="1" t="s">
        <v>29</v>
      </c>
      <c r="M1442" s="1" t="s">
        <v>43</v>
      </c>
      <c r="N1442" s="1" t="s">
        <v>1226</v>
      </c>
      <c r="O1442">
        <v>146.04</v>
      </c>
      <c r="P1442">
        <v>1</v>
      </c>
      <c r="Q1442">
        <v>-12.778499999999999</v>
      </c>
      <c r="R1442" s="1" t="s">
        <v>4427</v>
      </c>
      <c r="S1442">
        <v>2016</v>
      </c>
      <c r="T1442" s="1" t="s">
        <v>72</v>
      </c>
    </row>
    <row r="1443" spans="1:20" x14ac:dyDescent="0.25">
      <c r="A1443" s="1" t="s">
        <v>3579</v>
      </c>
      <c r="B1443" s="2">
        <v>43023</v>
      </c>
      <c r="C1443" s="2">
        <v>43028</v>
      </c>
      <c r="D1443" s="1" t="s">
        <v>37</v>
      </c>
      <c r="E1443" s="1" t="s">
        <v>2709</v>
      </c>
      <c r="F1443" s="1" t="s">
        <v>2710</v>
      </c>
      <c r="G1443" s="1" t="s">
        <v>84</v>
      </c>
      <c r="H1443" s="1" t="s">
        <v>3580</v>
      </c>
      <c r="I1443" s="1" t="s">
        <v>50</v>
      </c>
      <c r="J1443" s="1" t="s">
        <v>51</v>
      </c>
      <c r="K1443" s="1" t="s">
        <v>275</v>
      </c>
      <c r="L1443" s="1" t="s">
        <v>29</v>
      </c>
      <c r="M1443" s="1" t="s">
        <v>53</v>
      </c>
      <c r="N1443" s="1" t="s">
        <v>276</v>
      </c>
      <c r="O1443">
        <v>22.72</v>
      </c>
      <c r="P1443">
        <v>1</v>
      </c>
      <c r="Q1443">
        <v>9.3152000000000008</v>
      </c>
      <c r="R1443" s="1" t="s">
        <v>4422</v>
      </c>
      <c r="S1443">
        <v>2017</v>
      </c>
      <c r="T1443" s="1" t="s">
        <v>45</v>
      </c>
    </row>
    <row r="1444" spans="1:20" x14ac:dyDescent="0.25">
      <c r="A1444" s="1" t="s">
        <v>3581</v>
      </c>
      <c r="B1444" s="2">
        <v>42625</v>
      </c>
      <c r="C1444" s="2">
        <v>42630</v>
      </c>
      <c r="D1444" s="1" t="s">
        <v>37</v>
      </c>
      <c r="E1444" s="1" t="s">
        <v>778</v>
      </c>
      <c r="F1444" s="1" t="s">
        <v>779</v>
      </c>
      <c r="G1444" s="1" t="s">
        <v>84</v>
      </c>
      <c r="H1444" s="1" t="s">
        <v>869</v>
      </c>
      <c r="I1444" s="1" t="s">
        <v>707</v>
      </c>
      <c r="J1444" s="1" t="s">
        <v>27</v>
      </c>
      <c r="K1444" s="1" t="s">
        <v>3582</v>
      </c>
      <c r="L1444" s="1" t="s">
        <v>29</v>
      </c>
      <c r="M1444" s="1" t="s">
        <v>34</v>
      </c>
      <c r="N1444" s="1" t="s">
        <v>3583</v>
      </c>
      <c r="O1444">
        <v>1059.1199999999999</v>
      </c>
      <c r="P1444">
        <v>4</v>
      </c>
      <c r="Q1444">
        <v>307.14479999999998</v>
      </c>
      <c r="R1444" s="1" t="s">
        <v>4422</v>
      </c>
      <c r="S1444">
        <v>2016</v>
      </c>
      <c r="T1444" s="1" t="s">
        <v>72</v>
      </c>
    </row>
    <row r="1445" spans="1:20" x14ac:dyDescent="0.25">
      <c r="A1445" s="1" t="s">
        <v>3584</v>
      </c>
      <c r="B1445" s="2">
        <v>41826</v>
      </c>
      <c r="C1445" s="2">
        <v>41832</v>
      </c>
      <c r="D1445" s="1" t="s">
        <v>37</v>
      </c>
      <c r="E1445" s="1" t="s">
        <v>1811</v>
      </c>
      <c r="F1445" s="1" t="s">
        <v>1812</v>
      </c>
      <c r="G1445" s="1" t="s">
        <v>94</v>
      </c>
      <c r="H1445" s="1" t="s">
        <v>3585</v>
      </c>
      <c r="I1445" s="1" t="s">
        <v>50</v>
      </c>
      <c r="J1445" s="1" t="s">
        <v>51</v>
      </c>
      <c r="K1445" s="1" t="s">
        <v>1576</v>
      </c>
      <c r="L1445" s="1" t="s">
        <v>29</v>
      </c>
      <c r="M1445" s="1" t="s">
        <v>34</v>
      </c>
      <c r="N1445" s="1" t="s">
        <v>1577</v>
      </c>
      <c r="O1445">
        <v>478.48</v>
      </c>
      <c r="P1445">
        <v>2</v>
      </c>
      <c r="Q1445">
        <v>47.847999999999999</v>
      </c>
      <c r="R1445" s="1" t="s">
        <v>4426</v>
      </c>
      <c r="S1445">
        <v>2014</v>
      </c>
      <c r="T1445" s="1" t="s">
        <v>66</v>
      </c>
    </row>
    <row r="1446" spans="1:20" x14ac:dyDescent="0.25">
      <c r="A1446" s="1" t="s">
        <v>3586</v>
      </c>
      <c r="B1446" s="2">
        <v>41749</v>
      </c>
      <c r="C1446" s="2">
        <v>41754</v>
      </c>
      <c r="D1446" s="1" t="s">
        <v>37</v>
      </c>
      <c r="E1446" s="1" t="s">
        <v>1555</v>
      </c>
      <c r="F1446" s="1" t="s">
        <v>1556</v>
      </c>
      <c r="G1446" s="1" t="s">
        <v>24</v>
      </c>
      <c r="H1446" s="1" t="s">
        <v>49</v>
      </c>
      <c r="I1446" s="1" t="s">
        <v>50</v>
      </c>
      <c r="J1446" s="1" t="s">
        <v>51</v>
      </c>
      <c r="K1446" s="1" t="s">
        <v>2120</v>
      </c>
      <c r="L1446" s="1" t="s">
        <v>29</v>
      </c>
      <c r="M1446" s="1" t="s">
        <v>53</v>
      </c>
      <c r="N1446" s="1" t="s">
        <v>2121</v>
      </c>
      <c r="O1446">
        <v>59.92</v>
      </c>
      <c r="P1446">
        <v>4</v>
      </c>
      <c r="Q1446">
        <v>27.563199999999998</v>
      </c>
      <c r="R1446" s="1" t="s">
        <v>4422</v>
      </c>
      <c r="S1446">
        <v>2014</v>
      </c>
      <c r="T1446" s="1" t="s">
        <v>107</v>
      </c>
    </row>
    <row r="1447" spans="1:20" x14ac:dyDescent="0.25">
      <c r="A1447" s="1" t="s">
        <v>3587</v>
      </c>
      <c r="B1447" s="2">
        <v>42377</v>
      </c>
      <c r="C1447" s="2">
        <v>42381</v>
      </c>
      <c r="D1447" s="1" t="s">
        <v>37</v>
      </c>
      <c r="E1447" s="1" t="s">
        <v>2687</v>
      </c>
      <c r="F1447" s="1" t="s">
        <v>2688</v>
      </c>
      <c r="G1447" s="1" t="s">
        <v>84</v>
      </c>
      <c r="H1447" s="1" t="s">
        <v>229</v>
      </c>
      <c r="I1447" s="1" t="s">
        <v>230</v>
      </c>
      <c r="J1447" s="1" t="s">
        <v>87</v>
      </c>
      <c r="K1447" s="1" t="s">
        <v>96</v>
      </c>
      <c r="L1447" s="1" t="s">
        <v>29</v>
      </c>
      <c r="M1447" s="1" t="s">
        <v>30</v>
      </c>
      <c r="N1447" s="1" t="s">
        <v>97</v>
      </c>
      <c r="O1447">
        <v>1565.88</v>
      </c>
      <c r="P1447">
        <v>6</v>
      </c>
      <c r="Q1447">
        <v>407.12880000000001</v>
      </c>
      <c r="R1447" s="1" t="s">
        <v>4424</v>
      </c>
      <c r="S1447">
        <v>2016</v>
      </c>
      <c r="T1447" s="1" t="s">
        <v>161</v>
      </c>
    </row>
    <row r="1448" spans="1:20" x14ac:dyDescent="0.25">
      <c r="A1448" s="1" t="s">
        <v>3588</v>
      </c>
      <c r="B1448" s="2">
        <v>42842</v>
      </c>
      <c r="C1448" s="2">
        <v>42847</v>
      </c>
      <c r="D1448" s="1" t="s">
        <v>37</v>
      </c>
      <c r="E1448" s="1" t="s">
        <v>3571</v>
      </c>
      <c r="F1448" s="1" t="s">
        <v>3572</v>
      </c>
      <c r="G1448" s="1" t="s">
        <v>24</v>
      </c>
      <c r="H1448" s="1" t="s">
        <v>49</v>
      </c>
      <c r="I1448" s="1" t="s">
        <v>50</v>
      </c>
      <c r="J1448" s="1" t="s">
        <v>51</v>
      </c>
      <c r="K1448" s="1" t="s">
        <v>1608</v>
      </c>
      <c r="L1448" s="1" t="s">
        <v>29</v>
      </c>
      <c r="M1448" s="1" t="s">
        <v>34</v>
      </c>
      <c r="N1448" s="1" t="s">
        <v>1609</v>
      </c>
      <c r="O1448">
        <v>218.352</v>
      </c>
      <c r="P1448">
        <v>3</v>
      </c>
      <c r="Q1448">
        <v>-19.105799999999999</v>
      </c>
      <c r="R1448" s="1" t="s">
        <v>4422</v>
      </c>
      <c r="S1448">
        <v>2017</v>
      </c>
      <c r="T1448" s="1" t="s">
        <v>107</v>
      </c>
    </row>
    <row r="1449" spans="1:20" x14ac:dyDescent="0.25">
      <c r="A1449" s="1" t="s">
        <v>3589</v>
      </c>
      <c r="B1449" s="2">
        <v>42603</v>
      </c>
      <c r="C1449" s="2">
        <v>42610</v>
      </c>
      <c r="D1449" s="1" t="s">
        <v>37</v>
      </c>
      <c r="E1449" s="1" t="s">
        <v>3590</v>
      </c>
      <c r="F1449" s="1" t="s">
        <v>3591</v>
      </c>
      <c r="G1449" s="1" t="s">
        <v>84</v>
      </c>
      <c r="H1449" s="1" t="s">
        <v>49</v>
      </c>
      <c r="I1449" s="1" t="s">
        <v>50</v>
      </c>
      <c r="J1449" s="1" t="s">
        <v>51</v>
      </c>
      <c r="K1449" s="1" t="s">
        <v>1982</v>
      </c>
      <c r="L1449" s="1" t="s">
        <v>29</v>
      </c>
      <c r="M1449" s="1" t="s">
        <v>43</v>
      </c>
      <c r="N1449" s="1" t="s">
        <v>1983</v>
      </c>
      <c r="O1449">
        <v>2887.056</v>
      </c>
      <c r="P1449">
        <v>9</v>
      </c>
      <c r="Q1449">
        <v>180.441</v>
      </c>
      <c r="R1449" s="1" t="s">
        <v>4421</v>
      </c>
      <c r="S1449">
        <v>2016</v>
      </c>
      <c r="T1449" s="1" t="s">
        <v>245</v>
      </c>
    </row>
    <row r="1450" spans="1:20" x14ac:dyDescent="0.25">
      <c r="A1450" s="1" t="s">
        <v>3592</v>
      </c>
      <c r="B1450" s="2">
        <v>42618</v>
      </c>
      <c r="C1450" s="2">
        <v>42623</v>
      </c>
      <c r="D1450" s="1" t="s">
        <v>37</v>
      </c>
      <c r="E1450" s="1" t="s">
        <v>1406</v>
      </c>
      <c r="F1450" s="1" t="s">
        <v>1407</v>
      </c>
      <c r="G1450" s="1" t="s">
        <v>24</v>
      </c>
      <c r="H1450" s="1" t="s">
        <v>2111</v>
      </c>
      <c r="I1450" s="1" t="s">
        <v>707</v>
      </c>
      <c r="J1450" s="1" t="s">
        <v>27</v>
      </c>
      <c r="K1450" s="1" t="s">
        <v>1714</v>
      </c>
      <c r="L1450" s="1" t="s">
        <v>29</v>
      </c>
      <c r="M1450" s="1" t="s">
        <v>43</v>
      </c>
      <c r="N1450" s="1" t="s">
        <v>1715</v>
      </c>
      <c r="O1450">
        <v>1652.94</v>
      </c>
      <c r="P1450">
        <v>3</v>
      </c>
      <c r="Q1450">
        <v>314.05860000000001</v>
      </c>
      <c r="R1450" s="1" t="s">
        <v>4422</v>
      </c>
      <c r="S1450">
        <v>2016</v>
      </c>
      <c r="T1450" s="1" t="s">
        <v>72</v>
      </c>
    </row>
    <row r="1451" spans="1:20" x14ac:dyDescent="0.25">
      <c r="A1451" s="1" t="s">
        <v>3593</v>
      </c>
      <c r="B1451" s="2">
        <v>42292</v>
      </c>
      <c r="C1451" s="2">
        <v>42292</v>
      </c>
      <c r="D1451" s="1" t="s">
        <v>417</v>
      </c>
      <c r="E1451" s="1" t="s">
        <v>22</v>
      </c>
      <c r="F1451" s="1" t="s">
        <v>23</v>
      </c>
      <c r="G1451" s="1" t="s">
        <v>24</v>
      </c>
      <c r="H1451" s="1" t="s">
        <v>1730</v>
      </c>
      <c r="I1451" s="1" t="s">
        <v>86</v>
      </c>
      <c r="J1451" s="1" t="s">
        <v>87</v>
      </c>
      <c r="K1451" s="1" t="s">
        <v>1076</v>
      </c>
      <c r="L1451" s="1" t="s">
        <v>29</v>
      </c>
      <c r="M1451" s="1" t="s">
        <v>53</v>
      </c>
      <c r="N1451" s="1" t="s">
        <v>1077</v>
      </c>
      <c r="O1451">
        <v>131.376</v>
      </c>
      <c r="P1451">
        <v>6</v>
      </c>
      <c r="Q1451">
        <v>-95.247600000000006</v>
      </c>
      <c r="R1451" s="1" t="s">
        <v>4427</v>
      </c>
      <c r="S1451">
        <v>2015</v>
      </c>
      <c r="T1451" s="1" t="s">
        <v>45</v>
      </c>
    </row>
    <row r="1452" spans="1:20" x14ac:dyDescent="0.25">
      <c r="A1452" s="1" t="s">
        <v>3594</v>
      </c>
      <c r="B1452" s="2">
        <v>42339</v>
      </c>
      <c r="C1452" s="2">
        <v>42343</v>
      </c>
      <c r="D1452" s="1" t="s">
        <v>21</v>
      </c>
      <c r="E1452" s="1" t="s">
        <v>3533</v>
      </c>
      <c r="F1452" s="1" t="s">
        <v>3534</v>
      </c>
      <c r="G1452" s="1" t="s">
        <v>94</v>
      </c>
      <c r="H1452" s="1" t="s">
        <v>183</v>
      </c>
      <c r="I1452" s="1" t="s">
        <v>184</v>
      </c>
      <c r="J1452" s="1" t="s">
        <v>51</v>
      </c>
      <c r="K1452" s="1" t="s">
        <v>550</v>
      </c>
      <c r="L1452" s="1" t="s">
        <v>29</v>
      </c>
      <c r="M1452" s="1" t="s">
        <v>34</v>
      </c>
      <c r="N1452" s="1" t="s">
        <v>551</v>
      </c>
      <c r="O1452">
        <v>2003.92</v>
      </c>
      <c r="P1452">
        <v>5</v>
      </c>
      <c r="Q1452">
        <v>125.245</v>
      </c>
      <c r="R1452" s="1" t="s">
        <v>4424</v>
      </c>
      <c r="S1452">
        <v>2015</v>
      </c>
      <c r="T1452" s="1" t="s">
        <v>90</v>
      </c>
    </row>
    <row r="1453" spans="1:20" x14ac:dyDescent="0.25">
      <c r="A1453" s="1" t="s">
        <v>3594</v>
      </c>
      <c r="B1453" s="2">
        <v>42339</v>
      </c>
      <c r="C1453" s="2">
        <v>42343</v>
      </c>
      <c r="D1453" s="1" t="s">
        <v>21</v>
      </c>
      <c r="E1453" s="1" t="s">
        <v>3533</v>
      </c>
      <c r="F1453" s="1" t="s">
        <v>3534</v>
      </c>
      <c r="G1453" s="1" t="s">
        <v>94</v>
      </c>
      <c r="H1453" s="1" t="s">
        <v>183</v>
      </c>
      <c r="I1453" s="1" t="s">
        <v>184</v>
      </c>
      <c r="J1453" s="1" t="s">
        <v>51</v>
      </c>
      <c r="K1453" s="1" t="s">
        <v>296</v>
      </c>
      <c r="L1453" s="1" t="s">
        <v>29</v>
      </c>
      <c r="M1453" s="1" t="s">
        <v>43</v>
      </c>
      <c r="N1453" s="1" t="s">
        <v>297</v>
      </c>
      <c r="O1453">
        <v>1913.4</v>
      </c>
      <c r="P1453">
        <v>9</v>
      </c>
      <c r="Q1453">
        <v>401.81400000000002</v>
      </c>
      <c r="R1453" s="1" t="s">
        <v>4424</v>
      </c>
      <c r="S1453">
        <v>2015</v>
      </c>
      <c r="T1453" s="1" t="s">
        <v>90</v>
      </c>
    </row>
    <row r="1454" spans="1:20" x14ac:dyDescent="0.25">
      <c r="A1454" s="1" t="s">
        <v>3595</v>
      </c>
      <c r="B1454" s="2">
        <v>42155</v>
      </c>
      <c r="C1454" s="2">
        <v>42159</v>
      </c>
      <c r="D1454" s="1" t="s">
        <v>37</v>
      </c>
      <c r="E1454" s="1" t="s">
        <v>590</v>
      </c>
      <c r="F1454" s="1" t="s">
        <v>591</v>
      </c>
      <c r="G1454" s="1" t="s">
        <v>24</v>
      </c>
      <c r="H1454" s="1" t="s">
        <v>157</v>
      </c>
      <c r="I1454" s="1" t="s">
        <v>158</v>
      </c>
      <c r="J1454" s="1" t="s">
        <v>87</v>
      </c>
      <c r="K1454" s="1" t="s">
        <v>2264</v>
      </c>
      <c r="L1454" s="1" t="s">
        <v>29</v>
      </c>
      <c r="M1454" s="1" t="s">
        <v>34</v>
      </c>
      <c r="N1454" s="1" t="s">
        <v>2265</v>
      </c>
      <c r="O1454">
        <v>2567.84</v>
      </c>
      <c r="P1454">
        <v>8</v>
      </c>
      <c r="Q1454">
        <v>770.35199999999998</v>
      </c>
      <c r="R1454" s="1" t="s">
        <v>4424</v>
      </c>
      <c r="S1454">
        <v>2015</v>
      </c>
      <c r="T1454" s="1" t="s">
        <v>153</v>
      </c>
    </row>
    <row r="1455" spans="1:20" x14ac:dyDescent="0.25">
      <c r="A1455" s="1" t="s">
        <v>3596</v>
      </c>
      <c r="B1455" s="2">
        <v>42996</v>
      </c>
      <c r="C1455" s="2">
        <v>43000</v>
      </c>
      <c r="D1455" s="1" t="s">
        <v>37</v>
      </c>
      <c r="E1455" s="1" t="s">
        <v>2078</v>
      </c>
      <c r="F1455" s="1" t="s">
        <v>2079</v>
      </c>
      <c r="G1455" s="1" t="s">
        <v>84</v>
      </c>
      <c r="H1455" s="1" t="s">
        <v>339</v>
      </c>
      <c r="I1455" s="1" t="s">
        <v>658</v>
      </c>
      <c r="J1455" s="1" t="s">
        <v>27</v>
      </c>
      <c r="K1455" s="1" t="s">
        <v>2381</v>
      </c>
      <c r="L1455" s="1" t="s">
        <v>29</v>
      </c>
      <c r="M1455" s="1" t="s">
        <v>53</v>
      </c>
      <c r="N1455" s="1" t="s">
        <v>2382</v>
      </c>
      <c r="O1455">
        <v>20.32</v>
      </c>
      <c r="P1455">
        <v>4</v>
      </c>
      <c r="Q1455">
        <v>6.9088000000000003</v>
      </c>
      <c r="R1455" s="1" t="s">
        <v>4424</v>
      </c>
      <c r="S1455">
        <v>2017</v>
      </c>
      <c r="T1455" s="1" t="s">
        <v>72</v>
      </c>
    </row>
    <row r="1456" spans="1:20" x14ac:dyDescent="0.25">
      <c r="A1456" s="1" t="s">
        <v>3597</v>
      </c>
      <c r="B1456" s="2">
        <v>42148</v>
      </c>
      <c r="C1456" s="2">
        <v>42150</v>
      </c>
      <c r="D1456" s="1" t="s">
        <v>21</v>
      </c>
      <c r="E1456" s="1" t="s">
        <v>2835</v>
      </c>
      <c r="F1456" s="1" t="s">
        <v>2836</v>
      </c>
      <c r="G1456" s="1" t="s">
        <v>24</v>
      </c>
      <c r="H1456" s="1" t="s">
        <v>3598</v>
      </c>
      <c r="I1456" s="1" t="s">
        <v>126</v>
      </c>
      <c r="J1456" s="1" t="s">
        <v>87</v>
      </c>
      <c r="K1456" s="1" t="s">
        <v>1019</v>
      </c>
      <c r="L1456" s="1" t="s">
        <v>29</v>
      </c>
      <c r="M1456" s="1" t="s">
        <v>34</v>
      </c>
      <c r="N1456" s="1" t="s">
        <v>1020</v>
      </c>
      <c r="O1456">
        <v>602.65099999999995</v>
      </c>
      <c r="P1456">
        <v>7</v>
      </c>
      <c r="Q1456">
        <v>-163.57669999999999</v>
      </c>
      <c r="R1456" s="1" t="s">
        <v>4423</v>
      </c>
      <c r="S1456">
        <v>2015</v>
      </c>
      <c r="T1456" s="1" t="s">
        <v>153</v>
      </c>
    </row>
    <row r="1457" spans="1:20" x14ac:dyDescent="0.25">
      <c r="A1457" s="1" t="s">
        <v>3599</v>
      </c>
      <c r="B1457" s="2">
        <v>43079</v>
      </c>
      <c r="C1457" s="2">
        <v>43084</v>
      </c>
      <c r="D1457" s="1" t="s">
        <v>37</v>
      </c>
      <c r="E1457" s="1" t="s">
        <v>227</v>
      </c>
      <c r="F1457" s="1" t="s">
        <v>228</v>
      </c>
      <c r="G1457" s="1" t="s">
        <v>84</v>
      </c>
      <c r="H1457" s="1" t="s">
        <v>3600</v>
      </c>
      <c r="I1457" s="1" t="s">
        <v>150</v>
      </c>
      <c r="J1457" s="1" t="s">
        <v>27</v>
      </c>
      <c r="K1457" s="1" t="s">
        <v>1709</v>
      </c>
      <c r="L1457" s="1" t="s">
        <v>29</v>
      </c>
      <c r="M1457" s="1" t="s">
        <v>53</v>
      </c>
      <c r="N1457" s="1" t="s">
        <v>1710</v>
      </c>
      <c r="O1457">
        <v>14.76</v>
      </c>
      <c r="P1457">
        <v>2</v>
      </c>
      <c r="Q1457">
        <v>4.2804000000000002</v>
      </c>
      <c r="R1457" s="1" t="s">
        <v>4422</v>
      </c>
      <c r="S1457">
        <v>2017</v>
      </c>
      <c r="T1457" s="1" t="s">
        <v>90</v>
      </c>
    </row>
    <row r="1458" spans="1:20" x14ac:dyDescent="0.25">
      <c r="A1458" s="1" t="s">
        <v>3601</v>
      </c>
      <c r="B1458" s="2">
        <v>42945</v>
      </c>
      <c r="C1458" s="2">
        <v>42949</v>
      </c>
      <c r="D1458" s="1" t="s">
        <v>37</v>
      </c>
      <c r="E1458" s="1" t="s">
        <v>956</v>
      </c>
      <c r="F1458" s="1" t="s">
        <v>957</v>
      </c>
      <c r="G1458" s="1" t="s">
        <v>24</v>
      </c>
      <c r="H1458" s="1" t="s">
        <v>183</v>
      </c>
      <c r="I1458" s="1" t="s">
        <v>184</v>
      </c>
      <c r="J1458" s="1" t="s">
        <v>51</v>
      </c>
      <c r="K1458" s="1" t="s">
        <v>340</v>
      </c>
      <c r="L1458" s="1" t="s">
        <v>29</v>
      </c>
      <c r="M1458" s="1" t="s">
        <v>30</v>
      </c>
      <c r="N1458" s="1" t="s">
        <v>341</v>
      </c>
      <c r="O1458">
        <v>115.96</v>
      </c>
      <c r="P1458">
        <v>2</v>
      </c>
      <c r="Q1458">
        <v>25.511199999999999</v>
      </c>
      <c r="R1458" s="1" t="s">
        <v>4424</v>
      </c>
      <c r="S1458">
        <v>2017</v>
      </c>
      <c r="T1458" s="1" t="s">
        <v>66</v>
      </c>
    </row>
    <row r="1459" spans="1:20" x14ac:dyDescent="0.25">
      <c r="A1459" s="1" t="s">
        <v>3602</v>
      </c>
      <c r="B1459" s="2">
        <v>41989</v>
      </c>
      <c r="C1459" s="2">
        <v>41994</v>
      </c>
      <c r="D1459" s="1" t="s">
        <v>37</v>
      </c>
      <c r="E1459" s="1" t="s">
        <v>2757</v>
      </c>
      <c r="F1459" s="1" t="s">
        <v>2758</v>
      </c>
      <c r="G1459" s="1" t="s">
        <v>84</v>
      </c>
      <c r="H1459" s="1" t="s">
        <v>1840</v>
      </c>
      <c r="I1459" s="1" t="s">
        <v>50</v>
      </c>
      <c r="J1459" s="1" t="s">
        <v>51</v>
      </c>
      <c r="K1459" s="1" t="s">
        <v>1477</v>
      </c>
      <c r="L1459" s="1" t="s">
        <v>29</v>
      </c>
      <c r="M1459" s="1" t="s">
        <v>34</v>
      </c>
      <c r="N1459" s="1" t="s">
        <v>1478</v>
      </c>
      <c r="O1459">
        <v>1403.92</v>
      </c>
      <c r="P1459">
        <v>5</v>
      </c>
      <c r="Q1459">
        <v>70.195999999999998</v>
      </c>
      <c r="R1459" s="1" t="s">
        <v>4422</v>
      </c>
      <c r="S1459">
        <v>2014</v>
      </c>
      <c r="T1459" s="1" t="s">
        <v>90</v>
      </c>
    </row>
    <row r="1460" spans="1:20" x14ac:dyDescent="0.25">
      <c r="A1460" s="1" t="s">
        <v>3603</v>
      </c>
      <c r="B1460" s="2">
        <v>42338</v>
      </c>
      <c r="C1460" s="2">
        <v>42342</v>
      </c>
      <c r="D1460" s="1" t="s">
        <v>37</v>
      </c>
      <c r="E1460" s="1" t="s">
        <v>1497</v>
      </c>
      <c r="F1460" s="1" t="s">
        <v>1498</v>
      </c>
      <c r="G1460" s="1" t="s">
        <v>24</v>
      </c>
      <c r="H1460" s="1" t="s">
        <v>165</v>
      </c>
      <c r="I1460" s="1" t="s">
        <v>114</v>
      </c>
      <c r="J1460" s="1" t="s">
        <v>63</v>
      </c>
      <c r="K1460" s="1" t="s">
        <v>2470</v>
      </c>
      <c r="L1460" s="1" t="s">
        <v>29</v>
      </c>
      <c r="M1460" s="1" t="s">
        <v>30</v>
      </c>
      <c r="N1460" s="1" t="s">
        <v>2471</v>
      </c>
      <c r="O1460">
        <v>681.40800000000002</v>
      </c>
      <c r="P1460">
        <v>12</v>
      </c>
      <c r="Q1460">
        <v>42.588000000000001</v>
      </c>
      <c r="R1460" s="1" t="s">
        <v>4424</v>
      </c>
      <c r="S1460">
        <v>2015</v>
      </c>
      <c r="T1460" s="1" t="s">
        <v>32</v>
      </c>
    </row>
    <row r="1461" spans="1:20" x14ac:dyDescent="0.25">
      <c r="A1461" s="1" t="s">
        <v>3604</v>
      </c>
      <c r="B1461" s="2">
        <v>41834</v>
      </c>
      <c r="C1461" s="2">
        <v>41838</v>
      </c>
      <c r="D1461" s="1" t="s">
        <v>37</v>
      </c>
      <c r="E1461" s="1" t="s">
        <v>3605</v>
      </c>
      <c r="F1461" s="1" t="s">
        <v>3606</v>
      </c>
      <c r="G1461" s="1" t="s">
        <v>24</v>
      </c>
      <c r="H1461" s="1" t="s">
        <v>61</v>
      </c>
      <c r="I1461" s="1" t="s">
        <v>62</v>
      </c>
      <c r="J1461" s="1" t="s">
        <v>63</v>
      </c>
      <c r="K1461" s="1" t="s">
        <v>3573</v>
      </c>
      <c r="L1461" s="1" t="s">
        <v>29</v>
      </c>
      <c r="M1461" s="1" t="s">
        <v>53</v>
      </c>
      <c r="N1461" s="1" t="s">
        <v>3574</v>
      </c>
      <c r="O1461">
        <v>31.984000000000002</v>
      </c>
      <c r="P1461">
        <v>2</v>
      </c>
      <c r="Q1461">
        <v>1.1994</v>
      </c>
      <c r="R1461" s="1" t="s">
        <v>4424</v>
      </c>
      <c r="S1461">
        <v>2014</v>
      </c>
      <c r="T1461" s="1" t="s">
        <v>66</v>
      </c>
    </row>
    <row r="1462" spans="1:20" x14ac:dyDescent="0.25">
      <c r="A1462" s="1" t="s">
        <v>3607</v>
      </c>
      <c r="B1462" s="2">
        <v>42615</v>
      </c>
      <c r="C1462" s="2">
        <v>42617</v>
      </c>
      <c r="D1462" s="1" t="s">
        <v>81</v>
      </c>
      <c r="E1462" s="1" t="s">
        <v>3151</v>
      </c>
      <c r="F1462" s="1" t="s">
        <v>3152</v>
      </c>
      <c r="G1462" s="1" t="s">
        <v>94</v>
      </c>
      <c r="H1462" s="1" t="s">
        <v>125</v>
      </c>
      <c r="I1462" s="1" t="s">
        <v>126</v>
      </c>
      <c r="J1462" s="1" t="s">
        <v>87</v>
      </c>
      <c r="K1462" s="1" t="s">
        <v>3608</v>
      </c>
      <c r="L1462" s="1" t="s">
        <v>29</v>
      </c>
      <c r="M1462" s="1" t="s">
        <v>53</v>
      </c>
      <c r="N1462" s="1" t="s">
        <v>3609</v>
      </c>
      <c r="O1462">
        <v>84.272000000000006</v>
      </c>
      <c r="P1462">
        <v>2</v>
      </c>
      <c r="Q1462">
        <v>-75.844800000000006</v>
      </c>
      <c r="R1462" s="1" t="s">
        <v>4423</v>
      </c>
      <c r="S1462">
        <v>2016</v>
      </c>
      <c r="T1462" s="1" t="s">
        <v>72</v>
      </c>
    </row>
    <row r="1463" spans="1:20" x14ac:dyDescent="0.25">
      <c r="A1463" s="1" t="s">
        <v>3610</v>
      </c>
      <c r="B1463" s="2">
        <v>42643</v>
      </c>
      <c r="C1463" s="2">
        <v>42647</v>
      </c>
      <c r="D1463" s="1" t="s">
        <v>37</v>
      </c>
      <c r="E1463" s="1" t="s">
        <v>1117</v>
      </c>
      <c r="F1463" s="1" t="s">
        <v>1118</v>
      </c>
      <c r="G1463" s="1" t="s">
        <v>24</v>
      </c>
      <c r="H1463" s="1" t="s">
        <v>165</v>
      </c>
      <c r="I1463" s="1" t="s">
        <v>114</v>
      </c>
      <c r="J1463" s="1" t="s">
        <v>63</v>
      </c>
      <c r="K1463" s="1" t="s">
        <v>1627</v>
      </c>
      <c r="L1463" s="1" t="s">
        <v>29</v>
      </c>
      <c r="M1463" s="1" t="s">
        <v>30</v>
      </c>
      <c r="N1463" s="1" t="s">
        <v>1628</v>
      </c>
      <c r="O1463">
        <v>523.91999999999996</v>
      </c>
      <c r="P1463">
        <v>5</v>
      </c>
      <c r="Q1463">
        <v>-26.196000000000002</v>
      </c>
      <c r="R1463" s="1" t="s">
        <v>4424</v>
      </c>
      <c r="S1463">
        <v>2016</v>
      </c>
      <c r="T1463" s="1" t="s">
        <v>72</v>
      </c>
    </row>
    <row r="1464" spans="1:20" x14ac:dyDescent="0.25">
      <c r="A1464" s="1" t="s">
        <v>3611</v>
      </c>
      <c r="B1464" s="2">
        <v>42119</v>
      </c>
      <c r="C1464" s="2">
        <v>42123</v>
      </c>
      <c r="D1464" s="1" t="s">
        <v>37</v>
      </c>
      <c r="E1464" s="1" t="s">
        <v>834</v>
      </c>
      <c r="F1464" s="1" t="s">
        <v>835</v>
      </c>
      <c r="G1464" s="1" t="s">
        <v>24</v>
      </c>
      <c r="H1464" s="1" t="s">
        <v>171</v>
      </c>
      <c r="I1464" s="1" t="s">
        <v>126</v>
      </c>
      <c r="J1464" s="1" t="s">
        <v>87</v>
      </c>
      <c r="K1464" s="1" t="s">
        <v>2419</v>
      </c>
      <c r="L1464" s="1" t="s">
        <v>29</v>
      </c>
      <c r="M1464" s="1" t="s">
        <v>34</v>
      </c>
      <c r="N1464" s="1" t="s">
        <v>2420</v>
      </c>
      <c r="O1464">
        <v>128.05799999999999</v>
      </c>
      <c r="P1464">
        <v>3</v>
      </c>
      <c r="Q1464">
        <v>-23.7822</v>
      </c>
      <c r="R1464" s="1" t="s">
        <v>4424</v>
      </c>
      <c r="S1464">
        <v>2015</v>
      </c>
      <c r="T1464" s="1" t="s">
        <v>107</v>
      </c>
    </row>
    <row r="1465" spans="1:20" x14ac:dyDescent="0.25">
      <c r="A1465" s="1" t="s">
        <v>3612</v>
      </c>
      <c r="B1465" s="2">
        <v>43058</v>
      </c>
      <c r="C1465" s="2">
        <v>43058</v>
      </c>
      <c r="D1465" s="1" t="s">
        <v>417</v>
      </c>
      <c r="E1465" s="1" t="s">
        <v>1941</v>
      </c>
      <c r="F1465" s="1" t="s">
        <v>1942</v>
      </c>
      <c r="G1465" s="1" t="s">
        <v>94</v>
      </c>
      <c r="H1465" s="1" t="s">
        <v>165</v>
      </c>
      <c r="I1465" s="1" t="s">
        <v>114</v>
      </c>
      <c r="J1465" s="1" t="s">
        <v>63</v>
      </c>
      <c r="K1465" s="1" t="s">
        <v>1240</v>
      </c>
      <c r="L1465" s="1" t="s">
        <v>29</v>
      </c>
      <c r="M1465" s="1" t="s">
        <v>43</v>
      </c>
      <c r="N1465" s="1" t="s">
        <v>1241</v>
      </c>
      <c r="O1465">
        <v>79.974000000000004</v>
      </c>
      <c r="P1465">
        <v>3</v>
      </c>
      <c r="Q1465">
        <v>-29.323799999999999</v>
      </c>
      <c r="R1465" s="1" t="s">
        <v>4427</v>
      </c>
      <c r="S1465">
        <v>2017</v>
      </c>
      <c r="T1465" s="1" t="s">
        <v>32</v>
      </c>
    </row>
    <row r="1466" spans="1:20" x14ac:dyDescent="0.25">
      <c r="A1466" s="1" t="s">
        <v>3613</v>
      </c>
      <c r="B1466" s="2">
        <v>42565</v>
      </c>
      <c r="C1466" s="2">
        <v>42570</v>
      </c>
      <c r="D1466" s="1" t="s">
        <v>37</v>
      </c>
      <c r="E1466" s="1" t="s">
        <v>3614</v>
      </c>
      <c r="F1466" s="1" t="s">
        <v>3615</v>
      </c>
      <c r="G1466" s="1" t="s">
        <v>24</v>
      </c>
      <c r="H1466" s="1" t="s">
        <v>339</v>
      </c>
      <c r="I1466" s="1" t="s">
        <v>658</v>
      </c>
      <c r="J1466" s="1" t="s">
        <v>27</v>
      </c>
      <c r="K1466" s="1" t="s">
        <v>78</v>
      </c>
      <c r="L1466" s="1" t="s">
        <v>29</v>
      </c>
      <c r="M1466" s="1" t="s">
        <v>53</v>
      </c>
      <c r="N1466" s="1" t="s">
        <v>79</v>
      </c>
      <c r="O1466">
        <v>51.75</v>
      </c>
      <c r="P1466">
        <v>1</v>
      </c>
      <c r="Q1466">
        <v>15.525</v>
      </c>
      <c r="R1466" s="1" t="s">
        <v>4422</v>
      </c>
      <c r="S1466">
        <v>2016</v>
      </c>
      <c r="T1466" s="1" t="s">
        <v>66</v>
      </c>
    </row>
    <row r="1467" spans="1:20" x14ac:dyDescent="0.25">
      <c r="A1467" s="1" t="s">
        <v>3616</v>
      </c>
      <c r="B1467" s="2">
        <v>42379</v>
      </c>
      <c r="C1467" s="2">
        <v>42382</v>
      </c>
      <c r="D1467" s="1" t="s">
        <v>21</v>
      </c>
      <c r="E1467" s="1" t="s">
        <v>2238</v>
      </c>
      <c r="F1467" s="1" t="s">
        <v>2239</v>
      </c>
      <c r="G1467" s="1" t="s">
        <v>24</v>
      </c>
      <c r="H1467" s="1" t="s">
        <v>3617</v>
      </c>
      <c r="I1467" s="1" t="s">
        <v>184</v>
      </c>
      <c r="J1467" s="1" t="s">
        <v>51</v>
      </c>
      <c r="K1467" s="1" t="s">
        <v>641</v>
      </c>
      <c r="L1467" s="1" t="s">
        <v>29</v>
      </c>
      <c r="M1467" s="1" t="s">
        <v>53</v>
      </c>
      <c r="N1467" s="1" t="s">
        <v>642</v>
      </c>
      <c r="O1467">
        <v>24.85</v>
      </c>
      <c r="P1467">
        <v>5</v>
      </c>
      <c r="Q1467">
        <v>7.7035</v>
      </c>
      <c r="R1467" s="1" t="s">
        <v>4420</v>
      </c>
      <c r="S1467">
        <v>2016</v>
      </c>
      <c r="T1467" s="1" t="s">
        <v>161</v>
      </c>
    </row>
    <row r="1468" spans="1:20" x14ac:dyDescent="0.25">
      <c r="A1468" s="1" t="s">
        <v>3618</v>
      </c>
      <c r="B1468" s="2">
        <v>42183</v>
      </c>
      <c r="C1468" s="2">
        <v>42187</v>
      </c>
      <c r="D1468" s="1" t="s">
        <v>37</v>
      </c>
      <c r="E1468" s="1" t="s">
        <v>3619</v>
      </c>
      <c r="F1468" s="1" t="s">
        <v>3620</v>
      </c>
      <c r="G1468" s="1" t="s">
        <v>84</v>
      </c>
      <c r="H1468" s="1" t="s">
        <v>2024</v>
      </c>
      <c r="I1468" s="1" t="s">
        <v>511</v>
      </c>
      <c r="J1468" s="1" t="s">
        <v>51</v>
      </c>
      <c r="K1468" s="1" t="s">
        <v>781</v>
      </c>
      <c r="L1468" s="1" t="s">
        <v>29</v>
      </c>
      <c r="M1468" s="1" t="s">
        <v>53</v>
      </c>
      <c r="N1468" s="1" t="s">
        <v>782</v>
      </c>
      <c r="O1468">
        <v>621.76</v>
      </c>
      <c r="P1468">
        <v>4</v>
      </c>
      <c r="Q1468">
        <v>46.631999999999998</v>
      </c>
      <c r="R1468" s="1" t="s">
        <v>4424</v>
      </c>
      <c r="S1468">
        <v>2015</v>
      </c>
      <c r="T1468" s="1" t="s">
        <v>55</v>
      </c>
    </row>
    <row r="1469" spans="1:20" x14ac:dyDescent="0.25">
      <c r="A1469" s="1" t="s">
        <v>3621</v>
      </c>
      <c r="B1469" s="2">
        <v>42316</v>
      </c>
      <c r="C1469" s="2">
        <v>42321</v>
      </c>
      <c r="D1469" s="1" t="s">
        <v>21</v>
      </c>
      <c r="E1469" s="1" t="s">
        <v>2458</v>
      </c>
      <c r="F1469" s="1" t="s">
        <v>2459</v>
      </c>
      <c r="G1469" s="1" t="s">
        <v>24</v>
      </c>
      <c r="H1469" s="1" t="s">
        <v>2841</v>
      </c>
      <c r="I1469" s="1" t="s">
        <v>707</v>
      </c>
      <c r="J1469" s="1" t="s">
        <v>27</v>
      </c>
      <c r="K1469" s="1" t="s">
        <v>1787</v>
      </c>
      <c r="L1469" s="1" t="s">
        <v>29</v>
      </c>
      <c r="M1469" s="1" t="s">
        <v>53</v>
      </c>
      <c r="N1469" s="1" t="s">
        <v>1788</v>
      </c>
      <c r="O1469">
        <v>186.54</v>
      </c>
      <c r="P1469">
        <v>3</v>
      </c>
      <c r="Q1469">
        <v>41.038800000000002</v>
      </c>
      <c r="R1469" s="1" t="s">
        <v>4422</v>
      </c>
      <c r="S1469">
        <v>2015</v>
      </c>
      <c r="T1469" s="1" t="s">
        <v>32</v>
      </c>
    </row>
    <row r="1470" spans="1:20" x14ac:dyDescent="0.25">
      <c r="A1470" s="1" t="s">
        <v>3622</v>
      </c>
      <c r="B1470" s="2">
        <v>42093</v>
      </c>
      <c r="C1470" s="2">
        <v>42097</v>
      </c>
      <c r="D1470" s="1" t="s">
        <v>37</v>
      </c>
      <c r="E1470" s="1" t="s">
        <v>2104</v>
      </c>
      <c r="F1470" s="1" t="s">
        <v>2105</v>
      </c>
      <c r="G1470" s="1" t="s">
        <v>94</v>
      </c>
      <c r="H1470" s="1" t="s">
        <v>3623</v>
      </c>
      <c r="I1470" s="1" t="s">
        <v>126</v>
      </c>
      <c r="J1470" s="1" t="s">
        <v>87</v>
      </c>
      <c r="K1470" s="1" t="s">
        <v>2569</v>
      </c>
      <c r="L1470" s="1" t="s">
        <v>29</v>
      </c>
      <c r="M1470" s="1" t="s">
        <v>34</v>
      </c>
      <c r="N1470" s="1" t="s">
        <v>2570</v>
      </c>
      <c r="O1470">
        <v>366.74400000000003</v>
      </c>
      <c r="P1470">
        <v>4</v>
      </c>
      <c r="Q1470">
        <v>-110.0232</v>
      </c>
      <c r="R1470" s="1" t="s">
        <v>4424</v>
      </c>
      <c r="S1470">
        <v>2015</v>
      </c>
      <c r="T1470" s="1" t="s">
        <v>187</v>
      </c>
    </row>
    <row r="1471" spans="1:20" x14ac:dyDescent="0.25">
      <c r="A1471" s="1" t="s">
        <v>3624</v>
      </c>
      <c r="B1471" s="2">
        <v>41870</v>
      </c>
      <c r="C1471" s="2">
        <v>41872</v>
      </c>
      <c r="D1471" s="1" t="s">
        <v>21</v>
      </c>
      <c r="E1471" s="1" t="s">
        <v>2347</v>
      </c>
      <c r="F1471" s="1" t="s">
        <v>2348</v>
      </c>
      <c r="G1471" s="1" t="s">
        <v>84</v>
      </c>
      <c r="H1471" s="1" t="s">
        <v>49</v>
      </c>
      <c r="I1471" s="1" t="s">
        <v>50</v>
      </c>
      <c r="J1471" s="1" t="s">
        <v>51</v>
      </c>
      <c r="K1471" s="1" t="s">
        <v>587</v>
      </c>
      <c r="L1471" s="1" t="s">
        <v>29</v>
      </c>
      <c r="M1471" s="1" t="s">
        <v>53</v>
      </c>
      <c r="N1471" s="1" t="s">
        <v>588</v>
      </c>
      <c r="O1471">
        <v>289.24</v>
      </c>
      <c r="P1471">
        <v>7</v>
      </c>
      <c r="Q1471">
        <v>26.031600000000001</v>
      </c>
      <c r="R1471" s="1" t="s">
        <v>4423</v>
      </c>
      <c r="S1471">
        <v>2014</v>
      </c>
      <c r="T1471" s="1" t="s">
        <v>245</v>
      </c>
    </row>
    <row r="1472" spans="1:20" x14ac:dyDescent="0.25">
      <c r="A1472" s="1" t="s">
        <v>3625</v>
      </c>
      <c r="B1472" s="2">
        <v>42309</v>
      </c>
      <c r="C1472" s="2">
        <v>42313</v>
      </c>
      <c r="D1472" s="1" t="s">
        <v>37</v>
      </c>
      <c r="E1472" s="1" t="s">
        <v>2864</v>
      </c>
      <c r="F1472" s="1" t="s">
        <v>2865</v>
      </c>
      <c r="G1472" s="1" t="s">
        <v>24</v>
      </c>
      <c r="H1472" s="1" t="s">
        <v>165</v>
      </c>
      <c r="I1472" s="1" t="s">
        <v>114</v>
      </c>
      <c r="J1472" s="1" t="s">
        <v>63</v>
      </c>
      <c r="K1472" s="1" t="s">
        <v>3207</v>
      </c>
      <c r="L1472" s="1" t="s">
        <v>29</v>
      </c>
      <c r="M1472" s="1" t="s">
        <v>34</v>
      </c>
      <c r="N1472" s="1" t="s">
        <v>3208</v>
      </c>
      <c r="O1472">
        <v>205.16399999999999</v>
      </c>
      <c r="P1472">
        <v>2</v>
      </c>
      <c r="Q1472">
        <v>13.6776</v>
      </c>
      <c r="R1472" s="1" t="s">
        <v>4424</v>
      </c>
      <c r="S1472">
        <v>2015</v>
      </c>
      <c r="T1472" s="1" t="s">
        <v>32</v>
      </c>
    </row>
    <row r="1473" spans="1:20" x14ac:dyDescent="0.25">
      <c r="A1473" s="1" t="s">
        <v>3626</v>
      </c>
      <c r="B1473" s="2">
        <v>41988</v>
      </c>
      <c r="C1473" s="2">
        <v>41994</v>
      </c>
      <c r="D1473" s="1" t="s">
        <v>37</v>
      </c>
      <c r="E1473" s="1" t="s">
        <v>2608</v>
      </c>
      <c r="F1473" s="1" t="s">
        <v>2609</v>
      </c>
      <c r="G1473" s="1" t="s">
        <v>84</v>
      </c>
      <c r="H1473" s="1" t="s">
        <v>125</v>
      </c>
      <c r="I1473" s="1" t="s">
        <v>126</v>
      </c>
      <c r="J1473" s="1" t="s">
        <v>87</v>
      </c>
      <c r="K1473" s="1" t="s">
        <v>2131</v>
      </c>
      <c r="L1473" s="1" t="s">
        <v>29</v>
      </c>
      <c r="M1473" s="1" t="s">
        <v>53</v>
      </c>
      <c r="N1473" s="1" t="s">
        <v>2132</v>
      </c>
      <c r="O1473">
        <v>8.5440000000000005</v>
      </c>
      <c r="P1473">
        <v>2</v>
      </c>
      <c r="Q1473">
        <v>-7.476</v>
      </c>
      <c r="R1473" s="1" t="s">
        <v>4426</v>
      </c>
      <c r="S1473">
        <v>2014</v>
      </c>
      <c r="T1473" s="1" t="s">
        <v>90</v>
      </c>
    </row>
    <row r="1474" spans="1:20" x14ac:dyDescent="0.25">
      <c r="A1474" s="1" t="s">
        <v>3627</v>
      </c>
      <c r="B1474" s="2">
        <v>42237</v>
      </c>
      <c r="C1474" s="2">
        <v>42241</v>
      </c>
      <c r="D1474" s="1" t="s">
        <v>37</v>
      </c>
      <c r="E1474" s="1" t="s">
        <v>3479</v>
      </c>
      <c r="F1474" s="1" t="s">
        <v>3480</v>
      </c>
      <c r="G1474" s="1" t="s">
        <v>84</v>
      </c>
      <c r="H1474" s="1" t="s">
        <v>869</v>
      </c>
      <c r="I1474" s="1" t="s">
        <v>223</v>
      </c>
      <c r="J1474" s="1" t="s">
        <v>63</v>
      </c>
      <c r="K1474" s="1" t="s">
        <v>566</v>
      </c>
      <c r="L1474" s="1" t="s">
        <v>29</v>
      </c>
      <c r="M1474" s="1" t="s">
        <v>34</v>
      </c>
      <c r="N1474" s="1" t="s">
        <v>567</v>
      </c>
      <c r="O1474">
        <v>598.45799999999997</v>
      </c>
      <c r="P1474">
        <v>3</v>
      </c>
      <c r="Q1474">
        <v>-42.747</v>
      </c>
      <c r="R1474" s="1" t="s">
        <v>4424</v>
      </c>
      <c r="S1474">
        <v>2015</v>
      </c>
      <c r="T1474" s="1" t="s">
        <v>245</v>
      </c>
    </row>
    <row r="1475" spans="1:20" x14ac:dyDescent="0.25">
      <c r="A1475" s="1" t="s">
        <v>3627</v>
      </c>
      <c r="B1475" s="2">
        <v>42237</v>
      </c>
      <c r="C1475" s="2">
        <v>42241</v>
      </c>
      <c r="D1475" s="1" t="s">
        <v>37</v>
      </c>
      <c r="E1475" s="1" t="s">
        <v>3479</v>
      </c>
      <c r="F1475" s="1" t="s">
        <v>3480</v>
      </c>
      <c r="G1475" s="1" t="s">
        <v>84</v>
      </c>
      <c r="H1475" s="1" t="s">
        <v>869</v>
      </c>
      <c r="I1475" s="1" t="s">
        <v>223</v>
      </c>
      <c r="J1475" s="1" t="s">
        <v>63</v>
      </c>
      <c r="K1475" s="1" t="s">
        <v>2386</v>
      </c>
      <c r="L1475" s="1" t="s">
        <v>29</v>
      </c>
      <c r="M1475" s="1" t="s">
        <v>53</v>
      </c>
      <c r="N1475" s="1" t="s">
        <v>2387</v>
      </c>
      <c r="O1475">
        <v>25.984000000000002</v>
      </c>
      <c r="P1475">
        <v>1</v>
      </c>
      <c r="Q1475">
        <v>-3.8976000000000002</v>
      </c>
      <c r="R1475" s="1" t="s">
        <v>4424</v>
      </c>
      <c r="S1475">
        <v>2015</v>
      </c>
      <c r="T1475" s="1" t="s">
        <v>245</v>
      </c>
    </row>
    <row r="1476" spans="1:20" x14ac:dyDescent="0.25">
      <c r="A1476" s="1" t="s">
        <v>3628</v>
      </c>
      <c r="B1476" s="2">
        <v>43078</v>
      </c>
      <c r="C1476" s="2">
        <v>43080</v>
      </c>
      <c r="D1476" s="1" t="s">
        <v>21</v>
      </c>
      <c r="E1476" s="1" t="s">
        <v>2292</v>
      </c>
      <c r="F1476" s="1" t="s">
        <v>2293</v>
      </c>
      <c r="G1476" s="1" t="s">
        <v>94</v>
      </c>
      <c r="H1476" s="1" t="s">
        <v>3629</v>
      </c>
      <c r="I1476" s="1" t="s">
        <v>50</v>
      </c>
      <c r="J1476" s="1" t="s">
        <v>51</v>
      </c>
      <c r="K1476" s="1" t="s">
        <v>851</v>
      </c>
      <c r="L1476" s="1" t="s">
        <v>29</v>
      </c>
      <c r="M1476" s="1" t="s">
        <v>30</v>
      </c>
      <c r="N1476" s="1" t="s">
        <v>852</v>
      </c>
      <c r="O1476">
        <v>148.25700000000001</v>
      </c>
      <c r="P1476">
        <v>3</v>
      </c>
      <c r="Q1476">
        <v>15.697800000000001</v>
      </c>
      <c r="R1476" s="1" t="s">
        <v>4423</v>
      </c>
      <c r="S1476">
        <v>2017</v>
      </c>
      <c r="T1476" s="1" t="s">
        <v>90</v>
      </c>
    </row>
    <row r="1477" spans="1:20" x14ac:dyDescent="0.25">
      <c r="A1477" s="1" t="s">
        <v>3630</v>
      </c>
      <c r="B1477" s="2">
        <v>41874</v>
      </c>
      <c r="C1477" s="2">
        <v>41878</v>
      </c>
      <c r="D1477" s="1" t="s">
        <v>37</v>
      </c>
      <c r="E1477" s="1" t="s">
        <v>1056</v>
      </c>
      <c r="F1477" s="1" t="s">
        <v>1057</v>
      </c>
      <c r="G1477" s="1" t="s">
        <v>24</v>
      </c>
      <c r="H1477" s="1" t="s">
        <v>257</v>
      </c>
      <c r="I1477" s="1" t="s">
        <v>172</v>
      </c>
      <c r="J1477" s="1" t="s">
        <v>51</v>
      </c>
      <c r="K1477" s="1" t="s">
        <v>329</v>
      </c>
      <c r="L1477" s="1" t="s">
        <v>29</v>
      </c>
      <c r="M1477" s="1" t="s">
        <v>53</v>
      </c>
      <c r="N1477" s="1" t="s">
        <v>330</v>
      </c>
      <c r="O1477">
        <v>4.2240000000000002</v>
      </c>
      <c r="P1477">
        <v>3</v>
      </c>
      <c r="Q1477">
        <v>1.2672000000000001</v>
      </c>
      <c r="R1477" s="1" t="s">
        <v>4424</v>
      </c>
      <c r="S1477">
        <v>2014</v>
      </c>
      <c r="T1477" s="1" t="s">
        <v>245</v>
      </c>
    </row>
    <row r="1478" spans="1:20" x14ac:dyDescent="0.25">
      <c r="A1478" s="1" t="s">
        <v>3631</v>
      </c>
      <c r="B1478" s="2">
        <v>42685</v>
      </c>
      <c r="C1478" s="2">
        <v>42690</v>
      </c>
      <c r="D1478" s="1" t="s">
        <v>37</v>
      </c>
      <c r="E1478" s="1" t="s">
        <v>2372</v>
      </c>
      <c r="F1478" s="1" t="s">
        <v>2373</v>
      </c>
      <c r="G1478" s="1" t="s">
        <v>84</v>
      </c>
      <c r="H1478" s="1" t="s">
        <v>165</v>
      </c>
      <c r="I1478" s="1" t="s">
        <v>114</v>
      </c>
      <c r="J1478" s="1" t="s">
        <v>63</v>
      </c>
      <c r="K1478" s="1" t="s">
        <v>1608</v>
      </c>
      <c r="L1478" s="1" t="s">
        <v>29</v>
      </c>
      <c r="M1478" s="1" t="s">
        <v>34</v>
      </c>
      <c r="N1478" s="1" t="s">
        <v>1609</v>
      </c>
      <c r="O1478">
        <v>245.64599999999999</v>
      </c>
      <c r="P1478">
        <v>3</v>
      </c>
      <c r="Q1478">
        <v>8.1882000000000001</v>
      </c>
      <c r="R1478" s="1" t="s">
        <v>4422</v>
      </c>
      <c r="S1478">
        <v>2016</v>
      </c>
      <c r="T1478" s="1" t="s">
        <v>32</v>
      </c>
    </row>
    <row r="1479" spans="1:20" x14ac:dyDescent="0.25">
      <c r="A1479" s="1" t="s">
        <v>3632</v>
      </c>
      <c r="B1479" s="2">
        <v>43048</v>
      </c>
      <c r="C1479" s="2">
        <v>43052</v>
      </c>
      <c r="D1479" s="1" t="s">
        <v>37</v>
      </c>
      <c r="E1479" s="1" t="s">
        <v>2307</v>
      </c>
      <c r="F1479" s="1" t="s">
        <v>2308</v>
      </c>
      <c r="G1479" s="1" t="s">
        <v>84</v>
      </c>
      <c r="H1479" s="1" t="s">
        <v>630</v>
      </c>
      <c r="I1479" s="1" t="s">
        <v>50</v>
      </c>
      <c r="J1479" s="1" t="s">
        <v>51</v>
      </c>
      <c r="K1479" s="1" t="s">
        <v>807</v>
      </c>
      <c r="L1479" s="1" t="s">
        <v>29</v>
      </c>
      <c r="M1479" s="1" t="s">
        <v>34</v>
      </c>
      <c r="N1479" s="1" t="s">
        <v>808</v>
      </c>
      <c r="O1479">
        <v>523.39200000000005</v>
      </c>
      <c r="P1479">
        <v>3</v>
      </c>
      <c r="Q1479">
        <v>52.339199999999998</v>
      </c>
      <c r="R1479" s="1" t="s">
        <v>4424</v>
      </c>
      <c r="S1479">
        <v>2017</v>
      </c>
      <c r="T1479" s="1" t="s">
        <v>32</v>
      </c>
    </row>
    <row r="1480" spans="1:20" x14ac:dyDescent="0.25">
      <c r="A1480" s="1" t="s">
        <v>3633</v>
      </c>
      <c r="B1480" s="2">
        <v>43086</v>
      </c>
      <c r="C1480" s="2">
        <v>43092</v>
      </c>
      <c r="D1480" s="1" t="s">
        <v>37</v>
      </c>
      <c r="E1480" s="1" t="s">
        <v>3634</v>
      </c>
      <c r="F1480" s="1" t="s">
        <v>3635</v>
      </c>
      <c r="G1480" s="1" t="s">
        <v>24</v>
      </c>
      <c r="H1480" s="1" t="s">
        <v>165</v>
      </c>
      <c r="I1480" s="1" t="s">
        <v>114</v>
      </c>
      <c r="J1480" s="1" t="s">
        <v>63</v>
      </c>
      <c r="K1480" s="1" t="s">
        <v>1787</v>
      </c>
      <c r="L1480" s="1" t="s">
        <v>29</v>
      </c>
      <c r="M1480" s="1" t="s">
        <v>53</v>
      </c>
      <c r="N1480" s="1" t="s">
        <v>1788</v>
      </c>
      <c r="O1480">
        <v>124.36</v>
      </c>
      <c r="P1480">
        <v>2</v>
      </c>
      <c r="Q1480">
        <v>27.359200000000001</v>
      </c>
      <c r="R1480" s="1" t="s">
        <v>4426</v>
      </c>
      <c r="S1480">
        <v>2017</v>
      </c>
      <c r="T1480" s="1" t="s">
        <v>90</v>
      </c>
    </row>
    <row r="1481" spans="1:20" x14ac:dyDescent="0.25">
      <c r="A1481" s="1" t="s">
        <v>3636</v>
      </c>
      <c r="B1481" s="2">
        <v>42934</v>
      </c>
      <c r="C1481" s="2">
        <v>42939</v>
      </c>
      <c r="D1481" s="1" t="s">
        <v>37</v>
      </c>
      <c r="E1481" s="1" t="s">
        <v>730</v>
      </c>
      <c r="F1481" s="1" t="s">
        <v>731</v>
      </c>
      <c r="G1481" s="1" t="s">
        <v>24</v>
      </c>
      <c r="H1481" s="1" t="s">
        <v>61</v>
      </c>
      <c r="I1481" s="1" t="s">
        <v>62</v>
      </c>
      <c r="J1481" s="1" t="s">
        <v>63</v>
      </c>
      <c r="K1481" s="1" t="s">
        <v>581</v>
      </c>
      <c r="L1481" s="1" t="s">
        <v>29</v>
      </c>
      <c r="M1481" s="1" t="s">
        <v>34</v>
      </c>
      <c r="N1481" s="1" t="s">
        <v>582</v>
      </c>
      <c r="O1481">
        <v>198.744</v>
      </c>
      <c r="P1481">
        <v>4</v>
      </c>
      <c r="Q1481">
        <v>-14.196</v>
      </c>
      <c r="R1481" s="1" t="s">
        <v>4422</v>
      </c>
      <c r="S1481">
        <v>2017</v>
      </c>
      <c r="T1481" s="1" t="s">
        <v>66</v>
      </c>
    </row>
    <row r="1482" spans="1:20" x14ac:dyDescent="0.25">
      <c r="A1482" s="1" t="s">
        <v>3637</v>
      </c>
      <c r="B1482" s="2">
        <v>41737</v>
      </c>
      <c r="C1482" s="2">
        <v>41741</v>
      </c>
      <c r="D1482" s="1" t="s">
        <v>37</v>
      </c>
      <c r="E1482" s="1" t="s">
        <v>384</v>
      </c>
      <c r="F1482" s="1" t="s">
        <v>385</v>
      </c>
      <c r="G1482" s="1" t="s">
        <v>94</v>
      </c>
      <c r="H1482" s="1" t="s">
        <v>500</v>
      </c>
      <c r="I1482" s="1" t="s">
        <v>50</v>
      </c>
      <c r="J1482" s="1" t="s">
        <v>51</v>
      </c>
      <c r="K1482" s="1" t="s">
        <v>282</v>
      </c>
      <c r="L1482" s="1" t="s">
        <v>29</v>
      </c>
      <c r="M1482" s="1" t="s">
        <v>43</v>
      </c>
      <c r="N1482" s="1" t="s">
        <v>283</v>
      </c>
      <c r="O1482">
        <v>99.591999999999999</v>
      </c>
      <c r="P1482">
        <v>1</v>
      </c>
      <c r="Q1482">
        <v>2.4897999999999998</v>
      </c>
      <c r="R1482" s="1" t="s">
        <v>4424</v>
      </c>
      <c r="S1482">
        <v>2014</v>
      </c>
      <c r="T1482" s="1" t="s">
        <v>107</v>
      </c>
    </row>
    <row r="1483" spans="1:20" x14ac:dyDescent="0.25">
      <c r="A1483" s="1" t="s">
        <v>3638</v>
      </c>
      <c r="B1483" s="2">
        <v>42715</v>
      </c>
      <c r="C1483" s="2">
        <v>42715</v>
      </c>
      <c r="D1483" s="1" t="s">
        <v>417</v>
      </c>
      <c r="E1483" s="1" t="s">
        <v>1721</v>
      </c>
      <c r="F1483" s="1" t="s">
        <v>1722</v>
      </c>
      <c r="G1483" s="1" t="s">
        <v>24</v>
      </c>
      <c r="H1483" s="1" t="s">
        <v>3038</v>
      </c>
      <c r="I1483" s="1" t="s">
        <v>50</v>
      </c>
      <c r="J1483" s="1" t="s">
        <v>51</v>
      </c>
      <c r="K1483" s="1" t="s">
        <v>1608</v>
      </c>
      <c r="L1483" s="1" t="s">
        <v>29</v>
      </c>
      <c r="M1483" s="1" t="s">
        <v>34</v>
      </c>
      <c r="N1483" s="1" t="s">
        <v>1609</v>
      </c>
      <c r="O1483">
        <v>363.92</v>
      </c>
      <c r="P1483">
        <v>5</v>
      </c>
      <c r="Q1483">
        <v>-31.843</v>
      </c>
      <c r="R1483" s="1" t="s">
        <v>4427</v>
      </c>
      <c r="S1483">
        <v>2016</v>
      </c>
      <c r="T1483" s="1" t="s">
        <v>90</v>
      </c>
    </row>
    <row r="1484" spans="1:20" x14ac:dyDescent="0.25">
      <c r="A1484" s="1" t="s">
        <v>3638</v>
      </c>
      <c r="B1484" s="2">
        <v>42715</v>
      </c>
      <c r="C1484" s="2">
        <v>42715</v>
      </c>
      <c r="D1484" s="1" t="s">
        <v>417</v>
      </c>
      <c r="E1484" s="1" t="s">
        <v>1721</v>
      </c>
      <c r="F1484" s="1" t="s">
        <v>1722</v>
      </c>
      <c r="G1484" s="1" t="s">
        <v>24</v>
      </c>
      <c r="H1484" s="1" t="s">
        <v>3038</v>
      </c>
      <c r="I1484" s="1" t="s">
        <v>50</v>
      </c>
      <c r="J1484" s="1" t="s">
        <v>51</v>
      </c>
      <c r="K1484" s="1" t="s">
        <v>1125</v>
      </c>
      <c r="L1484" s="1" t="s">
        <v>29</v>
      </c>
      <c r="M1484" s="1" t="s">
        <v>43</v>
      </c>
      <c r="N1484" s="1" t="s">
        <v>1126</v>
      </c>
      <c r="O1484">
        <v>892.13599999999997</v>
      </c>
      <c r="P1484">
        <v>7</v>
      </c>
      <c r="Q1484">
        <v>111.517</v>
      </c>
      <c r="R1484" s="1" t="s">
        <v>4427</v>
      </c>
      <c r="S1484">
        <v>2016</v>
      </c>
      <c r="T1484" s="1" t="s">
        <v>90</v>
      </c>
    </row>
    <row r="1485" spans="1:20" x14ac:dyDescent="0.25">
      <c r="A1485" s="1" t="s">
        <v>3639</v>
      </c>
      <c r="B1485" s="2">
        <v>42615</v>
      </c>
      <c r="C1485" s="2">
        <v>42619</v>
      </c>
      <c r="D1485" s="1" t="s">
        <v>37</v>
      </c>
      <c r="E1485" s="1" t="s">
        <v>1600</v>
      </c>
      <c r="F1485" s="1" t="s">
        <v>1601</v>
      </c>
      <c r="G1485" s="1" t="s">
        <v>24</v>
      </c>
      <c r="H1485" s="1" t="s">
        <v>1518</v>
      </c>
      <c r="I1485" s="1" t="s">
        <v>1027</v>
      </c>
      <c r="J1485" s="1" t="s">
        <v>27</v>
      </c>
      <c r="K1485" s="1" t="s">
        <v>185</v>
      </c>
      <c r="L1485" s="1" t="s">
        <v>29</v>
      </c>
      <c r="M1485" s="1" t="s">
        <v>43</v>
      </c>
      <c r="N1485" s="1" t="s">
        <v>186</v>
      </c>
      <c r="O1485">
        <v>472.51799999999997</v>
      </c>
      <c r="P1485">
        <v>3</v>
      </c>
      <c r="Q1485">
        <v>-149.63069999999999</v>
      </c>
      <c r="R1485" s="1" t="s">
        <v>4424</v>
      </c>
      <c r="S1485">
        <v>2016</v>
      </c>
      <c r="T1485" s="1" t="s">
        <v>72</v>
      </c>
    </row>
    <row r="1486" spans="1:20" x14ac:dyDescent="0.25">
      <c r="A1486" s="1" t="s">
        <v>3640</v>
      </c>
      <c r="B1486" s="2">
        <v>42905</v>
      </c>
      <c r="C1486" s="2">
        <v>42907</v>
      </c>
      <c r="D1486" s="1" t="s">
        <v>21</v>
      </c>
      <c r="E1486" s="1" t="s">
        <v>1520</v>
      </c>
      <c r="F1486" s="1" t="s">
        <v>1521</v>
      </c>
      <c r="G1486" s="1" t="s">
        <v>84</v>
      </c>
      <c r="H1486" s="1" t="s">
        <v>222</v>
      </c>
      <c r="I1486" s="1" t="s">
        <v>223</v>
      </c>
      <c r="J1486" s="1" t="s">
        <v>63</v>
      </c>
      <c r="K1486" s="1" t="s">
        <v>412</v>
      </c>
      <c r="L1486" s="1" t="s">
        <v>29</v>
      </c>
      <c r="M1486" s="1" t="s">
        <v>34</v>
      </c>
      <c r="N1486" s="1" t="s">
        <v>413</v>
      </c>
      <c r="O1486">
        <v>760.11599999999999</v>
      </c>
      <c r="P1486">
        <v>6</v>
      </c>
      <c r="Q1486">
        <v>-43.435200000000002</v>
      </c>
      <c r="R1486" s="1" t="s">
        <v>4423</v>
      </c>
      <c r="S1486">
        <v>2017</v>
      </c>
      <c r="T1486" s="1" t="s">
        <v>55</v>
      </c>
    </row>
    <row r="1487" spans="1:20" x14ac:dyDescent="0.25">
      <c r="A1487" s="1" t="s">
        <v>3640</v>
      </c>
      <c r="B1487" s="2">
        <v>42905</v>
      </c>
      <c r="C1487" s="2">
        <v>42907</v>
      </c>
      <c r="D1487" s="1" t="s">
        <v>21</v>
      </c>
      <c r="E1487" s="1" t="s">
        <v>1520</v>
      </c>
      <c r="F1487" s="1" t="s">
        <v>1521</v>
      </c>
      <c r="G1487" s="1" t="s">
        <v>84</v>
      </c>
      <c r="H1487" s="1" t="s">
        <v>222</v>
      </c>
      <c r="I1487" s="1" t="s">
        <v>223</v>
      </c>
      <c r="J1487" s="1" t="s">
        <v>63</v>
      </c>
      <c r="K1487" s="1" t="s">
        <v>1953</v>
      </c>
      <c r="L1487" s="1" t="s">
        <v>29</v>
      </c>
      <c r="M1487" s="1" t="s">
        <v>53</v>
      </c>
      <c r="N1487" s="1" t="s">
        <v>1954</v>
      </c>
      <c r="O1487">
        <v>38.783999999999999</v>
      </c>
      <c r="P1487">
        <v>3</v>
      </c>
      <c r="Q1487">
        <v>7.2720000000000002</v>
      </c>
      <c r="R1487" s="1" t="s">
        <v>4423</v>
      </c>
      <c r="S1487">
        <v>2017</v>
      </c>
      <c r="T1487" s="1" t="s">
        <v>55</v>
      </c>
    </row>
    <row r="1488" spans="1:20" x14ac:dyDescent="0.25">
      <c r="A1488" s="1" t="s">
        <v>3641</v>
      </c>
      <c r="B1488" s="2">
        <v>42495</v>
      </c>
      <c r="C1488" s="2">
        <v>42496</v>
      </c>
      <c r="D1488" s="1" t="s">
        <v>81</v>
      </c>
      <c r="E1488" s="1" t="s">
        <v>929</v>
      </c>
      <c r="F1488" s="1" t="s">
        <v>930</v>
      </c>
      <c r="G1488" s="1" t="s">
        <v>84</v>
      </c>
      <c r="H1488" s="1" t="s">
        <v>25</v>
      </c>
      <c r="I1488" s="1" t="s">
        <v>1331</v>
      </c>
      <c r="J1488" s="1" t="s">
        <v>51</v>
      </c>
      <c r="K1488" s="1" t="s">
        <v>2810</v>
      </c>
      <c r="L1488" s="1" t="s">
        <v>29</v>
      </c>
      <c r="M1488" s="1" t="s">
        <v>43</v>
      </c>
      <c r="N1488" s="1" t="s">
        <v>2811</v>
      </c>
      <c r="O1488">
        <v>1685.88</v>
      </c>
      <c r="P1488">
        <v>6</v>
      </c>
      <c r="Q1488">
        <v>320.31720000000001</v>
      </c>
      <c r="R1488" s="1" t="s">
        <v>4425</v>
      </c>
      <c r="S1488">
        <v>2016</v>
      </c>
      <c r="T1488" s="1" t="s">
        <v>153</v>
      </c>
    </row>
    <row r="1489" spans="1:20" x14ac:dyDescent="0.25">
      <c r="A1489" s="1" t="s">
        <v>3642</v>
      </c>
      <c r="B1489" s="2">
        <v>43070</v>
      </c>
      <c r="C1489" s="2">
        <v>43077</v>
      </c>
      <c r="D1489" s="1" t="s">
        <v>37</v>
      </c>
      <c r="E1489" s="1" t="s">
        <v>38</v>
      </c>
      <c r="F1489" s="1" t="s">
        <v>39</v>
      </c>
      <c r="G1489" s="1" t="s">
        <v>24</v>
      </c>
      <c r="H1489" s="1" t="s">
        <v>183</v>
      </c>
      <c r="I1489" s="1" t="s">
        <v>184</v>
      </c>
      <c r="J1489" s="1" t="s">
        <v>51</v>
      </c>
      <c r="K1489" s="1" t="s">
        <v>2411</v>
      </c>
      <c r="L1489" s="1" t="s">
        <v>29</v>
      </c>
      <c r="M1489" s="1" t="s">
        <v>30</v>
      </c>
      <c r="N1489" s="1" t="s">
        <v>2412</v>
      </c>
      <c r="O1489">
        <v>141.96</v>
      </c>
      <c r="P1489">
        <v>2</v>
      </c>
      <c r="Q1489">
        <v>41.168399999999998</v>
      </c>
      <c r="R1489" s="1" t="s">
        <v>4421</v>
      </c>
      <c r="S1489">
        <v>2017</v>
      </c>
      <c r="T1489" s="1" t="s">
        <v>90</v>
      </c>
    </row>
    <row r="1490" spans="1:20" x14ac:dyDescent="0.25">
      <c r="A1490" s="1" t="s">
        <v>3643</v>
      </c>
      <c r="B1490" s="2">
        <v>42225</v>
      </c>
      <c r="C1490" s="2">
        <v>42232</v>
      </c>
      <c r="D1490" s="1" t="s">
        <v>37</v>
      </c>
      <c r="E1490" s="1" t="s">
        <v>2949</v>
      </c>
      <c r="F1490" s="1" t="s">
        <v>2950</v>
      </c>
      <c r="G1490" s="1" t="s">
        <v>84</v>
      </c>
      <c r="H1490" s="1" t="s">
        <v>165</v>
      </c>
      <c r="I1490" s="1" t="s">
        <v>114</v>
      </c>
      <c r="J1490" s="1" t="s">
        <v>63</v>
      </c>
      <c r="K1490" s="1" t="s">
        <v>2416</v>
      </c>
      <c r="L1490" s="1" t="s">
        <v>29</v>
      </c>
      <c r="M1490" s="1" t="s">
        <v>53</v>
      </c>
      <c r="N1490" s="1" t="s">
        <v>2417</v>
      </c>
      <c r="O1490">
        <v>10.02</v>
      </c>
      <c r="P1490">
        <v>3</v>
      </c>
      <c r="Q1490">
        <v>4.4088000000000003</v>
      </c>
      <c r="R1490" s="1" t="s">
        <v>4421</v>
      </c>
      <c r="S1490">
        <v>2015</v>
      </c>
      <c r="T1490" s="1" t="s">
        <v>245</v>
      </c>
    </row>
    <row r="1491" spans="1:20" x14ac:dyDescent="0.25">
      <c r="A1491" s="1" t="s">
        <v>3644</v>
      </c>
      <c r="B1491" s="2">
        <v>42688</v>
      </c>
      <c r="C1491" s="2">
        <v>42694</v>
      </c>
      <c r="D1491" s="1" t="s">
        <v>37</v>
      </c>
      <c r="E1491" s="1" t="s">
        <v>2158</v>
      </c>
      <c r="F1491" s="1" t="s">
        <v>2159</v>
      </c>
      <c r="G1491" s="1" t="s">
        <v>24</v>
      </c>
      <c r="H1491" s="1" t="s">
        <v>222</v>
      </c>
      <c r="I1491" s="1" t="s">
        <v>192</v>
      </c>
      <c r="J1491" s="1" t="s">
        <v>63</v>
      </c>
      <c r="K1491" s="1" t="s">
        <v>2228</v>
      </c>
      <c r="L1491" s="1" t="s">
        <v>29</v>
      </c>
      <c r="M1491" s="1" t="s">
        <v>53</v>
      </c>
      <c r="N1491" s="1" t="s">
        <v>2229</v>
      </c>
      <c r="O1491">
        <v>19.920000000000002</v>
      </c>
      <c r="P1491">
        <v>4</v>
      </c>
      <c r="Q1491">
        <v>6.5735999999999999</v>
      </c>
      <c r="R1491" s="1" t="s">
        <v>4426</v>
      </c>
      <c r="S1491">
        <v>2016</v>
      </c>
      <c r="T1491" s="1" t="s">
        <v>32</v>
      </c>
    </row>
    <row r="1492" spans="1:20" x14ac:dyDescent="0.25">
      <c r="A1492" s="1" t="s">
        <v>3645</v>
      </c>
      <c r="B1492" s="2">
        <v>43065</v>
      </c>
      <c r="C1492" s="2">
        <v>43070</v>
      </c>
      <c r="D1492" s="1" t="s">
        <v>37</v>
      </c>
      <c r="E1492" s="1" t="s">
        <v>3466</v>
      </c>
      <c r="F1492" s="1" t="s">
        <v>3467</v>
      </c>
      <c r="G1492" s="1" t="s">
        <v>94</v>
      </c>
      <c r="H1492" s="1" t="s">
        <v>626</v>
      </c>
      <c r="I1492" s="1" t="s">
        <v>104</v>
      </c>
      <c r="J1492" s="1" t="s">
        <v>87</v>
      </c>
      <c r="K1492" s="1" t="s">
        <v>1250</v>
      </c>
      <c r="L1492" s="1" t="s">
        <v>29</v>
      </c>
      <c r="M1492" s="1" t="s">
        <v>43</v>
      </c>
      <c r="N1492" s="1" t="s">
        <v>1054</v>
      </c>
      <c r="O1492">
        <v>257.94</v>
      </c>
      <c r="P1492">
        <v>3</v>
      </c>
      <c r="Q1492">
        <v>67.064400000000006</v>
      </c>
      <c r="R1492" s="1" t="s">
        <v>4422</v>
      </c>
      <c r="S1492">
        <v>2017</v>
      </c>
      <c r="T1492" s="1" t="s">
        <v>32</v>
      </c>
    </row>
    <row r="1493" spans="1:20" x14ac:dyDescent="0.25">
      <c r="A1493" s="1" t="s">
        <v>3645</v>
      </c>
      <c r="B1493" s="2">
        <v>43065</v>
      </c>
      <c r="C1493" s="2">
        <v>43070</v>
      </c>
      <c r="D1493" s="1" t="s">
        <v>37</v>
      </c>
      <c r="E1493" s="1" t="s">
        <v>3466</v>
      </c>
      <c r="F1493" s="1" t="s">
        <v>3467</v>
      </c>
      <c r="G1493" s="1" t="s">
        <v>94</v>
      </c>
      <c r="H1493" s="1" t="s">
        <v>626</v>
      </c>
      <c r="I1493" s="1" t="s">
        <v>104</v>
      </c>
      <c r="J1493" s="1" t="s">
        <v>87</v>
      </c>
      <c r="K1493" s="1" t="s">
        <v>1281</v>
      </c>
      <c r="L1493" s="1" t="s">
        <v>29</v>
      </c>
      <c r="M1493" s="1" t="s">
        <v>53</v>
      </c>
      <c r="N1493" s="1" t="s">
        <v>1282</v>
      </c>
      <c r="O1493">
        <v>27.46</v>
      </c>
      <c r="P1493">
        <v>2</v>
      </c>
      <c r="Q1493">
        <v>9.8856000000000002</v>
      </c>
      <c r="R1493" s="1" t="s">
        <v>4422</v>
      </c>
      <c r="S1493">
        <v>2017</v>
      </c>
      <c r="T1493" s="1" t="s">
        <v>32</v>
      </c>
    </row>
    <row r="1494" spans="1:20" x14ac:dyDescent="0.25">
      <c r="A1494" s="1" t="s">
        <v>3645</v>
      </c>
      <c r="B1494" s="2">
        <v>43065</v>
      </c>
      <c r="C1494" s="2">
        <v>43070</v>
      </c>
      <c r="D1494" s="1" t="s">
        <v>37</v>
      </c>
      <c r="E1494" s="1" t="s">
        <v>3466</v>
      </c>
      <c r="F1494" s="1" t="s">
        <v>3467</v>
      </c>
      <c r="G1494" s="1" t="s">
        <v>94</v>
      </c>
      <c r="H1494" s="1" t="s">
        <v>626</v>
      </c>
      <c r="I1494" s="1" t="s">
        <v>104</v>
      </c>
      <c r="J1494" s="1" t="s">
        <v>87</v>
      </c>
      <c r="K1494" s="1" t="s">
        <v>238</v>
      </c>
      <c r="L1494" s="1" t="s">
        <v>29</v>
      </c>
      <c r="M1494" s="1" t="s">
        <v>34</v>
      </c>
      <c r="N1494" s="1" t="s">
        <v>239</v>
      </c>
      <c r="O1494">
        <v>828.6</v>
      </c>
      <c r="P1494">
        <v>3</v>
      </c>
      <c r="Q1494">
        <v>240.29400000000001</v>
      </c>
      <c r="R1494" s="1" t="s">
        <v>4422</v>
      </c>
      <c r="S1494">
        <v>2017</v>
      </c>
      <c r="T1494" s="1" t="s">
        <v>32</v>
      </c>
    </row>
    <row r="1495" spans="1:20" x14ac:dyDescent="0.25">
      <c r="A1495" s="1" t="s">
        <v>3646</v>
      </c>
      <c r="B1495" s="2">
        <v>42328</v>
      </c>
      <c r="C1495" s="2">
        <v>42335</v>
      </c>
      <c r="D1495" s="1" t="s">
        <v>37</v>
      </c>
      <c r="E1495" s="1" t="s">
        <v>3239</v>
      </c>
      <c r="F1495" s="1" t="s">
        <v>3240</v>
      </c>
      <c r="G1495" s="1" t="s">
        <v>24</v>
      </c>
      <c r="H1495" s="1" t="s">
        <v>997</v>
      </c>
      <c r="I1495" s="1" t="s">
        <v>41</v>
      </c>
      <c r="J1495" s="1" t="s">
        <v>27</v>
      </c>
      <c r="K1495" s="1" t="s">
        <v>533</v>
      </c>
      <c r="L1495" s="1" t="s">
        <v>29</v>
      </c>
      <c r="M1495" s="1" t="s">
        <v>30</v>
      </c>
      <c r="N1495" s="1" t="s">
        <v>534</v>
      </c>
      <c r="O1495">
        <v>290.35199999999998</v>
      </c>
      <c r="P1495">
        <v>3</v>
      </c>
      <c r="Q1495">
        <v>-36.293999999999997</v>
      </c>
      <c r="R1495" s="1" t="s">
        <v>4421</v>
      </c>
      <c r="S1495">
        <v>2015</v>
      </c>
      <c r="T1495" s="1" t="s">
        <v>32</v>
      </c>
    </row>
    <row r="1496" spans="1:20" x14ac:dyDescent="0.25">
      <c r="A1496" s="1" t="s">
        <v>3647</v>
      </c>
      <c r="B1496" s="2">
        <v>42985</v>
      </c>
      <c r="C1496" s="2">
        <v>42985</v>
      </c>
      <c r="D1496" s="1" t="s">
        <v>417</v>
      </c>
      <c r="E1496" s="1" t="s">
        <v>3227</v>
      </c>
      <c r="F1496" s="1" t="s">
        <v>3228</v>
      </c>
      <c r="G1496" s="1" t="s">
        <v>24</v>
      </c>
      <c r="H1496" s="1" t="s">
        <v>3648</v>
      </c>
      <c r="I1496" s="1" t="s">
        <v>556</v>
      </c>
      <c r="J1496" s="1" t="s">
        <v>87</v>
      </c>
      <c r="K1496" s="1" t="s">
        <v>1700</v>
      </c>
      <c r="L1496" s="1" t="s">
        <v>29</v>
      </c>
      <c r="M1496" s="1" t="s">
        <v>53</v>
      </c>
      <c r="N1496" s="1" t="s">
        <v>1701</v>
      </c>
      <c r="O1496">
        <v>135.30000000000001</v>
      </c>
      <c r="P1496">
        <v>5</v>
      </c>
      <c r="Q1496">
        <v>37.884</v>
      </c>
      <c r="R1496" s="1" t="s">
        <v>4427</v>
      </c>
      <c r="S1496">
        <v>2017</v>
      </c>
      <c r="T1496" s="1" t="s">
        <v>72</v>
      </c>
    </row>
    <row r="1497" spans="1:20" x14ac:dyDescent="0.25">
      <c r="A1497" s="1" t="s">
        <v>3649</v>
      </c>
      <c r="B1497" s="2">
        <v>41967</v>
      </c>
      <c r="C1497" s="2">
        <v>41972</v>
      </c>
      <c r="D1497" s="1" t="s">
        <v>37</v>
      </c>
      <c r="E1497" s="1" t="s">
        <v>877</v>
      </c>
      <c r="F1497" s="1" t="s">
        <v>878</v>
      </c>
      <c r="G1497" s="1" t="s">
        <v>94</v>
      </c>
      <c r="H1497" s="1" t="s">
        <v>3530</v>
      </c>
      <c r="I1497" s="1" t="s">
        <v>707</v>
      </c>
      <c r="J1497" s="1" t="s">
        <v>27</v>
      </c>
      <c r="K1497" s="1" t="s">
        <v>1974</v>
      </c>
      <c r="L1497" s="1" t="s">
        <v>29</v>
      </c>
      <c r="M1497" s="1" t="s">
        <v>53</v>
      </c>
      <c r="N1497" s="1" t="s">
        <v>1975</v>
      </c>
      <c r="O1497">
        <v>111.15</v>
      </c>
      <c r="P1497">
        <v>5</v>
      </c>
      <c r="Q1497">
        <v>48.905999999999999</v>
      </c>
      <c r="R1497" s="1" t="s">
        <v>4422</v>
      </c>
      <c r="S1497">
        <v>2014</v>
      </c>
      <c r="T1497" s="1" t="s">
        <v>32</v>
      </c>
    </row>
    <row r="1498" spans="1:20" x14ac:dyDescent="0.25">
      <c r="A1498" s="1" t="s">
        <v>3650</v>
      </c>
      <c r="B1498" s="2">
        <v>42805</v>
      </c>
      <c r="C1498" s="2">
        <v>42810</v>
      </c>
      <c r="D1498" s="1" t="s">
        <v>37</v>
      </c>
      <c r="E1498" s="1" t="s">
        <v>3141</v>
      </c>
      <c r="F1498" s="1" t="s">
        <v>3142</v>
      </c>
      <c r="G1498" s="1" t="s">
        <v>94</v>
      </c>
      <c r="H1498" s="1" t="s">
        <v>61</v>
      </c>
      <c r="I1498" s="1" t="s">
        <v>62</v>
      </c>
      <c r="J1498" s="1" t="s">
        <v>63</v>
      </c>
      <c r="K1498" s="1" t="s">
        <v>1053</v>
      </c>
      <c r="L1498" s="1" t="s">
        <v>29</v>
      </c>
      <c r="M1498" s="1" t="s">
        <v>43</v>
      </c>
      <c r="N1498" s="1" t="s">
        <v>1054</v>
      </c>
      <c r="O1498">
        <v>154.76400000000001</v>
      </c>
      <c r="P1498">
        <v>3</v>
      </c>
      <c r="Q1498">
        <v>-46.429200000000002</v>
      </c>
      <c r="R1498" s="1" t="s">
        <v>4422</v>
      </c>
      <c r="S1498">
        <v>2017</v>
      </c>
      <c r="T1498" s="1" t="s">
        <v>187</v>
      </c>
    </row>
    <row r="1499" spans="1:20" x14ac:dyDescent="0.25">
      <c r="A1499" s="1" t="s">
        <v>3651</v>
      </c>
      <c r="B1499" s="2">
        <v>43091</v>
      </c>
      <c r="C1499" s="2">
        <v>43095</v>
      </c>
      <c r="D1499" s="1" t="s">
        <v>37</v>
      </c>
      <c r="E1499" s="1" t="s">
        <v>3076</v>
      </c>
      <c r="F1499" s="1" t="s">
        <v>3077</v>
      </c>
      <c r="G1499" s="1" t="s">
        <v>94</v>
      </c>
      <c r="H1499" s="1" t="s">
        <v>3652</v>
      </c>
      <c r="I1499" s="1" t="s">
        <v>1267</v>
      </c>
      <c r="J1499" s="1" t="s">
        <v>27</v>
      </c>
      <c r="K1499" s="1" t="s">
        <v>581</v>
      </c>
      <c r="L1499" s="1" t="s">
        <v>29</v>
      </c>
      <c r="M1499" s="1" t="s">
        <v>34</v>
      </c>
      <c r="N1499" s="1" t="s">
        <v>582</v>
      </c>
      <c r="O1499">
        <v>141.96</v>
      </c>
      <c r="P1499">
        <v>2</v>
      </c>
      <c r="Q1499">
        <v>35.49</v>
      </c>
      <c r="R1499" s="1" t="s">
        <v>4424</v>
      </c>
      <c r="S1499">
        <v>2017</v>
      </c>
      <c r="T1499" s="1" t="s">
        <v>90</v>
      </c>
    </row>
    <row r="1500" spans="1:20" x14ac:dyDescent="0.25">
      <c r="A1500" s="1" t="s">
        <v>3653</v>
      </c>
      <c r="B1500" s="2">
        <v>43091</v>
      </c>
      <c r="C1500" s="2">
        <v>43094</v>
      </c>
      <c r="D1500" s="1" t="s">
        <v>21</v>
      </c>
      <c r="E1500" s="1" t="s">
        <v>3654</v>
      </c>
      <c r="F1500" s="1" t="s">
        <v>3655</v>
      </c>
      <c r="G1500" s="1" t="s">
        <v>24</v>
      </c>
      <c r="H1500" s="1" t="s">
        <v>905</v>
      </c>
      <c r="I1500" s="1" t="s">
        <v>511</v>
      </c>
      <c r="J1500" s="1" t="s">
        <v>51</v>
      </c>
      <c r="K1500" s="1" t="s">
        <v>1225</v>
      </c>
      <c r="L1500" s="1" t="s">
        <v>29</v>
      </c>
      <c r="M1500" s="1" t="s">
        <v>43</v>
      </c>
      <c r="N1500" s="1" t="s">
        <v>1226</v>
      </c>
      <c r="O1500">
        <v>182.55</v>
      </c>
      <c r="P1500">
        <v>2</v>
      </c>
      <c r="Q1500">
        <v>-135.08699999999999</v>
      </c>
      <c r="R1500" s="1" t="s">
        <v>4420</v>
      </c>
      <c r="S1500">
        <v>2017</v>
      </c>
      <c r="T1500" s="1" t="s">
        <v>90</v>
      </c>
    </row>
    <row r="1501" spans="1:20" x14ac:dyDescent="0.25">
      <c r="A1501" s="1" t="s">
        <v>3656</v>
      </c>
      <c r="B1501" s="2">
        <v>42363</v>
      </c>
      <c r="C1501" s="2">
        <v>42365</v>
      </c>
      <c r="D1501" s="1" t="s">
        <v>21</v>
      </c>
      <c r="E1501" s="1" t="s">
        <v>2701</v>
      </c>
      <c r="F1501" s="1" t="s">
        <v>2702</v>
      </c>
      <c r="G1501" s="1" t="s">
        <v>24</v>
      </c>
      <c r="H1501" s="1" t="s">
        <v>339</v>
      </c>
      <c r="I1501" s="1" t="s">
        <v>658</v>
      </c>
      <c r="J1501" s="1" t="s">
        <v>27</v>
      </c>
      <c r="K1501" s="1" t="s">
        <v>3279</v>
      </c>
      <c r="L1501" s="1" t="s">
        <v>29</v>
      </c>
      <c r="M1501" s="1" t="s">
        <v>53</v>
      </c>
      <c r="N1501" s="1" t="s">
        <v>3280</v>
      </c>
      <c r="O1501">
        <v>275.88</v>
      </c>
      <c r="P1501">
        <v>6</v>
      </c>
      <c r="Q1501">
        <v>46.8996</v>
      </c>
      <c r="R1501" s="1" t="s">
        <v>4423</v>
      </c>
      <c r="S1501">
        <v>2015</v>
      </c>
      <c r="T1501" s="1" t="s">
        <v>90</v>
      </c>
    </row>
    <row r="1502" spans="1:20" x14ac:dyDescent="0.25">
      <c r="A1502" s="1" t="s">
        <v>3657</v>
      </c>
      <c r="B1502" s="2">
        <v>41842</v>
      </c>
      <c r="C1502" s="2">
        <v>41844</v>
      </c>
      <c r="D1502" s="1" t="s">
        <v>21</v>
      </c>
      <c r="E1502" s="1" t="s">
        <v>704</v>
      </c>
      <c r="F1502" s="1" t="s">
        <v>705</v>
      </c>
      <c r="G1502" s="1" t="s">
        <v>24</v>
      </c>
      <c r="H1502" s="1" t="s">
        <v>320</v>
      </c>
      <c r="I1502" s="1" t="s">
        <v>50</v>
      </c>
      <c r="J1502" s="1" t="s">
        <v>51</v>
      </c>
      <c r="K1502" s="1" t="s">
        <v>1576</v>
      </c>
      <c r="L1502" s="1" t="s">
        <v>29</v>
      </c>
      <c r="M1502" s="1" t="s">
        <v>34</v>
      </c>
      <c r="N1502" s="1" t="s">
        <v>1577</v>
      </c>
      <c r="O1502">
        <v>717.72</v>
      </c>
      <c r="P1502">
        <v>3</v>
      </c>
      <c r="Q1502">
        <v>71.772000000000006</v>
      </c>
      <c r="R1502" s="1" t="s">
        <v>4423</v>
      </c>
      <c r="S1502">
        <v>2014</v>
      </c>
      <c r="T1502" s="1" t="s">
        <v>66</v>
      </c>
    </row>
    <row r="1503" spans="1:20" x14ac:dyDescent="0.25">
      <c r="A1503" s="1" t="s">
        <v>3657</v>
      </c>
      <c r="B1503" s="2">
        <v>41842</v>
      </c>
      <c r="C1503" s="2">
        <v>41844</v>
      </c>
      <c r="D1503" s="1" t="s">
        <v>21</v>
      </c>
      <c r="E1503" s="1" t="s">
        <v>704</v>
      </c>
      <c r="F1503" s="1" t="s">
        <v>705</v>
      </c>
      <c r="G1503" s="1" t="s">
        <v>24</v>
      </c>
      <c r="H1503" s="1" t="s">
        <v>320</v>
      </c>
      <c r="I1503" s="1" t="s">
        <v>50</v>
      </c>
      <c r="J1503" s="1" t="s">
        <v>51</v>
      </c>
      <c r="K1503" s="1" t="s">
        <v>1558</v>
      </c>
      <c r="L1503" s="1" t="s">
        <v>29</v>
      </c>
      <c r="M1503" s="1" t="s">
        <v>43</v>
      </c>
      <c r="N1503" s="1" t="s">
        <v>1559</v>
      </c>
      <c r="O1503">
        <v>170.352</v>
      </c>
      <c r="P1503">
        <v>3</v>
      </c>
      <c r="Q1503">
        <v>19.1646</v>
      </c>
      <c r="R1503" s="1" t="s">
        <v>4423</v>
      </c>
      <c r="S1503">
        <v>2014</v>
      </c>
      <c r="T1503" s="1" t="s">
        <v>66</v>
      </c>
    </row>
    <row r="1504" spans="1:20" x14ac:dyDescent="0.25">
      <c r="A1504" s="1" t="s">
        <v>3658</v>
      </c>
      <c r="B1504" s="2">
        <v>43016</v>
      </c>
      <c r="C1504" s="2">
        <v>43022</v>
      </c>
      <c r="D1504" s="1" t="s">
        <v>37</v>
      </c>
      <c r="E1504" s="1" t="s">
        <v>824</v>
      </c>
      <c r="F1504" s="1" t="s">
        <v>825</v>
      </c>
      <c r="G1504" s="1" t="s">
        <v>24</v>
      </c>
      <c r="H1504" s="1" t="s">
        <v>165</v>
      </c>
      <c r="I1504" s="1" t="s">
        <v>114</v>
      </c>
      <c r="J1504" s="1" t="s">
        <v>63</v>
      </c>
      <c r="K1504" s="1" t="s">
        <v>486</v>
      </c>
      <c r="L1504" s="1" t="s">
        <v>29</v>
      </c>
      <c r="M1504" s="1" t="s">
        <v>34</v>
      </c>
      <c r="N1504" s="1" t="s">
        <v>487</v>
      </c>
      <c r="O1504">
        <v>145.76400000000001</v>
      </c>
      <c r="P1504">
        <v>2</v>
      </c>
      <c r="Q1504">
        <v>3.2391999999999999</v>
      </c>
      <c r="R1504" s="1" t="s">
        <v>4426</v>
      </c>
      <c r="S1504">
        <v>2017</v>
      </c>
      <c r="T1504" s="1" t="s">
        <v>45</v>
      </c>
    </row>
    <row r="1505" spans="1:20" x14ac:dyDescent="0.25">
      <c r="A1505" s="1" t="s">
        <v>3659</v>
      </c>
      <c r="B1505" s="2">
        <v>42846</v>
      </c>
      <c r="C1505" s="2">
        <v>42848</v>
      </c>
      <c r="D1505" s="1" t="s">
        <v>81</v>
      </c>
      <c r="E1505" s="1" t="s">
        <v>2645</v>
      </c>
      <c r="F1505" s="1" t="s">
        <v>2646</v>
      </c>
      <c r="G1505" s="1" t="s">
        <v>24</v>
      </c>
      <c r="H1505" s="1" t="s">
        <v>2745</v>
      </c>
      <c r="I1505" s="1" t="s">
        <v>1080</v>
      </c>
      <c r="J1505" s="1" t="s">
        <v>63</v>
      </c>
      <c r="K1505" s="1" t="s">
        <v>98</v>
      </c>
      <c r="L1505" s="1" t="s">
        <v>29</v>
      </c>
      <c r="M1505" s="1" t="s">
        <v>34</v>
      </c>
      <c r="N1505" s="1" t="s">
        <v>99</v>
      </c>
      <c r="O1505">
        <v>908.82</v>
      </c>
      <c r="P1505">
        <v>9</v>
      </c>
      <c r="Q1505">
        <v>227.20500000000001</v>
      </c>
      <c r="R1505" s="1" t="s">
        <v>4423</v>
      </c>
      <c r="S1505">
        <v>2017</v>
      </c>
      <c r="T1505" s="1" t="s">
        <v>107</v>
      </c>
    </row>
    <row r="1506" spans="1:20" x14ac:dyDescent="0.25">
      <c r="A1506" s="1" t="s">
        <v>3660</v>
      </c>
      <c r="B1506" s="2">
        <v>42964</v>
      </c>
      <c r="C1506" s="2">
        <v>42971</v>
      </c>
      <c r="D1506" s="1" t="s">
        <v>37</v>
      </c>
      <c r="E1506" s="1" t="s">
        <v>2642</v>
      </c>
      <c r="F1506" s="1" t="s">
        <v>2643</v>
      </c>
      <c r="G1506" s="1" t="s">
        <v>94</v>
      </c>
      <c r="H1506" s="1" t="s">
        <v>95</v>
      </c>
      <c r="I1506" s="1" t="s">
        <v>86</v>
      </c>
      <c r="J1506" s="1" t="s">
        <v>87</v>
      </c>
      <c r="K1506" s="1" t="s">
        <v>1999</v>
      </c>
      <c r="L1506" s="1" t="s">
        <v>29</v>
      </c>
      <c r="M1506" s="1" t="s">
        <v>34</v>
      </c>
      <c r="N1506" s="1" t="s">
        <v>2000</v>
      </c>
      <c r="O1506">
        <v>74.591999999999999</v>
      </c>
      <c r="P1506">
        <v>4</v>
      </c>
      <c r="Q1506">
        <v>-2.1312000000000002</v>
      </c>
      <c r="R1506" s="1" t="s">
        <v>4421</v>
      </c>
      <c r="S1506">
        <v>2017</v>
      </c>
      <c r="T1506" s="1" t="s">
        <v>245</v>
      </c>
    </row>
    <row r="1507" spans="1:20" x14ac:dyDescent="0.25">
      <c r="A1507" s="1" t="s">
        <v>3660</v>
      </c>
      <c r="B1507" s="2">
        <v>42964</v>
      </c>
      <c r="C1507" s="2">
        <v>42971</v>
      </c>
      <c r="D1507" s="1" t="s">
        <v>37</v>
      </c>
      <c r="E1507" s="1" t="s">
        <v>2642</v>
      </c>
      <c r="F1507" s="1" t="s">
        <v>2643</v>
      </c>
      <c r="G1507" s="1" t="s">
        <v>94</v>
      </c>
      <c r="H1507" s="1" t="s">
        <v>95</v>
      </c>
      <c r="I1507" s="1" t="s">
        <v>86</v>
      </c>
      <c r="J1507" s="1" t="s">
        <v>87</v>
      </c>
      <c r="K1507" s="1" t="s">
        <v>2272</v>
      </c>
      <c r="L1507" s="1" t="s">
        <v>29</v>
      </c>
      <c r="M1507" s="1" t="s">
        <v>53</v>
      </c>
      <c r="N1507" s="1" t="s">
        <v>2273</v>
      </c>
      <c r="O1507">
        <v>16.783999999999999</v>
      </c>
      <c r="P1507">
        <v>2</v>
      </c>
      <c r="Q1507">
        <v>-22.238800000000001</v>
      </c>
      <c r="R1507" s="1" t="s">
        <v>4421</v>
      </c>
      <c r="S1507">
        <v>2017</v>
      </c>
      <c r="T1507" s="1" t="s">
        <v>245</v>
      </c>
    </row>
    <row r="1508" spans="1:20" x14ac:dyDescent="0.25">
      <c r="A1508" s="1" t="s">
        <v>3661</v>
      </c>
      <c r="B1508" s="2">
        <v>42686</v>
      </c>
      <c r="C1508" s="2">
        <v>42689</v>
      </c>
      <c r="D1508" s="1" t="s">
        <v>81</v>
      </c>
      <c r="E1508" s="1" t="s">
        <v>314</v>
      </c>
      <c r="F1508" s="1" t="s">
        <v>315</v>
      </c>
      <c r="G1508" s="1" t="s">
        <v>94</v>
      </c>
      <c r="H1508" s="1" t="s">
        <v>630</v>
      </c>
      <c r="I1508" s="1" t="s">
        <v>50</v>
      </c>
      <c r="J1508" s="1" t="s">
        <v>51</v>
      </c>
      <c r="K1508" s="1" t="s">
        <v>2810</v>
      </c>
      <c r="L1508" s="1" t="s">
        <v>29</v>
      </c>
      <c r="M1508" s="1" t="s">
        <v>43</v>
      </c>
      <c r="N1508" s="1" t="s">
        <v>2811</v>
      </c>
      <c r="O1508">
        <v>674.35199999999998</v>
      </c>
      <c r="P1508">
        <v>3</v>
      </c>
      <c r="Q1508">
        <v>-8.4293999999999993</v>
      </c>
      <c r="R1508" s="1" t="s">
        <v>4420</v>
      </c>
      <c r="S1508">
        <v>2016</v>
      </c>
      <c r="T1508" s="1" t="s">
        <v>32</v>
      </c>
    </row>
    <row r="1509" spans="1:20" x14ac:dyDescent="0.25">
      <c r="A1509" s="1" t="s">
        <v>3662</v>
      </c>
      <c r="B1509" s="2">
        <v>42687</v>
      </c>
      <c r="C1509" s="2">
        <v>42691</v>
      </c>
      <c r="D1509" s="1" t="s">
        <v>37</v>
      </c>
      <c r="E1509" s="1" t="s">
        <v>3292</v>
      </c>
      <c r="F1509" s="1" t="s">
        <v>3293</v>
      </c>
      <c r="G1509" s="1" t="s">
        <v>94</v>
      </c>
      <c r="H1509" s="1" t="s">
        <v>183</v>
      </c>
      <c r="I1509" s="1" t="s">
        <v>184</v>
      </c>
      <c r="J1509" s="1" t="s">
        <v>51</v>
      </c>
      <c r="K1509" s="1" t="s">
        <v>78</v>
      </c>
      <c r="L1509" s="1" t="s">
        <v>29</v>
      </c>
      <c r="M1509" s="1" t="s">
        <v>53</v>
      </c>
      <c r="N1509" s="1" t="s">
        <v>1852</v>
      </c>
      <c r="O1509">
        <v>19.54</v>
      </c>
      <c r="P1509">
        <v>2</v>
      </c>
      <c r="Q1509">
        <v>7.2298</v>
      </c>
      <c r="R1509" s="1" t="s">
        <v>4424</v>
      </c>
      <c r="S1509">
        <v>2016</v>
      </c>
      <c r="T1509" s="1" t="s">
        <v>32</v>
      </c>
    </row>
    <row r="1510" spans="1:20" x14ac:dyDescent="0.25">
      <c r="A1510" s="1" t="s">
        <v>3663</v>
      </c>
      <c r="B1510" s="2">
        <v>42701</v>
      </c>
      <c r="C1510" s="2">
        <v>42707</v>
      </c>
      <c r="D1510" s="1" t="s">
        <v>37</v>
      </c>
      <c r="E1510" s="1" t="s">
        <v>2026</v>
      </c>
      <c r="F1510" s="1" t="s">
        <v>2027</v>
      </c>
      <c r="G1510" s="1" t="s">
        <v>24</v>
      </c>
      <c r="H1510" s="1" t="s">
        <v>40</v>
      </c>
      <c r="I1510" s="1" t="s">
        <v>41</v>
      </c>
      <c r="J1510" s="1" t="s">
        <v>27</v>
      </c>
      <c r="K1510" s="1" t="s">
        <v>1250</v>
      </c>
      <c r="L1510" s="1" t="s">
        <v>29</v>
      </c>
      <c r="M1510" s="1" t="s">
        <v>43</v>
      </c>
      <c r="N1510" s="1" t="s">
        <v>1054</v>
      </c>
      <c r="O1510">
        <v>331.02300000000002</v>
      </c>
      <c r="P1510">
        <v>7</v>
      </c>
      <c r="Q1510">
        <v>-114.35339999999999</v>
      </c>
      <c r="R1510" s="1" t="s">
        <v>4426</v>
      </c>
      <c r="S1510">
        <v>2016</v>
      </c>
      <c r="T1510" s="1" t="s">
        <v>32</v>
      </c>
    </row>
    <row r="1511" spans="1:20" x14ac:dyDescent="0.25">
      <c r="A1511" s="1" t="s">
        <v>3664</v>
      </c>
      <c r="B1511" s="2">
        <v>42671</v>
      </c>
      <c r="C1511" s="2">
        <v>42671</v>
      </c>
      <c r="D1511" s="1" t="s">
        <v>417</v>
      </c>
      <c r="E1511" s="1" t="s">
        <v>3665</v>
      </c>
      <c r="F1511" s="1" t="s">
        <v>3666</v>
      </c>
      <c r="G1511" s="1" t="s">
        <v>84</v>
      </c>
      <c r="H1511" s="1" t="s">
        <v>885</v>
      </c>
      <c r="I1511" s="1" t="s">
        <v>114</v>
      </c>
      <c r="J1511" s="1" t="s">
        <v>63</v>
      </c>
      <c r="K1511" s="1" t="s">
        <v>3667</v>
      </c>
      <c r="L1511" s="1" t="s">
        <v>29</v>
      </c>
      <c r="M1511" s="1" t="s">
        <v>53</v>
      </c>
      <c r="N1511" s="1" t="s">
        <v>3668</v>
      </c>
      <c r="O1511">
        <v>756.8</v>
      </c>
      <c r="P1511">
        <v>5</v>
      </c>
      <c r="Q1511">
        <v>75.680000000000007</v>
      </c>
      <c r="R1511" s="1" t="s">
        <v>4427</v>
      </c>
      <c r="S1511">
        <v>2016</v>
      </c>
      <c r="T1511" s="1" t="s">
        <v>45</v>
      </c>
    </row>
    <row r="1512" spans="1:20" x14ac:dyDescent="0.25">
      <c r="A1512" s="1" t="s">
        <v>3669</v>
      </c>
      <c r="B1512" s="2">
        <v>42002</v>
      </c>
      <c r="C1512" s="2">
        <v>42006</v>
      </c>
      <c r="D1512" s="1" t="s">
        <v>37</v>
      </c>
      <c r="E1512" s="1" t="s">
        <v>2886</v>
      </c>
      <c r="F1512" s="1" t="s">
        <v>2887</v>
      </c>
      <c r="G1512" s="1" t="s">
        <v>94</v>
      </c>
      <c r="H1512" s="1" t="s">
        <v>3648</v>
      </c>
      <c r="I1512" s="1" t="s">
        <v>126</v>
      </c>
      <c r="J1512" s="1" t="s">
        <v>87</v>
      </c>
      <c r="K1512" s="1" t="s">
        <v>2868</v>
      </c>
      <c r="L1512" s="1" t="s">
        <v>29</v>
      </c>
      <c r="M1512" s="1" t="s">
        <v>53</v>
      </c>
      <c r="N1512" s="1" t="s">
        <v>2869</v>
      </c>
      <c r="O1512">
        <v>8.7360000000000007</v>
      </c>
      <c r="P1512">
        <v>3</v>
      </c>
      <c r="Q1512">
        <v>-4.8048000000000002</v>
      </c>
      <c r="R1512" s="1" t="s">
        <v>4424</v>
      </c>
      <c r="S1512">
        <v>2014</v>
      </c>
      <c r="T1512" s="1" t="s">
        <v>90</v>
      </c>
    </row>
    <row r="1513" spans="1:20" x14ac:dyDescent="0.25">
      <c r="A1513" s="1" t="s">
        <v>3670</v>
      </c>
      <c r="B1513" s="2">
        <v>43010</v>
      </c>
      <c r="C1513" s="2">
        <v>43014</v>
      </c>
      <c r="D1513" s="1" t="s">
        <v>37</v>
      </c>
      <c r="E1513" s="1" t="s">
        <v>1193</v>
      </c>
      <c r="F1513" s="1" t="s">
        <v>1194</v>
      </c>
      <c r="G1513" s="1" t="s">
        <v>24</v>
      </c>
      <c r="H1513" s="1" t="s">
        <v>320</v>
      </c>
      <c r="I1513" s="1" t="s">
        <v>50</v>
      </c>
      <c r="J1513" s="1" t="s">
        <v>51</v>
      </c>
      <c r="K1513" s="1" t="s">
        <v>886</v>
      </c>
      <c r="L1513" s="1" t="s">
        <v>29</v>
      </c>
      <c r="M1513" s="1" t="s">
        <v>53</v>
      </c>
      <c r="N1513" s="1" t="s">
        <v>887</v>
      </c>
      <c r="O1513">
        <v>17.46</v>
      </c>
      <c r="P1513">
        <v>2</v>
      </c>
      <c r="Q1513">
        <v>5.9363999999999999</v>
      </c>
      <c r="R1513" s="1" t="s">
        <v>4424</v>
      </c>
      <c r="S1513">
        <v>2017</v>
      </c>
      <c r="T1513" s="1" t="s">
        <v>45</v>
      </c>
    </row>
    <row r="1514" spans="1:20" x14ac:dyDescent="0.25">
      <c r="A1514" s="1" t="s">
        <v>3671</v>
      </c>
      <c r="B1514" s="2">
        <v>42565</v>
      </c>
      <c r="C1514" s="2">
        <v>42569</v>
      </c>
      <c r="D1514" s="1" t="s">
        <v>37</v>
      </c>
      <c r="E1514" s="1" t="s">
        <v>2636</v>
      </c>
      <c r="F1514" s="1" t="s">
        <v>2637</v>
      </c>
      <c r="G1514" s="1" t="s">
        <v>24</v>
      </c>
      <c r="H1514" s="1" t="s">
        <v>320</v>
      </c>
      <c r="I1514" s="1" t="s">
        <v>50</v>
      </c>
      <c r="J1514" s="1" t="s">
        <v>51</v>
      </c>
      <c r="K1514" s="1" t="s">
        <v>544</v>
      </c>
      <c r="L1514" s="1" t="s">
        <v>29</v>
      </c>
      <c r="M1514" s="1" t="s">
        <v>53</v>
      </c>
      <c r="N1514" s="1" t="s">
        <v>545</v>
      </c>
      <c r="O1514">
        <v>30.8</v>
      </c>
      <c r="P1514">
        <v>4</v>
      </c>
      <c r="Q1514">
        <v>10.164</v>
      </c>
      <c r="R1514" s="1" t="s">
        <v>4424</v>
      </c>
      <c r="S1514">
        <v>2016</v>
      </c>
      <c r="T1514" s="1" t="s">
        <v>66</v>
      </c>
    </row>
    <row r="1515" spans="1:20" x14ac:dyDescent="0.25">
      <c r="A1515" s="1" t="s">
        <v>3672</v>
      </c>
      <c r="B1515" s="2">
        <v>42437</v>
      </c>
      <c r="C1515" s="2">
        <v>42441</v>
      </c>
      <c r="D1515" s="1" t="s">
        <v>37</v>
      </c>
      <c r="E1515" s="1" t="s">
        <v>2214</v>
      </c>
      <c r="F1515" s="1" t="s">
        <v>2215</v>
      </c>
      <c r="G1515" s="1" t="s">
        <v>24</v>
      </c>
      <c r="H1515" s="1" t="s">
        <v>165</v>
      </c>
      <c r="I1515" s="1" t="s">
        <v>114</v>
      </c>
      <c r="J1515" s="1" t="s">
        <v>63</v>
      </c>
      <c r="K1515" s="1" t="s">
        <v>476</v>
      </c>
      <c r="L1515" s="1" t="s">
        <v>29</v>
      </c>
      <c r="M1515" s="1" t="s">
        <v>53</v>
      </c>
      <c r="N1515" s="1" t="s">
        <v>477</v>
      </c>
      <c r="O1515">
        <v>113.6</v>
      </c>
      <c r="P1515">
        <v>8</v>
      </c>
      <c r="Q1515">
        <v>44.304000000000002</v>
      </c>
      <c r="R1515" s="1" t="s">
        <v>4424</v>
      </c>
      <c r="S1515">
        <v>2016</v>
      </c>
      <c r="T1515" s="1" t="s">
        <v>187</v>
      </c>
    </row>
    <row r="1516" spans="1:20" x14ac:dyDescent="0.25">
      <c r="A1516" s="1" t="s">
        <v>3673</v>
      </c>
      <c r="B1516" s="2">
        <v>42728</v>
      </c>
      <c r="C1516" s="2">
        <v>42734</v>
      </c>
      <c r="D1516" s="1" t="s">
        <v>37</v>
      </c>
      <c r="E1516" s="1" t="s">
        <v>3674</v>
      </c>
      <c r="F1516" s="1" t="s">
        <v>3675</v>
      </c>
      <c r="G1516" s="1" t="s">
        <v>24</v>
      </c>
      <c r="H1516" s="1" t="s">
        <v>1482</v>
      </c>
      <c r="I1516" s="1" t="s">
        <v>50</v>
      </c>
      <c r="J1516" s="1" t="s">
        <v>51</v>
      </c>
      <c r="K1516" s="1" t="s">
        <v>2149</v>
      </c>
      <c r="L1516" s="1" t="s">
        <v>29</v>
      </c>
      <c r="M1516" s="1" t="s">
        <v>53</v>
      </c>
      <c r="N1516" s="1" t="s">
        <v>2150</v>
      </c>
      <c r="O1516">
        <v>43.96</v>
      </c>
      <c r="P1516">
        <v>7</v>
      </c>
      <c r="Q1516">
        <v>18.463200000000001</v>
      </c>
      <c r="R1516" s="1" t="s">
        <v>4426</v>
      </c>
      <c r="S1516">
        <v>2016</v>
      </c>
      <c r="T1516" s="1" t="s">
        <v>90</v>
      </c>
    </row>
    <row r="1517" spans="1:20" x14ac:dyDescent="0.25">
      <c r="A1517" s="1" t="s">
        <v>3676</v>
      </c>
      <c r="B1517" s="2">
        <v>42848</v>
      </c>
      <c r="C1517" s="2">
        <v>42850</v>
      </c>
      <c r="D1517" s="1" t="s">
        <v>21</v>
      </c>
      <c r="E1517" s="1" t="s">
        <v>2600</v>
      </c>
      <c r="F1517" s="1" t="s">
        <v>2601</v>
      </c>
      <c r="G1517" s="1" t="s">
        <v>24</v>
      </c>
      <c r="H1517" s="1" t="s">
        <v>1176</v>
      </c>
      <c r="I1517" s="1" t="s">
        <v>50</v>
      </c>
      <c r="J1517" s="1" t="s">
        <v>51</v>
      </c>
      <c r="K1517" s="1" t="s">
        <v>2195</v>
      </c>
      <c r="L1517" s="1" t="s">
        <v>29</v>
      </c>
      <c r="M1517" s="1" t="s">
        <v>53</v>
      </c>
      <c r="N1517" s="1" t="s">
        <v>2196</v>
      </c>
      <c r="O1517">
        <v>66.36</v>
      </c>
      <c r="P1517">
        <v>7</v>
      </c>
      <c r="Q1517">
        <v>26.544</v>
      </c>
      <c r="R1517" s="1" t="s">
        <v>4423</v>
      </c>
      <c r="S1517">
        <v>2017</v>
      </c>
      <c r="T1517" s="1" t="s">
        <v>107</v>
      </c>
    </row>
    <row r="1518" spans="1:20" x14ac:dyDescent="0.25">
      <c r="A1518" s="1" t="s">
        <v>3676</v>
      </c>
      <c r="B1518" s="2">
        <v>42848</v>
      </c>
      <c r="C1518" s="2">
        <v>42850</v>
      </c>
      <c r="D1518" s="1" t="s">
        <v>21</v>
      </c>
      <c r="E1518" s="1" t="s">
        <v>2600</v>
      </c>
      <c r="F1518" s="1" t="s">
        <v>2601</v>
      </c>
      <c r="G1518" s="1" t="s">
        <v>24</v>
      </c>
      <c r="H1518" s="1" t="s">
        <v>1176</v>
      </c>
      <c r="I1518" s="1" t="s">
        <v>50</v>
      </c>
      <c r="J1518" s="1" t="s">
        <v>51</v>
      </c>
      <c r="K1518" s="1" t="s">
        <v>542</v>
      </c>
      <c r="L1518" s="1" t="s">
        <v>29</v>
      </c>
      <c r="M1518" s="1" t="s">
        <v>53</v>
      </c>
      <c r="N1518" s="1" t="s">
        <v>3116</v>
      </c>
      <c r="O1518">
        <v>24.14</v>
      </c>
      <c r="P1518">
        <v>2</v>
      </c>
      <c r="Q1518">
        <v>7.9661999999999997</v>
      </c>
      <c r="R1518" s="1" t="s">
        <v>4423</v>
      </c>
      <c r="S1518">
        <v>2017</v>
      </c>
      <c r="T1518" s="1" t="s">
        <v>107</v>
      </c>
    </row>
    <row r="1519" spans="1:20" x14ac:dyDescent="0.25">
      <c r="A1519" s="1" t="s">
        <v>3677</v>
      </c>
      <c r="B1519" s="2">
        <v>42964</v>
      </c>
      <c r="C1519" s="2">
        <v>42969</v>
      </c>
      <c r="D1519" s="1" t="s">
        <v>21</v>
      </c>
      <c r="E1519" s="1" t="s">
        <v>2289</v>
      </c>
      <c r="F1519" s="1" t="s">
        <v>2290</v>
      </c>
      <c r="G1519" s="1" t="s">
        <v>24</v>
      </c>
      <c r="H1519" s="1" t="s">
        <v>61</v>
      </c>
      <c r="I1519" s="1" t="s">
        <v>62</v>
      </c>
      <c r="J1519" s="1" t="s">
        <v>63</v>
      </c>
      <c r="K1519" s="1" t="s">
        <v>592</v>
      </c>
      <c r="L1519" s="1" t="s">
        <v>29</v>
      </c>
      <c r="M1519" s="1" t="s">
        <v>34</v>
      </c>
      <c r="N1519" s="1" t="s">
        <v>593</v>
      </c>
      <c r="O1519">
        <v>4416.174</v>
      </c>
      <c r="P1519">
        <v>9</v>
      </c>
      <c r="Q1519">
        <v>-630.88199999999995</v>
      </c>
      <c r="R1519" s="1" t="s">
        <v>4422</v>
      </c>
      <c r="S1519">
        <v>2017</v>
      </c>
      <c r="T1519" s="1" t="s">
        <v>245</v>
      </c>
    </row>
    <row r="1520" spans="1:20" x14ac:dyDescent="0.25">
      <c r="A1520" s="1" t="s">
        <v>3678</v>
      </c>
      <c r="B1520" s="2">
        <v>41701</v>
      </c>
      <c r="C1520" s="2">
        <v>41706</v>
      </c>
      <c r="D1520" s="1" t="s">
        <v>37</v>
      </c>
      <c r="E1520" s="1" t="s">
        <v>3679</v>
      </c>
      <c r="F1520" s="1" t="s">
        <v>3680</v>
      </c>
      <c r="G1520" s="1" t="s">
        <v>84</v>
      </c>
      <c r="H1520" s="1" t="s">
        <v>339</v>
      </c>
      <c r="I1520" s="1" t="s">
        <v>223</v>
      </c>
      <c r="J1520" s="1" t="s">
        <v>63</v>
      </c>
      <c r="K1520" s="1" t="s">
        <v>447</v>
      </c>
      <c r="L1520" s="1" t="s">
        <v>29</v>
      </c>
      <c r="M1520" s="1" t="s">
        <v>30</v>
      </c>
      <c r="N1520" s="1" t="s">
        <v>448</v>
      </c>
      <c r="O1520">
        <v>302.45</v>
      </c>
      <c r="P1520">
        <v>5</v>
      </c>
      <c r="Q1520">
        <v>-199.61699999999999</v>
      </c>
      <c r="R1520" s="1" t="s">
        <v>4422</v>
      </c>
      <c r="S1520">
        <v>2014</v>
      </c>
      <c r="T1520" s="1" t="s">
        <v>187</v>
      </c>
    </row>
    <row r="1521" spans="1:20" x14ac:dyDescent="0.25">
      <c r="A1521" s="1" t="s">
        <v>3681</v>
      </c>
      <c r="B1521" s="2">
        <v>42520</v>
      </c>
      <c r="C1521" s="2">
        <v>42525</v>
      </c>
      <c r="D1521" s="1" t="s">
        <v>37</v>
      </c>
      <c r="E1521" s="1" t="s">
        <v>2183</v>
      </c>
      <c r="F1521" s="1" t="s">
        <v>2184</v>
      </c>
      <c r="G1521" s="1" t="s">
        <v>94</v>
      </c>
      <c r="H1521" s="1" t="s">
        <v>3682</v>
      </c>
      <c r="I1521" s="1" t="s">
        <v>230</v>
      </c>
      <c r="J1521" s="1" t="s">
        <v>87</v>
      </c>
      <c r="K1521" s="1" t="s">
        <v>1586</v>
      </c>
      <c r="L1521" s="1" t="s">
        <v>29</v>
      </c>
      <c r="M1521" s="1" t="s">
        <v>53</v>
      </c>
      <c r="N1521" s="1" t="s">
        <v>1587</v>
      </c>
      <c r="O1521">
        <v>47.4</v>
      </c>
      <c r="P1521">
        <v>5</v>
      </c>
      <c r="Q1521">
        <v>21.33</v>
      </c>
      <c r="R1521" s="1" t="s">
        <v>4422</v>
      </c>
      <c r="S1521">
        <v>2016</v>
      </c>
      <c r="T1521" s="1" t="s">
        <v>153</v>
      </c>
    </row>
    <row r="1522" spans="1:20" x14ac:dyDescent="0.25">
      <c r="A1522" s="1" t="s">
        <v>3683</v>
      </c>
      <c r="B1522" s="2">
        <v>41966</v>
      </c>
      <c r="C1522" s="2">
        <v>41969</v>
      </c>
      <c r="D1522" s="1" t="s">
        <v>21</v>
      </c>
      <c r="E1522" s="1" t="s">
        <v>1295</v>
      </c>
      <c r="F1522" s="1" t="s">
        <v>1296</v>
      </c>
      <c r="G1522" s="1" t="s">
        <v>84</v>
      </c>
      <c r="H1522" s="1" t="s">
        <v>95</v>
      </c>
      <c r="I1522" s="1" t="s">
        <v>86</v>
      </c>
      <c r="J1522" s="1" t="s">
        <v>87</v>
      </c>
      <c r="K1522" s="1" t="s">
        <v>1155</v>
      </c>
      <c r="L1522" s="1" t="s">
        <v>29</v>
      </c>
      <c r="M1522" s="1" t="s">
        <v>34</v>
      </c>
      <c r="N1522" s="1" t="s">
        <v>1156</v>
      </c>
      <c r="O1522">
        <v>155.37200000000001</v>
      </c>
      <c r="P1522">
        <v>2</v>
      </c>
      <c r="Q1522">
        <v>-35.513599999999997</v>
      </c>
      <c r="R1522" s="1" t="s">
        <v>4420</v>
      </c>
      <c r="S1522">
        <v>2014</v>
      </c>
      <c r="T1522" s="1" t="s">
        <v>32</v>
      </c>
    </row>
    <row r="1523" spans="1:20" x14ac:dyDescent="0.25">
      <c r="A1523" s="1" t="s">
        <v>3684</v>
      </c>
      <c r="B1523" s="2">
        <v>42383</v>
      </c>
      <c r="C1523" s="2">
        <v>42389</v>
      </c>
      <c r="D1523" s="1" t="s">
        <v>37</v>
      </c>
      <c r="E1523" s="1" t="s">
        <v>440</v>
      </c>
      <c r="F1523" s="1" t="s">
        <v>441</v>
      </c>
      <c r="G1523" s="1" t="s">
        <v>24</v>
      </c>
      <c r="H1523" s="1" t="s">
        <v>500</v>
      </c>
      <c r="I1523" s="1" t="s">
        <v>1027</v>
      </c>
      <c r="J1523" s="1" t="s">
        <v>27</v>
      </c>
      <c r="K1523" s="1" t="s">
        <v>3685</v>
      </c>
      <c r="L1523" s="1" t="s">
        <v>29</v>
      </c>
      <c r="M1523" s="1" t="s">
        <v>53</v>
      </c>
      <c r="N1523" s="1" t="s">
        <v>3686</v>
      </c>
      <c r="O1523">
        <v>315.77600000000001</v>
      </c>
      <c r="P1523">
        <v>8</v>
      </c>
      <c r="Q1523">
        <v>31.5776</v>
      </c>
      <c r="R1523" s="1" t="s">
        <v>4426</v>
      </c>
      <c r="S1523">
        <v>2016</v>
      </c>
      <c r="T1523" s="1" t="s">
        <v>161</v>
      </c>
    </row>
    <row r="1524" spans="1:20" x14ac:dyDescent="0.25">
      <c r="A1524" s="1" t="s">
        <v>3687</v>
      </c>
      <c r="B1524" s="2">
        <v>42629</v>
      </c>
      <c r="C1524" s="2">
        <v>42635</v>
      </c>
      <c r="D1524" s="1" t="s">
        <v>37</v>
      </c>
      <c r="E1524" s="1" t="s">
        <v>2488</v>
      </c>
      <c r="F1524" s="1" t="s">
        <v>2489</v>
      </c>
      <c r="G1524" s="1" t="s">
        <v>84</v>
      </c>
      <c r="H1524" s="1" t="s">
        <v>1482</v>
      </c>
      <c r="I1524" s="1" t="s">
        <v>50</v>
      </c>
      <c r="J1524" s="1" t="s">
        <v>51</v>
      </c>
      <c r="K1524" s="1" t="s">
        <v>1539</v>
      </c>
      <c r="L1524" s="1" t="s">
        <v>29</v>
      </c>
      <c r="M1524" s="1" t="s">
        <v>30</v>
      </c>
      <c r="N1524" s="1" t="s">
        <v>1540</v>
      </c>
      <c r="O1524">
        <v>273.666</v>
      </c>
      <c r="P1524">
        <v>2</v>
      </c>
      <c r="Q1524">
        <v>-12.878399999999999</v>
      </c>
      <c r="R1524" s="1" t="s">
        <v>4426</v>
      </c>
      <c r="S1524">
        <v>2016</v>
      </c>
      <c r="T1524" s="1" t="s">
        <v>72</v>
      </c>
    </row>
    <row r="1525" spans="1:20" x14ac:dyDescent="0.25">
      <c r="A1525" s="1" t="s">
        <v>3688</v>
      </c>
      <c r="B1525" s="2">
        <v>42321</v>
      </c>
      <c r="C1525" s="2">
        <v>42325</v>
      </c>
      <c r="D1525" s="1" t="s">
        <v>37</v>
      </c>
      <c r="E1525" s="1" t="s">
        <v>3689</v>
      </c>
      <c r="F1525" s="1" t="s">
        <v>3690</v>
      </c>
      <c r="G1525" s="1" t="s">
        <v>94</v>
      </c>
      <c r="H1525" s="1" t="s">
        <v>3691</v>
      </c>
      <c r="I1525" s="1" t="s">
        <v>3692</v>
      </c>
      <c r="J1525" s="1" t="s">
        <v>51</v>
      </c>
      <c r="K1525" s="1" t="s">
        <v>826</v>
      </c>
      <c r="L1525" s="1" t="s">
        <v>29</v>
      </c>
      <c r="M1525" s="1" t="s">
        <v>53</v>
      </c>
      <c r="N1525" s="1" t="s">
        <v>827</v>
      </c>
      <c r="O1525">
        <v>63.98</v>
      </c>
      <c r="P1525">
        <v>7</v>
      </c>
      <c r="Q1525">
        <v>21.7532</v>
      </c>
      <c r="R1525" s="1" t="s">
        <v>4424</v>
      </c>
      <c r="S1525">
        <v>2015</v>
      </c>
      <c r="T1525" s="1" t="s">
        <v>32</v>
      </c>
    </row>
    <row r="1526" spans="1:20" x14ac:dyDescent="0.25">
      <c r="A1526" s="1" t="s">
        <v>3693</v>
      </c>
      <c r="B1526" s="2">
        <v>42987</v>
      </c>
      <c r="C1526" s="2">
        <v>42991</v>
      </c>
      <c r="D1526" s="1" t="s">
        <v>37</v>
      </c>
      <c r="E1526" s="1" t="s">
        <v>1161</v>
      </c>
      <c r="F1526" s="1" t="s">
        <v>1162</v>
      </c>
      <c r="G1526" s="1" t="s">
        <v>24</v>
      </c>
      <c r="H1526" s="1" t="s">
        <v>684</v>
      </c>
      <c r="I1526" s="1" t="s">
        <v>223</v>
      </c>
      <c r="J1526" s="1" t="s">
        <v>63</v>
      </c>
      <c r="K1526" s="1" t="s">
        <v>587</v>
      </c>
      <c r="L1526" s="1" t="s">
        <v>29</v>
      </c>
      <c r="M1526" s="1" t="s">
        <v>53</v>
      </c>
      <c r="N1526" s="1" t="s">
        <v>588</v>
      </c>
      <c r="O1526">
        <v>66.111999999999995</v>
      </c>
      <c r="P1526">
        <v>2</v>
      </c>
      <c r="Q1526">
        <v>-9.0904000000000007</v>
      </c>
      <c r="R1526" s="1" t="s">
        <v>4424</v>
      </c>
      <c r="S1526">
        <v>2017</v>
      </c>
      <c r="T1526" s="1" t="s">
        <v>72</v>
      </c>
    </row>
    <row r="1527" spans="1:20" x14ac:dyDescent="0.25">
      <c r="A1527" s="1" t="s">
        <v>3694</v>
      </c>
      <c r="B1527" s="2">
        <v>42541</v>
      </c>
      <c r="C1527" s="2">
        <v>42546</v>
      </c>
      <c r="D1527" s="1" t="s">
        <v>37</v>
      </c>
      <c r="E1527" s="1" t="s">
        <v>2750</v>
      </c>
      <c r="F1527" s="1" t="s">
        <v>2751</v>
      </c>
      <c r="G1527" s="1" t="s">
        <v>84</v>
      </c>
      <c r="H1527" s="1" t="s">
        <v>3007</v>
      </c>
      <c r="I1527" s="1" t="s">
        <v>1513</v>
      </c>
      <c r="J1527" s="1" t="s">
        <v>87</v>
      </c>
      <c r="K1527" s="1" t="s">
        <v>1302</v>
      </c>
      <c r="L1527" s="1" t="s">
        <v>29</v>
      </c>
      <c r="M1527" s="1" t="s">
        <v>53</v>
      </c>
      <c r="N1527" s="1" t="s">
        <v>2013</v>
      </c>
      <c r="O1527">
        <v>57.69</v>
      </c>
      <c r="P1527">
        <v>3</v>
      </c>
      <c r="Q1527">
        <v>23.652899999999999</v>
      </c>
      <c r="R1527" s="1" t="s">
        <v>4422</v>
      </c>
      <c r="S1527">
        <v>2016</v>
      </c>
      <c r="T1527" s="1" t="s">
        <v>55</v>
      </c>
    </row>
    <row r="1528" spans="1:20" x14ac:dyDescent="0.25">
      <c r="A1528" s="1" t="s">
        <v>3695</v>
      </c>
      <c r="B1528" s="2">
        <v>42392</v>
      </c>
      <c r="C1528" s="2">
        <v>42398</v>
      </c>
      <c r="D1528" s="1" t="s">
        <v>37</v>
      </c>
      <c r="E1528" s="1" t="s">
        <v>3696</v>
      </c>
      <c r="F1528" s="1" t="s">
        <v>3697</v>
      </c>
      <c r="G1528" s="1" t="s">
        <v>24</v>
      </c>
      <c r="H1528" s="1" t="s">
        <v>49</v>
      </c>
      <c r="I1528" s="1" t="s">
        <v>50</v>
      </c>
      <c r="J1528" s="1" t="s">
        <v>51</v>
      </c>
      <c r="K1528" s="1" t="s">
        <v>2892</v>
      </c>
      <c r="L1528" s="1" t="s">
        <v>29</v>
      </c>
      <c r="M1528" s="1" t="s">
        <v>53</v>
      </c>
      <c r="N1528" s="1" t="s">
        <v>2893</v>
      </c>
      <c r="O1528">
        <v>59.99</v>
      </c>
      <c r="P1528">
        <v>7</v>
      </c>
      <c r="Q1528">
        <v>21.596399999999999</v>
      </c>
      <c r="R1528" s="1" t="s">
        <v>4426</v>
      </c>
      <c r="S1528">
        <v>2016</v>
      </c>
      <c r="T1528" s="1" t="s">
        <v>161</v>
      </c>
    </row>
    <row r="1529" spans="1:20" x14ac:dyDescent="0.25">
      <c r="A1529" s="1" t="s">
        <v>3698</v>
      </c>
      <c r="B1529" s="2">
        <v>42150</v>
      </c>
      <c r="C1529" s="2">
        <v>42155</v>
      </c>
      <c r="D1529" s="1" t="s">
        <v>37</v>
      </c>
      <c r="E1529" s="1" t="s">
        <v>2342</v>
      </c>
      <c r="F1529" s="1" t="s">
        <v>2343</v>
      </c>
      <c r="G1529" s="1" t="s">
        <v>24</v>
      </c>
      <c r="H1529" s="1" t="s">
        <v>3699</v>
      </c>
      <c r="I1529" s="1" t="s">
        <v>184</v>
      </c>
      <c r="J1529" s="1" t="s">
        <v>51</v>
      </c>
      <c r="K1529" s="1" t="s">
        <v>639</v>
      </c>
      <c r="L1529" s="1" t="s">
        <v>29</v>
      </c>
      <c r="M1529" s="1" t="s">
        <v>53</v>
      </c>
      <c r="N1529" s="1" t="s">
        <v>640</v>
      </c>
      <c r="O1529">
        <v>20.239999999999998</v>
      </c>
      <c r="P1529">
        <v>1</v>
      </c>
      <c r="Q1529">
        <v>7.8936000000000002</v>
      </c>
      <c r="R1529" s="1" t="s">
        <v>4422</v>
      </c>
      <c r="S1529">
        <v>2015</v>
      </c>
      <c r="T1529" s="1" t="s">
        <v>153</v>
      </c>
    </row>
    <row r="1530" spans="1:20" x14ac:dyDescent="0.25">
      <c r="A1530" s="1" t="s">
        <v>3700</v>
      </c>
      <c r="B1530" s="2">
        <v>41961</v>
      </c>
      <c r="C1530" s="2">
        <v>41964</v>
      </c>
      <c r="D1530" s="1" t="s">
        <v>81</v>
      </c>
      <c r="E1530" s="1" t="s">
        <v>2828</v>
      </c>
      <c r="F1530" s="1" t="s">
        <v>2829</v>
      </c>
      <c r="G1530" s="1" t="s">
        <v>24</v>
      </c>
      <c r="H1530" s="1" t="s">
        <v>3701</v>
      </c>
      <c r="I1530" s="1" t="s">
        <v>126</v>
      </c>
      <c r="J1530" s="1" t="s">
        <v>87</v>
      </c>
      <c r="K1530" s="1" t="s">
        <v>360</v>
      </c>
      <c r="L1530" s="1" t="s">
        <v>29</v>
      </c>
      <c r="M1530" s="1" t="s">
        <v>43</v>
      </c>
      <c r="N1530" s="1" t="s">
        <v>361</v>
      </c>
      <c r="O1530">
        <v>292.10000000000002</v>
      </c>
      <c r="P1530">
        <v>4</v>
      </c>
      <c r="Q1530">
        <v>-175.26</v>
      </c>
      <c r="R1530" s="1" t="s">
        <v>4420</v>
      </c>
      <c r="S1530">
        <v>2014</v>
      </c>
      <c r="T1530" s="1" t="s">
        <v>32</v>
      </c>
    </row>
    <row r="1531" spans="1:20" x14ac:dyDescent="0.25">
      <c r="A1531" s="1" t="s">
        <v>3700</v>
      </c>
      <c r="B1531" s="2">
        <v>41961</v>
      </c>
      <c r="C1531" s="2">
        <v>41964</v>
      </c>
      <c r="D1531" s="1" t="s">
        <v>81</v>
      </c>
      <c r="E1531" s="1" t="s">
        <v>2828</v>
      </c>
      <c r="F1531" s="1" t="s">
        <v>2829</v>
      </c>
      <c r="G1531" s="1" t="s">
        <v>24</v>
      </c>
      <c r="H1531" s="1" t="s">
        <v>3701</v>
      </c>
      <c r="I1531" s="1" t="s">
        <v>126</v>
      </c>
      <c r="J1531" s="1" t="s">
        <v>87</v>
      </c>
      <c r="K1531" s="1" t="s">
        <v>2131</v>
      </c>
      <c r="L1531" s="1" t="s">
        <v>29</v>
      </c>
      <c r="M1531" s="1" t="s">
        <v>53</v>
      </c>
      <c r="N1531" s="1" t="s">
        <v>2132</v>
      </c>
      <c r="O1531">
        <v>8.5440000000000005</v>
      </c>
      <c r="P1531">
        <v>2</v>
      </c>
      <c r="Q1531">
        <v>-7.476</v>
      </c>
      <c r="R1531" s="1" t="s">
        <v>4420</v>
      </c>
      <c r="S1531">
        <v>2014</v>
      </c>
      <c r="T1531" s="1" t="s">
        <v>32</v>
      </c>
    </row>
    <row r="1532" spans="1:20" x14ac:dyDescent="0.25">
      <c r="A1532" s="1" t="s">
        <v>3700</v>
      </c>
      <c r="B1532" s="2">
        <v>41961</v>
      </c>
      <c r="C1532" s="2">
        <v>41964</v>
      </c>
      <c r="D1532" s="1" t="s">
        <v>81</v>
      </c>
      <c r="E1532" s="1" t="s">
        <v>2828</v>
      </c>
      <c r="F1532" s="1" t="s">
        <v>2829</v>
      </c>
      <c r="G1532" s="1" t="s">
        <v>24</v>
      </c>
      <c r="H1532" s="1" t="s">
        <v>3701</v>
      </c>
      <c r="I1532" s="1" t="s">
        <v>126</v>
      </c>
      <c r="J1532" s="1" t="s">
        <v>87</v>
      </c>
      <c r="K1532" s="1" t="s">
        <v>2806</v>
      </c>
      <c r="L1532" s="1" t="s">
        <v>29</v>
      </c>
      <c r="M1532" s="1" t="s">
        <v>30</v>
      </c>
      <c r="N1532" s="1" t="s">
        <v>2807</v>
      </c>
      <c r="O1532">
        <v>424.11599999999999</v>
      </c>
      <c r="P1532">
        <v>6</v>
      </c>
      <c r="Q1532">
        <v>-30.294</v>
      </c>
      <c r="R1532" s="1" t="s">
        <v>4420</v>
      </c>
      <c r="S1532">
        <v>2014</v>
      </c>
      <c r="T1532" s="1" t="s">
        <v>32</v>
      </c>
    </row>
    <row r="1533" spans="1:20" x14ac:dyDescent="0.25">
      <c r="A1533" s="1" t="s">
        <v>3702</v>
      </c>
      <c r="B1533" s="2">
        <v>42982</v>
      </c>
      <c r="C1533" s="2">
        <v>42986</v>
      </c>
      <c r="D1533" s="1" t="s">
        <v>37</v>
      </c>
      <c r="E1533" s="1" t="s">
        <v>3703</v>
      </c>
      <c r="F1533" s="1" t="s">
        <v>3704</v>
      </c>
      <c r="G1533" s="1" t="s">
        <v>24</v>
      </c>
      <c r="H1533" s="1" t="s">
        <v>1111</v>
      </c>
      <c r="I1533" s="1" t="s">
        <v>41</v>
      </c>
      <c r="J1533" s="1" t="s">
        <v>27</v>
      </c>
      <c r="K1533" s="1" t="s">
        <v>243</v>
      </c>
      <c r="L1533" s="1" t="s">
        <v>29</v>
      </c>
      <c r="M1533" s="1" t="s">
        <v>34</v>
      </c>
      <c r="N1533" s="1" t="s">
        <v>244</v>
      </c>
      <c r="O1533">
        <v>97.183999999999997</v>
      </c>
      <c r="P1533">
        <v>2</v>
      </c>
      <c r="Q1533">
        <v>6.0739999999999998</v>
      </c>
      <c r="R1533" s="1" t="s">
        <v>4424</v>
      </c>
      <c r="S1533">
        <v>2017</v>
      </c>
      <c r="T1533" s="1" t="s">
        <v>72</v>
      </c>
    </row>
    <row r="1534" spans="1:20" x14ac:dyDescent="0.25">
      <c r="A1534" s="1" t="s">
        <v>3705</v>
      </c>
      <c r="B1534" s="2">
        <v>41727</v>
      </c>
      <c r="C1534" s="2">
        <v>41731</v>
      </c>
      <c r="D1534" s="1" t="s">
        <v>37</v>
      </c>
      <c r="E1534" s="1" t="s">
        <v>2714</v>
      </c>
      <c r="F1534" s="1" t="s">
        <v>2715</v>
      </c>
      <c r="G1534" s="1" t="s">
        <v>24</v>
      </c>
      <c r="H1534" s="1" t="s">
        <v>2469</v>
      </c>
      <c r="I1534" s="1" t="s">
        <v>86</v>
      </c>
      <c r="J1534" s="1" t="s">
        <v>87</v>
      </c>
      <c r="K1534" s="1" t="s">
        <v>512</v>
      </c>
      <c r="L1534" s="1" t="s">
        <v>29</v>
      </c>
      <c r="M1534" s="1" t="s">
        <v>43</v>
      </c>
      <c r="N1534" s="1" t="s">
        <v>513</v>
      </c>
      <c r="O1534">
        <v>890.84100000000001</v>
      </c>
      <c r="P1534">
        <v>3</v>
      </c>
      <c r="Q1534">
        <v>-152.71559999999999</v>
      </c>
      <c r="R1534" s="1" t="s">
        <v>4424</v>
      </c>
      <c r="S1534">
        <v>2014</v>
      </c>
      <c r="T1534" s="1" t="s">
        <v>187</v>
      </c>
    </row>
    <row r="1535" spans="1:20" x14ac:dyDescent="0.25">
      <c r="A1535" s="1" t="s">
        <v>3706</v>
      </c>
      <c r="B1535" s="2">
        <v>42679</v>
      </c>
      <c r="C1535" s="2">
        <v>42681</v>
      </c>
      <c r="D1535" s="1" t="s">
        <v>21</v>
      </c>
      <c r="E1535" s="1" t="s">
        <v>318</v>
      </c>
      <c r="F1535" s="1" t="s">
        <v>319</v>
      </c>
      <c r="G1535" s="1" t="s">
        <v>24</v>
      </c>
      <c r="H1535" s="1" t="s">
        <v>1482</v>
      </c>
      <c r="I1535" s="1" t="s">
        <v>50</v>
      </c>
      <c r="J1535" s="1" t="s">
        <v>51</v>
      </c>
      <c r="K1535" s="1" t="s">
        <v>2185</v>
      </c>
      <c r="L1535" s="1" t="s">
        <v>29</v>
      </c>
      <c r="M1535" s="1" t="s">
        <v>34</v>
      </c>
      <c r="N1535" s="1" t="s">
        <v>2186</v>
      </c>
      <c r="O1535">
        <v>113.88800000000001</v>
      </c>
      <c r="P1535">
        <v>2</v>
      </c>
      <c r="Q1535">
        <v>9.9651999999999994</v>
      </c>
      <c r="R1535" s="1" t="s">
        <v>4423</v>
      </c>
      <c r="S1535">
        <v>2016</v>
      </c>
      <c r="T1535" s="1" t="s">
        <v>32</v>
      </c>
    </row>
    <row r="1536" spans="1:20" x14ac:dyDescent="0.25">
      <c r="A1536" s="1" t="s">
        <v>3707</v>
      </c>
      <c r="B1536" s="2">
        <v>42659</v>
      </c>
      <c r="C1536" s="2">
        <v>42663</v>
      </c>
      <c r="D1536" s="1" t="s">
        <v>37</v>
      </c>
      <c r="E1536" s="1" t="s">
        <v>773</v>
      </c>
      <c r="F1536" s="1" t="s">
        <v>774</v>
      </c>
      <c r="G1536" s="1" t="s">
        <v>84</v>
      </c>
      <c r="H1536" s="1" t="s">
        <v>165</v>
      </c>
      <c r="I1536" s="1" t="s">
        <v>114</v>
      </c>
      <c r="J1536" s="1" t="s">
        <v>63</v>
      </c>
      <c r="K1536" s="1" t="s">
        <v>56</v>
      </c>
      <c r="L1536" s="1" t="s">
        <v>29</v>
      </c>
      <c r="M1536" s="1" t="s">
        <v>43</v>
      </c>
      <c r="N1536" s="1" t="s">
        <v>57</v>
      </c>
      <c r="O1536">
        <v>142.18199999999999</v>
      </c>
      <c r="P1536">
        <v>1</v>
      </c>
      <c r="Q1536">
        <v>-37.915199999999999</v>
      </c>
      <c r="R1536" s="1" t="s">
        <v>4424</v>
      </c>
      <c r="S1536">
        <v>2016</v>
      </c>
      <c r="T1536" s="1" t="s">
        <v>45</v>
      </c>
    </row>
    <row r="1537" spans="1:20" x14ac:dyDescent="0.25">
      <c r="A1537" s="1" t="s">
        <v>3708</v>
      </c>
      <c r="B1537" s="2">
        <v>43065</v>
      </c>
      <c r="C1537" s="2">
        <v>43068</v>
      </c>
      <c r="D1537" s="1" t="s">
        <v>21</v>
      </c>
      <c r="E1537" s="1" t="s">
        <v>3709</v>
      </c>
      <c r="F1537" s="1" t="s">
        <v>3710</v>
      </c>
      <c r="G1537" s="1" t="s">
        <v>24</v>
      </c>
      <c r="H1537" s="1" t="s">
        <v>165</v>
      </c>
      <c r="I1537" s="1" t="s">
        <v>114</v>
      </c>
      <c r="J1537" s="1" t="s">
        <v>63</v>
      </c>
      <c r="K1537" s="1" t="s">
        <v>1700</v>
      </c>
      <c r="L1537" s="1" t="s">
        <v>29</v>
      </c>
      <c r="M1537" s="1" t="s">
        <v>53</v>
      </c>
      <c r="N1537" s="1" t="s">
        <v>1701</v>
      </c>
      <c r="O1537">
        <v>135.30000000000001</v>
      </c>
      <c r="P1537">
        <v>5</v>
      </c>
      <c r="Q1537">
        <v>37.884</v>
      </c>
      <c r="R1537" s="1" t="s">
        <v>4420</v>
      </c>
      <c r="S1537">
        <v>2017</v>
      </c>
      <c r="T1537" s="1" t="s">
        <v>32</v>
      </c>
    </row>
    <row r="1538" spans="1:20" x14ac:dyDescent="0.25">
      <c r="A1538" s="1" t="s">
        <v>3711</v>
      </c>
      <c r="B1538" s="2">
        <v>43074</v>
      </c>
      <c r="C1538" s="2">
        <v>43077</v>
      </c>
      <c r="D1538" s="1" t="s">
        <v>81</v>
      </c>
      <c r="E1538" s="1" t="s">
        <v>619</v>
      </c>
      <c r="F1538" s="1" t="s">
        <v>620</v>
      </c>
      <c r="G1538" s="1" t="s">
        <v>24</v>
      </c>
      <c r="H1538" s="1" t="s">
        <v>165</v>
      </c>
      <c r="I1538" s="1" t="s">
        <v>114</v>
      </c>
      <c r="J1538" s="1" t="s">
        <v>63</v>
      </c>
      <c r="K1538" s="1" t="s">
        <v>178</v>
      </c>
      <c r="L1538" s="1" t="s">
        <v>29</v>
      </c>
      <c r="M1538" s="1" t="s">
        <v>53</v>
      </c>
      <c r="N1538" s="1" t="s">
        <v>179</v>
      </c>
      <c r="O1538">
        <v>41.96</v>
      </c>
      <c r="P1538">
        <v>2</v>
      </c>
      <c r="Q1538">
        <v>10.909599999999999</v>
      </c>
      <c r="R1538" s="1" t="s">
        <v>4420</v>
      </c>
      <c r="S1538">
        <v>2017</v>
      </c>
      <c r="T1538" s="1" t="s">
        <v>90</v>
      </c>
    </row>
    <row r="1539" spans="1:20" x14ac:dyDescent="0.25">
      <c r="A1539" s="1" t="s">
        <v>3712</v>
      </c>
      <c r="B1539" s="2">
        <v>41716</v>
      </c>
      <c r="C1539" s="2">
        <v>41722</v>
      </c>
      <c r="D1539" s="1" t="s">
        <v>37</v>
      </c>
      <c r="E1539" s="1" t="s">
        <v>892</v>
      </c>
      <c r="F1539" s="1" t="s">
        <v>893</v>
      </c>
      <c r="G1539" s="1" t="s">
        <v>94</v>
      </c>
      <c r="H1539" s="1" t="s">
        <v>3713</v>
      </c>
      <c r="I1539" s="1" t="s">
        <v>50</v>
      </c>
      <c r="J1539" s="1" t="s">
        <v>51</v>
      </c>
      <c r="K1539" s="1" t="s">
        <v>1775</v>
      </c>
      <c r="L1539" s="1" t="s">
        <v>29</v>
      </c>
      <c r="M1539" s="1" t="s">
        <v>53</v>
      </c>
      <c r="N1539" s="1" t="s">
        <v>1776</v>
      </c>
      <c r="O1539">
        <v>111</v>
      </c>
      <c r="P1539">
        <v>2</v>
      </c>
      <c r="Q1539">
        <v>14.43</v>
      </c>
      <c r="R1539" s="1" t="s">
        <v>4426</v>
      </c>
      <c r="S1539">
        <v>2014</v>
      </c>
      <c r="T1539" s="1" t="s">
        <v>187</v>
      </c>
    </row>
    <row r="1540" spans="1:20" x14ac:dyDescent="0.25">
      <c r="A1540" s="1" t="s">
        <v>3714</v>
      </c>
      <c r="B1540" s="2">
        <v>42686</v>
      </c>
      <c r="C1540" s="2">
        <v>42687</v>
      </c>
      <c r="D1540" s="1" t="s">
        <v>81</v>
      </c>
      <c r="E1540" s="1" t="s">
        <v>3715</v>
      </c>
      <c r="F1540" s="1" t="s">
        <v>3716</v>
      </c>
      <c r="G1540" s="1" t="s">
        <v>84</v>
      </c>
      <c r="H1540" s="1" t="s">
        <v>125</v>
      </c>
      <c r="I1540" s="1" t="s">
        <v>126</v>
      </c>
      <c r="J1540" s="1" t="s">
        <v>87</v>
      </c>
      <c r="K1540" s="1" t="s">
        <v>1586</v>
      </c>
      <c r="L1540" s="1" t="s">
        <v>29</v>
      </c>
      <c r="M1540" s="1" t="s">
        <v>53</v>
      </c>
      <c r="N1540" s="1" t="s">
        <v>1587</v>
      </c>
      <c r="O1540">
        <v>22.751999999999999</v>
      </c>
      <c r="P1540">
        <v>6</v>
      </c>
      <c r="Q1540">
        <v>-8.532</v>
      </c>
      <c r="R1540" s="1" t="s">
        <v>4425</v>
      </c>
      <c r="S1540">
        <v>2016</v>
      </c>
      <c r="T1540" s="1" t="s">
        <v>32</v>
      </c>
    </row>
    <row r="1541" spans="1:20" x14ac:dyDescent="0.25">
      <c r="A1541" s="1" t="s">
        <v>3717</v>
      </c>
      <c r="B1541" s="2">
        <v>42105</v>
      </c>
      <c r="C1541" s="2">
        <v>42111</v>
      </c>
      <c r="D1541" s="1" t="s">
        <v>37</v>
      </c>
      <c r="E1541" s="1" t="s">
        <v>2384</v>
      </c>
      <c r="F1541" s="1" t="s">
        <v>2385</v>
      </c>
      <c r="G1541" s="1" t="s">
        <v>24</v>
      </c>
      <c r="H1541" s="1" t="s">
        <v>295</v>
      </c>
      <c r="I1541" s="1" t="s">
        <v>41</v>
      </c>
      <c r="J1541" s="1" t="s">
        <v>27</v>
      </c>
      <c r="K1541" s="1" t="s">
        <v>557</v>
      </c>
      <c r="L1541" s="1" t="s">
        <v>29</v>
      </c>
      <c r="M1541" s="1" t="s">
        <v>53</v>
      </c>
      <c r="N1541" s="1" t="s">
        <v>558</v>
      </c>
      <c r="O1541">
        <v>67.36</v>
      </c>
      <c r="P1541">
        <v>2</v>
      </c>
      <c r="Q1541">
        <v>10.103999999999999</v>
      </c>
      <c r="R1541" s="1" t="s">
        <v>4426</v>
      </c>
      <c r="S1541">
        <v>2015</v>
      </c>
      <c r="T1541" s="1" t="s">
        <v>107</v>
      </c>
    </row>
    <row r="1542" spans="1:20" x14ac:dyDescent="0.25">
      <c r="A1542" s="1" t="s">
        <v>3717</v>
      </c>
      <c r="B1542" s="2">
        <v>42105</v>
      </c>
      <c r="C1542" s="2">
        <v>42111</v>
      </c>
      <c r="D1542" s="1" t="s">
        <v>37</v>
      </c>
      <c r="E1542" s="1" t="s">
        <v>2384</v>
      </c>
      <c r="F1542" s="1" t="s">
        <v>2385</v>
      </c>
      <c r="G1542" s="1" t="s">
        <v>24</v>
      </c>
      <c r="H1542" s="1" t="s">
        <v>295</v>
      </c>
      <c r="I1542" s="1" t="s">
        <v>41</v>
      </c>
      <c r="J1542" s="1" t="s">
        <v>27</v>
      </c>
      <c r="K1542" s="1" t="s">
        <v>275</v>
      </c>
      <c r="L1542" s="1" t="s">
        <v>29</v>
      </c>
      <c r="M1542" s="1" t="s">
        <v>53</v>
      </c>
      <c r="N1542" s="1" t="s">
        <v>276</v>
      </c>
      <c r="O1542">
        <v>54.527999999999999</v>
      </c>
      <c r="P1542">
        <v>3</v>
      </c>
      <c r="Q1542">
        <v>14.313599999999999</v>
      </c>
      <c r="R1542" s="1" t="s">
        <v>4426</v>
      </c>
      <c r="S1542">
        <v>2015</v>
      </c>
      <c r="T1542" s="1" t="s">
        <v>107</v>
      </c>
    </row>
    <row r="1543" spans="1:20" x14ac:dyDescent="0.25">
      <c r="A1543" s="1" t="s">
        <v>3718</v>
      </c>
      <c r="B1543" s="2">
        <v>42363</v>
      </c>
      <c r="C1543" s="2">
        <v>42368</v>
      </c>
      <c r="D1543" s="1" t="s">
        <v>37</v>
      </c>
      <c r="E1543" s="1" t="s">
        <v>1797</v>
      </c>
      <c r="F1543" s="1" t="s">
        <v>1798</v>
      </c>
      <c r="G1543" s="1" t="s">
        <v>24</v>
      </c>
      <c r="H1543" s="1" t="s">
        <v>165</v>
      </c>
      <c r="I1543" s="1" t="s">
        <v>114</v>
      </c>
      <c r="J1543" s="1" t="s">
        <v>63</v>
      </c>
      <c r="K1543" s="1" t="s">
        <v>252</v>
      </c>
      <c r="L1543" s="1" t="s">
        <v>29</v>
      </c>
      <c r="M1543" s="1" t="s">
        <v>30</v>
      </c>
      <c r="N1543" s="1" t="s">
        <v>253</v>
      </c>
      <c r="O1543">
        <v>449.56799999999998</v>
      </c>
      <c r="P1543">
        <v>2</v>
      </c>
      <c r="Q1543">
        <v>56.195999999999998</v>
      </c>
      <c r="R1543" s="1" t="s">
        <v>4422</v>
      </c>
      <c r="S1543">
        <v>2015</v>
      </c>
      <c r="T1543" s="1" t="s">
        <v>90</v>
      </c>
    </row>
    <row r="1544" spans="1:20" x14ac:dyDescent="0.25">
      <c r="A1544" s="1" t="s">
        <v>3719</v>
      </c>
      <c r="B1544" s="2">
        <v>41993</v>
      </c>
      <c r="C1544" s="2">
        <v>41996</v>
      </c>
      <c r="D1544" s="1" t="s">
        <v>21</v>
      </c>
      <c r="E1544" s="1" t="s">
        <v>2336</v>
      </c>
      <c r="F1544" s="1" t="s">
        <v>2337</v>
      </c>
      <c r="G1544" s="1" t="s">
        <v>84</v>
      </c>
      <c r="H1544" s="1" t="s">
        <v>165</v>
      </c>
      <c r="I1544" s="1" t="s">
        <v>114</v>
      </c>
      <c r="J1544" s="1" t="s">
        <v>63</v>
      </c>
      <c r="K1544" s="1" t="s">
        <v>2185</v>
      </c>
      <c r="L1544" s="1" t="s">
        <v>29</v>
      </c>
      <c r="M1544" s="1" t="s">
        <v>34</v>
      </c>
      <c r="N1544" s="1" t="s">
        <v>2186</v>
      </c>
      <c r="O1544">
        <v>192.18600000000001</v>
      </c>
      <c r="P1544">
        <v>3</v>
      </c>
      <c r="Q1544">
        <v>36.3018</v>
      </c>
      <c r="R1544" s="1" t="s">
        <v>4420</v>
      </c>
      <c r="S1544">
        <v>2014</v>
      </c>
      <c r="T1544" s="1" t="s">
        <v>90</v>
      </c>
    </row>
    <row r="1545" spans="1:20" x14ac:dyDescent="0.25">
      <c r="A1545" s="1" t="s">
        <v>3720</v>
      </c>
      <c r="B1545" s="2">
        <v>41846</v>
      </c>
      <c r="C1545" s="2">
        <v>41852</v>
      </c>
      <c r="D1545" s="1" t="s">
        <v>37</v>
      </c>
      <c r="E1545" s="1" t="s">
        <v>1359</v>
      </c>
      <c r="F1545" s="1" t="s">
        <v>1360</v>
      </c>
      <c r="G1545" s="1" t="s">
        <v>24</v>
      </c>
      <c r="H1545" s="1" t="s">
        <v>2129</v>
      </c>
      <c r="I1545" s="1" t="s">
        <v>658</v>
      </c>
      <c r="J1545" s="1" t="s">
        <v>27</v>
      </c>
      <c r="K1545" s="1" t="s">
        <v>1756</v>
      </c>
      <c r="L1545" s="1" t="s">
        <v>29</v>
      </c>
      <c r="M1545" s="1" t="s">
        <v>34</v>
      </c>
      <c r="N1545" s="1" t="s">
        <v>1757</v>
      </c>
      <c r="O1545">
        <v>67.88</v>
      </c>
      <c r="P1545">
        <v>2</v>
      </c>
      <c r="Q1545">
        <v>18.3276</v>
      </c>
      <c r="R1545" s="1" t="s">
        <v>4426</v>
      </c>
      <c r="S1545">
        <v>2014</v>
      </c>
      <c r="T1545" s="1" t="s">
        <v>66</v>
      </c>
    </row>
    <row r="1546" spans="1:20" x14ac:dyDescent="0.25">
      <c r="A1546" s="1" t="s">
        <v>3720</v>
      </c>
      <c r="B1546" s="2">
        <v>41846</v>
      </c>
      <c r="C1546" s="2">
        <v>41852</v>
      </c>
      <c r="D1546" s="1" t="s">
        <v>37</v>
      </c>
      <c r="E1546" s="1" t="s">
        <v>1359</v>
      </c>
      <c r="F1546" s="1" t="s">
        <v>1360</v>
      </c>
      <c r="G1546" s="1" t="s">
        <v>24</v>
      </c>
      <c r="H1546" s="1" t="s">
        <v>2129</v>
      </c>
      <c r="I1546" s="1" t="s">
        <v>658</v>
      </c>
      <c r="J1546" s="1" t="s">
        <v>27</v>
      </c>
      <c r="K1546" s="1" t="s">
        <v>2892</v>
      </c>
      <c r="L1546" s="1" t="s">
        <v>29</v>
      </c>
      <c r="M1546" s="1" t="s">
        <v>53</v>
      </c>
      <c r="N1546" s="1" t="s">
        <v>2893</v>
      </c>
      <c r="O1546">
        <v>25.71</v>
      </c>
      <c r="P1546">
        <v>3</v>
      </c>
      <c r="Q1546">
        <v>9.2555999999999994</v>
      </c>
      <c r="R1546" s="1" t="s">
        <v>4426</v>
      </c>
      <c r="S1546">
        <v>2014</v>
      </c>
      <c r="T1546" s="1" t="s">
        <v>66</v>
      </c>
    </row>
    <row r="1547" spans="1:20" x14ac:dyDescent="0.25">
      <c r="A1547" s="1" t="s">
        <v>3721</v>
      </c>
      <c r="B1547" s="2">
        <v>43080</v>
      </c>
      <c r="C1547" s="2">
        <v>43086</v>
      </c>
      <c r="D1547" s="1" t="s">
        <v>37</v>
      </c>
      <c r="E1547" s="1" t="s">
        <v>2207</v>
      </c>
      <c r="F1547" s="1" t="s">
        <v>2208</v>
      </c>
      <c r="G1547" s="1" t="s">
        <v>84</v>
      </c>
      <c r="H1547" s="1" t="s">
        <v>597</v>
      </c>
      <c r="I1547" s="1" t="s">
        <v>41</v>
      </c>
      <c r="J1547" s="1" t="s">
        <v>27</v>
      </c>
      <c r="K1547" s="1" t="s">
        <v>258</v>
      </c>
      <c r="L1547" s="1" t="s">
        <v>29</v>
      </c>
      <c r="M1547" s="1" t="s">
        <v>43</v>
      </c>
      <c r="N1547" s="1" t="s">
        <v>259</v>
      </c>
      <c r="O1547">
        <v>721.875</v>
      </c>
      <c r="P1547">
        <v>6</v>
      </c>
      <c r="Q1547">
        <v>-420</v>
      </c>
      <c r="R1547" s="1" t="s">
        <v>4426</v>
      </c>
      <c r="S1547">
        <v>2017</v>
      </c>
      <c r="T1547" s="1" t="s">
        <v>90</v>
      </c>
    </row>
    <row r="1548" spans="1:20" x14ac:dyDescent="0.25">
      <c r="A1548" s="1" t="s">
        <v>3721</v>
      </c>
      <c r="B1548" s="2">
        <v>43080</v>
      </c>
      <c r="C1548" s="2">
        <v>43086</v>
      </c>
      <c r="D1548" s="1" t="s">
        <v>37</v>
      </c>
      <c r="E1548" s="1" t="s">
        <v>2207</v>
      </c>
      <c r="F1548" s="1" t="s">
        <v>2208</v>
      </c>
      <c r="G1548" s="1" t="s">
        <v>84</v>
      </c>
      <c r="H1548" s="1" t="s">
        <v>597</v>
      </c>
      <c r="I1548" s="1" t="s">
        <v>41</v>
      </c>
      <c r="J1548" s="1" t="s">
        <v>27</v>
      </c>
      <c r="K1548" s="1" t="s">
        <v>501</v>
      </c>
      <c r="L1548" s="1" t="s">
        <v>29</v>
      </c>
      <c r="M1548" s="1" t="s">
        <v>34</v>
      </c>
      <c r="N1548" s="1" t="s">
        <v>502</v>
      </c>
      <c r="O1548">
        <v>64.784000000000006</v>
      </c>
      <c r="P1548">
        <v>1</v>
      </c>
      <c r="Q1548">
        <v>-12.147</v>
      </c>
      <c r="R1548" s="1" t="s">
        <v>4426</v>
      </c>
      <c r="S1548">
        <v>2017</v>
      </c>
      <c r="T1548" s="1" t="s">
        <v>90</v>
      </c>
    </row>
    <row r="1549" spans="1:20" x14ac:dyDescent="0.25">
      <c r="A1549" s="1" t="s">
        <v>3722</v>
      </c>
      <c r="B1549" s="2">
        <v>42652</v>
      </c>
      <c r="C1549" s="2">
        <v>42657</v>
      </c>
      <c r="D1549" s="1" t="s">
        <v>37</v>
      </c>
      <c r="E1549" s="1" t="s">
        <v>3427</v>
      </c>
      <c r="F1549" s="1" t="s">
        <v>3428</v>
      </c>
      <c r="G1549" s="1" t="s">
        <v>94</v>
      </c>
      <c r="H1549" s="1" t="s">
        <v>510</v>
      </c>
      <c r="I1549" s="1" t="s">
        <v>511</v>
      </c>
      <c r="J1549" s="1" t="s">
        <v>51</v>
      </c>
      <c r="K1549" s="1" t="s">
        <v>1382</v>
      </c>
      <c r="L1549" s="1" t="s">
        <v>29</v>
      </c>
      <c r="M1549" s="1" t="s">
        <v>53</v>
      </c>
      <c r="N1549" s="1" t="s">
        <v>1383</v>
      </c>
      <c r="O1549">
        <v>169.56800000000001</v>
      </c>
      <c r="P1549">
        <v>2</v>
      </c>
      <c r="Q1549">
        <v>0</v>
      </c>
      <c r="R1549" s="1" t="s">
        <v>4422</v>
      </c>
      <c r="S1549">
        <v>2016</v>
      </c>
      <c r="T1549" s="1" t="s">
        <v>45</v>
      </c>
    </row>
    <row r="1550" spans="1:20" x14ac:dyDescent="0.25">
      <c r="A1550" s="1" t="s">
        <v>3723</v>
      </c>
      <c r="B1550" s="2">
        <v>42003</v>
      </c>
      <c r="C1550" s="2">
        <v>42007</v>
      </c>
      <c r="D1550" s="1" t="s">
        <v>21</v>
      </c>
      <c r="E1550" s="1" t="s">
        <v>3724</v>
      </c>
      <c r="F1550" s="1" t="s">
        <v>3725</v>
      </c>
      <c r="G1550" s="1" t="s">
        <v>84</v>
      </c>
      <c r="H1550" s="1" t="s">
        <v>61</v>
      </c>
      <c r="I1550" s="1" t="s">
        <v>62</v>
      </c>
      <c r="J1550" s="1" t="s">
        <v>63</v>
      </c>
      <c r="K1550" s="1" t="s">
        <v>402</v>
      </c>
      <c r="L1550" s="1" t="s">
        <v>29</v>
      </c>
      <c r="M1550" s="1" t="s">
        <v>43</v>
      </c>
      <c r="N1550" s="1" t="s">
        <v>403</v>
      </c>
      <c r="O1550">
        <v>523.76400000000001</v>
      </c>
      <c r="P1550">
        <v>3</v>
      </c>
      <c r="Q1550">
        <v>-192.04679999999999</v>
      </c>
      <c r="R1550" s="1" t="s">
        <v>4424</v>
      </c>
      <c r="S1550">
        <v>2014</v>
      </c>
      <c r="T1550" s="1" t="s">
        <v>90</v>
      </c>
    </row>
    <row r="1551" spans="1:20" x14ac:dyDescent="0.25">
      <c r="A1551" s="1" t="s">
        <v>3726</v>
      </c>
      <c r="B1551" s="2">
        <v>42472</v>
      </c>
      <c r="C1551" s="2">
        <v>42474</v>
      </c>
      <c r="D1551" s="1" t="s">
        <v>81</v>
      </c>
      <c r="E1551" s="1" t="s">
        <v>1997</v>
      </c>
      <c r="F1551" s="1" t="s">
        <v>1998</v>
      </c>
      <c r="G1551" s="1" t="s">
        <v>24</v>
      </c>
      <c r="H1551" s="1" t="s">
        <v>49</v>
      </c>
      <c r="I1551" s="1" t="s">
        <v>50</v>
      </c>
      <c r="J1551" s="1" t="s">
        <v>51</v>
      </c>
      <c r="K1551" s="1" t="s">
        <v>501</v>
      </c>
      <c r="L1551" s="1" t="s">
        <v>29</v>
      </c>
      <c r="M1551" s="1" t="s">
        <v>34</v>
      </c>
      <c r="N1551" s="1" t="s">
        <v>502</v>
      </c>
      <c r="O1551">
        <v>194.352</v>
      </c>
      <c r="P1551">
        <v>3</v>
      </c>
      <c r="Q1551">
        <v>-36.441000000000003</v>
      </c>
      <c r="R1551" s="1" t="s">
        <v>4423</v>
      </c>
      <c r="S1551">
        <v>2016</v>
      </c>
      <c r="T1551" s="1" t="s">
        <v>107</v>
      </c>
    </row>
    <row r="1552" spans="1:20" x14ac:dyDescent="0.25">
      <c r="A1552" s="1" t="s">
        <v>3727</v>
      </c>
      <c r="B1552" s="2">
        <v>42702</v>
      </c>
      <c r="C1552" s="2">
        <v>42708</v>
      </c>
      <c r="D1552" s="1" t="s">
        <v>37</v>
      </c>
      <c r="E1552" s="1" t="s">
        <v>278</v>
      </c>
      <c r="F1552" s="1" t="s">
        <v>279</v>
      </c>
      <c r="G1552" s="1" t="s">
        <v>84</v>
      </c>
      <c r="H1552" s="1" t="s">
        <v>61</v>
      </c>
      <c r="I1552" s="1" t="s">
        <v>62</v>
      </c>
      <c r="J1552" s="1" t="s">
        <v>63</v>
      </c>
      <c r="K1552" s="1" t="s">
        <v>581</v>
      </c>
      <c r="L1552" s="1" t="s">
        <v>29</v>
      </c>
      <c r="M1552" s="1" t="s">
        <v>34</v>
      </c>
      <c r="N1552" s="1" t="s">
        <v>582</v>
      </c>
      <c r="O1552">
        <v>347.80200000000002</v>
      </c>
      <c r="P1552">
        <v>7</v>
      </c>
      <c r="Q1552">
        <v>-24.843</v>
      </c>
      <c r="R1552" s="1" t="s">
        <v>4426</v>
      </c>
      <c r="S1552">
        <v>2016</v>
      </c>
      <c r="T1552" s="1" t="s">
        <v>32</v>
      </c>
    </row>
    <row r="1553" spans="1:20" x14ac:dyDescent="0.25">
      <c r="A1553" s="1" t="s">
        <v>3728</v>
      </c>
      <c r="B1553" s="2">
        <v>42626</v>
      </c>
      <c r="C1553" s="2">
        <v>42631</v>
      </c>
      <c r="D1553" s="1" t="s">
        <v>37</v>
      </c>
      <c r="E1553" s="1" t="s">
        <v>2916</v>
      </c>
      <c r="F1553" s="1" t="s">
        <v>2917</v>
      </c>
      <c r="G1553" s="1" t="s">
        <v>24</v>
      </c>
      <c r="H1553" s="1" t="s">
        <v>831</v>
      </c>
      <c r="I1553" s="1" t="s">
        <v>832</v>
      </c>
      <c r="J1553" s="1" t="s">
        <v>87</v>
      </c>
      <c r="K1553" s="1" t="s">
        <v>88</v>
      </c>
      <c r="L1553" s="1" t="s">
        <v>29</v>
      </c>
      <c r="M1553" s="1" t="s">
        <v>53</v>
      </c>
      <c r="N1553" s="1" t="s">
        <v>89</v>
      </c>
      <c r="O1553">
        <v>1336.44</v>
      </c>
      <c r="P1553">
        <v>14</v>
      </c>
      <c r="Q1553">
        <v>387.56760000000003</v>
      </c>
      <c r="R1553" s="1" t="s">
        <v>4422</v>
      </c>
      <c r="S1553">
        <v>2016</v>
      </c>
      <c r="T1553" s="1" t="s">
        <v>72</v>
      </c>
    </row>
    <row r="1554" spans="1:20" x14ac:dyDescent="0.25">
      <c r="A1554" s="1" t="s">
        <v>3729</v>
      </c>
      <c r="B1554" s="2">
        <v>43068</v>
      </c>
      <c r="C1554" s="2">
        <v>43072</v>
      </c>
      <c r="D1554" s="1" t="s">
        <v>37</v>
      </c>
      <c r="E1554" s="1" t="s">
        <v>2339</v>
      </c>
      <c r="F1554" s="1" t="s">
        <v>2340</v>
      </c>
      <c r="G1554" s="1" t="s">
        <v>24</v>
      </c>
      <c r="H1554" s="1" t="s">
        <v>2260</v>
      </c>
      <c r="I1554" s="1" t="s">
        <v>133</v>
      </c>
      <c r="J1554" s="1" t="s">
        <v>27</v>
      </c>
      <c r="K1554" s="1" t="s">
        <v>33</v>
      </c>
      <c r="L1554" s="1" t="s">
        <v>29</v>
      </c>
      <c r="M1554" s="1" t="s">
        <v>34</v>
      </c>
      <c r="N1554" s="1" t="s">
        <v>35</v>
      </c>
      <c r="O1554">
        <v>390.36799999999999</v>
      </c>
      <c r="P1554">
        <v>2</v>
      </c>
      <c r="Q1554">
        <v>48.795999999999999</v>
      </c>
      <c r="R1554" s="1" t="s">
        <v>4424</v>
      </c>
      <c r="S1554">
        <v>2017</v>
      </c>
      <c r="T1554" s="1" t="s">
        <v>32</v>
      </c>
    </row>
    <row r="1555" spans="1:20" x14ac:dyDescent="0.25">
      <c r="A1555" s="1" t="s">
        <v>3729</v>
      </c>
      <c r="B1555" s="2">
        <v>43068</v>
      </c>
      <c r="C1555" s="2">
        <v>43072</v>
      </c>
      <c r="D1555" s="1" t="s">
        <v>37</v>
      </c>
      <c r="E1555" s="1" t="s">
        <v>2339</v>
      </c>
      <c r="F1555" s="1" t="s">
        <v>2340</v>
      </c>
      <c r="G1555" s="1" t="s">
        <v>24</v>
      </c>
      <c r="H1555" s="1" t="s">
        <v>2260</v>
      </c>
      <c r="I1555" s="1" t="s">
        <v>133</v>
      </c>
      <c r="J1555" s="1" t="s">
        <v>27</v>
      </c>
      <c r="K1555" s="1" t="s">
        <v>300</v>
      </c>
      <c r="L1555" s="1" t="s">
        <v>29</v>
      </c>
      <c r="M1555" s="1" t="s">
        <v>53</v>
      </c>
      <c r="N1555" s="1" t="s">
        <v>2577</v>
      </c>
      <c r="O1555">
        <v>101.52</v>
      </c>
      <c r="P1555">
        <v>5</v>
      </c>
      <c r="Q1555">
        <v>19.035</v>
      </c>
      <c r="R1555" s="1" t="s">
        <v>4424</v>
      </c>
      <c r="S1555">
        <v>2017</v>
      </c>
      <c r="T1555" s="1" t="s">
        <v>32</v>
      </c>
    </row>
    <row r="1556" spans="1:20" x14ac:dyDescent="0.25">
      <c r="A1556" s="1" t="s">
        <v>3730</v>
      </c>
      <c r="B1556" s="2">
        <v>42729</v>
      </c>
      <c r="C1556" s="2">
        <v>42734</v>
      </c>
      <c r="D1556" s="1" t="s">
        <v>37</v>
      </c>
      <c r="E1556" s="1" t="s">
        <v>3185</v>
      </c>
      <c r="F1556" s="1" t="s">
        <v>3186</v>
      </c>
      <c r="G1556" s="1" t="s">
        <v>84</v>
      </c>
      <c r="H1556" s="1" t="s">
        <v>165</v>
      </c>
      <c r="I1556" s="1" t="s">
        <v>114</v>
      </c>
      <c r="J1556" s="1" t="s">
        <v>63</v>
      </c>
      <c r="K1556" s="1" t="s">
        <v>1238</v>
      </c>
      <c r="L1556" s="1" t="s">
        <v>29</v>
      </c>
      <c r="M1556" s="1" t="s">
        <v>43</v>
      </c>
      <c r="N1556" s="1" t="s">
        <v>1239</v>
      </c>
      <c r="O1556">
        <v>313.17599999999999</v>
      </c>
      <c r="P1556">
        <v>2</v>
      </c>
      <c r="Q1556">
        <v>-120.0508</v>
      </c>
      <c r="R1556" s="1" t="s">
        <v>4422</v>
      </c>
      <c r="S1556">
        <v>2016</v>
      </c>
      <c r="T1556" s="1" t="s">
        <v>90</v>
      </c>
    </row>
    <row r="1557" spans="1:20" x14ac:dyDescent="0.25">
      <c r="A1557" s="1" t="s">
        <v>3730</v>
      </c>
      <c r="B1557" s="2">
        <v>42729</v>
      </c>
      <c r="C1557" s="2">
        <v>42734</v>
      </c>
      <c r="D1557" s="1" t="s">
        <v>37</v>
      </c>
      <c r="E1557" s="1" t="s">
        <v>3185</v>
      </c>
      <c r="F1557" s="1" t="s">
        <v>3186</v>
      </c>
      <c r="G1557" s="1" t="s">
        <v>84</v>
      </c>
      <c r="H1557" s="1" t="s">
        <v>165</v>
      </c>
      <c r="I1557" s="1" t="s">
        <v>114</v>
      </c>
      <c r="J1557" s="1" t="s">
        <v>63</v>
      </c>
      <c r="K1557" s="1" t="s">
        <v>786</v>
      </c>
      <c r="L1557" s="1" t="s">
        <v>29</v>
      </c>
      <c r="M1557" s="1" t="s">
        <v>34</v>
      </c>
      <c r="N1557" s="1" t="s">
        <v>787</v>
      </c>
      <c r="O1557">
        <v>866.64599999999996</v>
      </c>
      <c r="P1557">
        <v>3</v>
      </c>
      <c r="Q1557">
        <v>173.32919999999999</v>
      </c>
      <c r="R1557" s="1" t="s">
        <v>4422</v>
      </c>
      <c r="S1557">
        <v>2016</v>
      </c>
      <c r="T1557" s="1" t="s">
        <v>90</v>
      </c>
    </row>
    <row r="1558" spans="1:20" x14ac:dyDescent="0.25">
      <c r="A1558" s="1" t="s">
        <v>3731</v>
      </c>
      <c r="B1558" s="2">
        <v>42621</v>
      </c>
      <c r="C1558" s="2">
        <v>42626</v>
      </c>
      <c r="D1558" s="1" t="s">
        <v>37</v>
      </c>
      <c r="E1558" s="1" t="s">
        <v>1669</v>
      </c>
      <c r="F1558" s="1" t="s">
        <v>1670</v>
      </c>
      <c r="G1558" s="1" t="s">
        <v>24</v>
      </c>
      <c r="H1558" s="1" t="s">
        <v>183</v>
      </c>
      <c r="I1558" s="1" t="s">
        <v>184</v>
      </c>
      <c r="J1558" s="1" t="s">
        <v>51</v>
      </c>
      <c r="K1558" s="1" t="s">
        <v>598</v>
      </c>
      <c r="L1558" s="1" t="s">
        <v>29</v>
      </c>
      <c r="M1558" s="1" t="s">
        <v>53</v>
      </c>
      <c r="N1558" s="1" t="s">
        <v>599</v>
      </c>
      <c r="O1558">
        <v>43.13</v>
      </c>
      <c r="P1558">
        <v>1</v>
      </c>
      <c r="Q1558">
        <v>14.664199999999999</v>
      </c>
      <c r="R1558" s="1" t="s">
        <v>4422</v>
      </c>
      <c r="S1558">
        <v>2016</v>
      </c>
      <c r="T1558" s="1" t="s">
        <v>72</v>
      </c>
    </row>
    <row r="1559" spans="1:20" x14ac:dyDescent="0.25">
      <c r="A1559" s="1" t="s">
        <v>3732</v>
      </c>
      <c r="B1559" s="2">
        <v>42138</v>
      </c>
      <c r="C1559" s="2">
        <v>42143</v>
      </c>
      <c r="D1559" s="1" t="s">
        <v>37</v>
      </c>
      <c r="E1559" s="1" t="s">
        <v>1059</v>
      </c>
      <c r="F1559" s="1" t="s">
        <v>1060</v>
      </c>
      <c r="G1559" s="1" t="s">
        <v>84</v>
      </c>
      <c r="H1559" s="1" t="s">
        <v>3733</v>
      </c>
      <c r="I1559" s="1" t="s">
        <v>50</v>
      </c>
      <c r="J1559" s="1" t="s">
        <v>51</v>
      </c>
      <c r="K1559" s="1" t="s">
        <v>701</v>
      </c>
      <c r="L1559" s="1" t="s">
        <v>29</v>
      </c>
      <c r="M1559" s="1" t="s">
        <v>30</v>
      </c>
      <c r="N1559" s="1" t="s">
        <v>702</v>
      </c>
      <c r="O1559">
        <v>509.95749999999998</v>
      </c>
      <c r="P1559">
        <v>5</v>
      </c>
      <c r="Q1559">
        <v>41.996499999999997</v>
      </c>
      <c r="R1559" s="1" t="s">
        <v>4422</v>
      </c>
      <c r="S1559">
        <v>2015</v>
      </c>
      <c r="T1559" s="1" t="s">
        <v>153</v>
      </c>
    </row>
    <row r="1560" spans="1:20" x14ac:dyDescent="0.25">
      <c r="A1560" s="1" t="s">
        <v>3732</v>
      </c>
      <c r="B1560" s="2">
        <v>42138</v>
      </c>
      <c r="C1560" s="2">
        <v>42143</v>
      </c>
      <c r="D1560" s="1" t="s">
        <v>37</v>
      </c>
      <c r="E1560" s="1" t="s">
        <v>1059</v>
      </c>
      <c r="F1560" s="1" t="s">
        <v>1060</v>
      </c>
      <c r="G1560" s="1" t="s">
        <v>84</v>
      </c>
      <c r="H1560" s="1" t="s">
        <v>3733</v>
      </c>
      <c r="I1560" s="1" t="s">
        <v>50</v>
      </c>
      <c r="J1560" s="1" t="s">
        <v>51</v>
      </c>
      <c r="K1560" s="1" t="s">
        <v>631</v>
      </c>
      <c r="L1560" s="1" t="s">
        <v>29</v>
      </c>
      <c r="M1560" s="1" t="s">
        <v>53</v>
      </c>
      <c r="N1560" s="1" t="s">
        <v>632</v>
      </c>
      <c r="O1560">
        <v>122.91</v>
      </c>
      <c r="P1560">
        <v>3</v>
      </c>
      <c r="Q1560">
        <v>34.4148</v>
      </c>
      <c r="R1560" s="1" t="s">
        <v>4422</v>
      </c>
      <c r="S1560">
        <v>2015</v>
      </c>
      <c r="T1560" s="1" t="s">
        <v>153</v>
      </c>
    </row>
    <row r="1561" spans="1:20" x14ac:dyDescent="0.25">
      <c r="A1561" s="1" t="s">
        <v>3732</v>
      </c>
      <c r="B1561" s="2">
        <v>42138</v>
      </c>
      <c r="C1561" s="2">
        <v>42143</v>
      </c>
      <c r="D1561" s="1" t="s">
        <v>37</v>
      </c>
      <c r="E1561" s="1" t="s">
        <v>1059</v>
      </c>
      <c r="F1561" s="1" t="s">
        <v>1060</v>
      </c>
      <c r="G1561" s="1" t="s">
        <v>84</v>
      </c>
      <c r="H1561" s="1" t="s">
        <v>3733</v>
      </c>
      <c r="I1561" s="1" t="s">
        <v>50</v>
      </c>
      <c r="J1561" s="1" t="s">
        <v>51</v>
      </c>
      <c r="K1561" s="1" t="s">
        <v>1647</v>
      </c>
      <c r="L1561" s="1" t="s">
        <v>29</v>
      </c>
      <c r="M1561" s="1" t="s">
        <v>34</v>
      </c>
      <c r="N1561" s="1" t="s">
        <v>1648</v>
      </c>
      <c r="O1561">
        <v>97.567999999999998</v>
      </c>
      <c r="P1561">
        <v>2</v>
      </c>
      <c r="Q1561">
        <v>-6.0979999999999999</v>
      </c>
      <c r="R1561" s="1" t="s">
        <v>4422</v>
      </c>
      <c r="S1561">
        <v>2015</v>
      </c>
      <c r="T1561" s="1" t="s">
        <v>153</v>
      </c>
    </row>
    <row r="1562" spans="1:20" x14ac:dyDescent="0.25">
      <c r="A1562" s="1" t="s">
        <v>3732</v>
      </c>
      <c r="B1562" s="2">
        <v>42138</v>
      </c>
      <c r="C1562" s="2">
        <v>42143</v>
      </c>
      <c r="D1562" s="1" t="s">
        <v>37</v>
      </c>
      <c r="E1562" s="1" t="s">
        <v>1059</v>
      </c>
      <c r="F1562" s="1" t="s">
        <v>1060</v>
      </c>
      <c r="G1562" s="1" t="s">
        <v>84</v>
      </c>
      <c r="H1562" s="1" t="s">
        <v>3733</v>
      </c>
      <c r="I1562" s="1" t="s">
        <v>50</v>
      </c>
      <c r="J1562" s="1" t="s">
        <v>51</v>
      </c>
      <c r="K1562" s="1" t="s">
        <v>2325</v>
      </c>
      <c r="L1562" s="1" t="s">
        <v>29</v>
      </c>
      <c r="M1562" s="1" t="s">
        <v>34</v>
      </c>
      <c r="N1562" s="1" t="s">
        <v>2326</v>
      </c>
      <c r="O1562">
        <v>722.35199999999998</v>
      </c>
      <c r="P1562">
        <v>3</v>
      </c>
      <c r="Q1562">
        <v>81.264600000000002</v>
      </c>
      <c r="R1562" s="1" t="s">
        <v>4422</v>
      </c>
      <c r="S1562">
        <v>2015</v>
      </c>
      <c r="T1562" s="1" t="s">
        <v>153</v>
      </c>
    </row>
    <row r="1563" spans="1:20" x14ac:dyDescent="0.25">
      <c r="A1563" s="1" t="s">
        <v>3734</v>
      </c>
      <c r="B1563" s="2">
        <v>42520</v>
      </c>
      <c r="C1563" s="2">
        <v>42527</v>
      </c>
      <c r="D1563" s="1" t="s">
        <v>37</v>
      </c>
      <c r="E1563" s="1" t="s">
        <v>2299</v>
      </c>
      <c r="F1563" s="1" t="s">
        <v>2300</v>
      </c>
      <c r="G1563" s="1" t="s">
        <v>84</v>
      </c>
      <c r="H1563" s="1" t="s">
        <v>49</v>
      </c>
      <c r="I1563" s="1" t="s">
        <v>50</v>
      </c>
      <c r="J1563" s="1" t="s">
        <v>51</v>
      </c>
      <c r="K1563" s="1" t="s">
        <v>2272</v>
      </c>
      <c r="L1563" s="1" t="s">
        <v>29</v>
      </c>
      <c r="M1563" s="1" t="s">
        <v>53</v>
      </c>
      <c r="N1563" s="1" t="s">
        <v>2273</v>
      </c>
      <c r="O1563">
        <v>167.84</v>
      </c>
      <c r="P1563">
        <v>8</v>
      </c>
      <c r="Q1563">
        <v>11.748799999999999</v>
      </c>
      <c r="R1563" s="1" t="s">
        <v>4421</v>
      </c>
      <c r="S1563">
        <v>2016</v>
      </c>
      <c r="T1563" s="1" t="s">
        <v>153</v>
      </c>
    </row>
    <row r="1564" spans="1:20" x14ac:dyDescent="0.25">
      <c r="A1564" s="1" t="s">
        <v>3735</v>
      </c>
      <c r="B1564" s="2">
        <v>41737</v>
      </c>
      <c r="C1564" s="2">
        <v>41741</v>
      </c>
      <c r="D1564" s="1" t="s">
        <v>37</v>
      </c>
      <c r="E1564" s="1" t="s">
        <v>963</v>
      </c>
      <c r="F1564" s="1" t="s">
        <v>964</v>
      </c>
      <c r="G1564" s="1" t="s">
        <v>24</v>
      </c>
      <c r="H1564" s="1" t="s">
        <v>2522</v>
      </c>
      <c r="I1564" s="1" t="s">
        <v>223</v>
      </c>
      <c r="J1564" s="1" t="s">
        <v>63</v>
      </c>
      <c r="K1564" s="1" t="s">
        <v>2822</v>
      </c>
      <c r="L1564" s="1" t="s">
        <v>29</v>
      </c>
      <c r="M1564" s="1" t="s">
        <v>43</v>
      </c>
      <c r="N1564" s="1" t="s">
        <v>2823</v>
      </c>
      <c r="O1564">
        <v>172.11</v>
      </c>
      <c r="P1564">
        <v>1</v>
      </c>
      <c r="Q1564">
        <v>-94.660499999999999</v>
      </c>
      <c r="R1564" s="1" t="s">
        <v>4424</v>
      </c>
      <c r="S1564">
        <v>2014</v>
      </c>
      <c r="T1564" s="1" t="s">
        <v>107</v>
      </c>
    </row>
    <row r="1565" spans="1:20" x14ac:dyDescent="0.25">
      <c r="A1565" s="1" t="s">
        <v>3736</v>
      </c>
      <c r="B1565" s="2">
        <v>42885</v>
      </c>
      <c r="C1565" s="2">
        <v>42889</v>
      </c>
      <c r="D1565" s="1" t="s">
        <v>37</v>
      </c>
      <c r="E1565" s="1" t="s">
        <v>2886</v>
      </c>
      <c r="F1565" s="1" t="s">
        <v>2887</v>
      </c>
      <c r="G1565" s="1" t="s">
        <v>94</v>
      </c>
      <c r="H1565" s="1" t="s">
        <v>3737</v>
      </c>
      <c r="I1565" s="1" t="s">
        <v>1508</v>
      </c>
      <c r="J1565" s="1" t="s">
        <v>51</v>
      </c>
      <c r="K1565" s="1" t="s">
        <v>3536</v>
      </c>
      <c r="L1565" s="1" t="s">
        <v>29</v>
      </c>
      <c r="M1565" s="1" t="s">
        <v>53</v>
      </c>
      <c r="N1565" s="1" t="s">
        <v>3537</v>
      </c>
      <c r="O1565">
        <v>13.592000000000001</v>
      </c>
      <c r="P1565">
        <v>1</v>
      </c>
      <c r="Q1565">
        <v>-0.33979999999999999</v>
      </c>
      <c r="R1565" s="1" t="s">
        <v>4424</v>
      </c>
      <c r="S1565">
        <v>2017</v>
      </c>
      <c r="T1565" s="1" t="s">
        <v>153</v>
      </c>
    </row>
    <row r="1566" spans="1:20" x14ac:dyDescent="0.25">
      <c r="A1566" s="1" t="s">
        <v>3738</v>
      </c>
      <c r="B1566" s="2">
        <v>42442</v>
      </c>
      <c r="C1566" s="2">
        <v>42444</v>
      </c>
      <c r="D1566" s="1" t="s">
        <v>21</v>
      </c>
      <c r="E1566" s="1" t="s">
        <v>2064</v>
      </c>
      <c r="F1566" s="1" t="s">
        <v>2065</v>
      </c>
      <c r="G1566" s="1" t="s">
        <v>84</v>
      </c>
      <c r="H1566" s="1" t="s">
        <v>61</v>
      </c>
      <c r="I1566" s="1" t="s">
        <v>62</v>
      </c>
      <c r="J1566" s="1" t="s">
        <v>63</v>
      </c>
      <c r="K1566" s="1" t="s">
        <v>238</v>
      </c>
      <c r="L1566" s="1" t="s">
        <v>29</v>
      </c>
      <c r="M1566" s="1" t="s">
        <v>34</v>
      </c>
      <c r="N1566" s="1" t="s">
        <v>239</v>
      </c>
      <c r="O1566">
        <v>386.68</v>
      </c>
      <c r="P1566">
        <v>2</v>
      </c>
      <c r="Q1566">
        <v>-5.524</v>
      </c>
      <c r="R1566" s="1" t="s">
        <v>4423</v>
      </c>
      <c r="S1566">
        <v>2016</v>
      </c>
      <c r="T1566" s="1" t="s">
        <v>187</v>
      </c>
    </row>
    <row r="1567" spans="1:20" x14ac:dyDescent="0.25">
      <c r="A1567" s="1" t="s">
        <v>3739</v>
      </c>
      <c r="B1567" s="2">
        <v>42835</v>
      </c>
      <c r="C1567" s="2">
        <v>42839</v>
      </c>
      <c r="D1567" s="1" t="s">
        <v>37</v>
      </c>
      <c r="E1567" s="1" t="s">
        <v>255</v>
      </c>
      <c r="F1567" s="1" t="s">
        <v>256</v>
      </c>
      <c r="G1567" s="1" t="s">
        <v>24</v>
      </c>
      <c r="H1567" s="1" t="s">
        <v>61</v>
      </c>
      <c r="I1567" s="1" t="s">
        <v>62</v>
      </c>
      <c r="J1567" s="1" t="s">
        <v>63</v>
      </c>
      <c r="K1567" s="1" t="s">
        <v>861</v>
      </c>
      <c r="L1567" s="1" t="s">
        <v>29</v>
      </c>
      <c r="M1567" s="1" t="s">
        <v>53</v>
      </c>
      <c r="N1567" s="1" t="s">
        <v>862</v>
      </c>
      <c r="O1567">
        <v>36.671999999999997</v>
      </c>
      <c r="P1567">
        <v>3</v>
      </c>
      <c r="Q1567">
        <v>6.4176000000000002</v>
      </c>
      <c r="R1567" s="1" t="s">
        <v>4424</v>
      </c>
      <c r="S1567">
        <v>2017</v>
      </c>
      <c r="T1567" s="1" t="s">
        <v>107</v>
      </c>
    </row>
    <row r="1568" spans="1:20" x14ac:dyDescent="0.25">
      <c r="A1568" s="1" t="s">
        <v>3740</v>
      </c>
      <c r="B1568" s="2">
        <v>42546</v>
      </c>
      <c r="C1568" s="2">
        <v>42548</v>
      </c>
      <c r="D1568" s="1" t="s">
        <v>21</v>
      </c>
      <c r="E1568" s="1" t="s">
        <v>1161</v>
      </c>
      <c r="F1568" s="1" t="s">
        <v>1162</v>
      </c>
      <c r="G1568" s="1" t="s">
        <v>24</v>
      </c>
      <c r="H1568" s="1" t="s">
        <v>95</v>
      </c>
      <c r="I1568" s="1" t="s">
        <v>86</v>
      </c>
      <c r="J1568" s="1" t="s">
        <v>87</v>
      </c>
      <c r="K1568" s="1" t="s">
        <v>127</v>
      </c>
      <c r="L1568" s="1" t="s">
        <v>29</v>
      </c>
      <c r="M1568" s="1" t="s">
        <v>34</v>
      </c>
      <c r="N1568" s="1" t="s">
        <v>128</v>
      </c>
      <c r="O1568">
        <v>85.245999999999995</v>
      </c>
      <c r="P1568">
        <v>2</v>
      </c>
      <c r="Q1568">
        <v>-6.0890000000000004</v>
      </c>
      <c r="R1568" s="1" t="s">
        <v>4423</v>
      </c>
      <c r="S1568">
        <v>2016</v>
      </c>
      <c r="T1568" s="1" t="s">
        <v>55</v>
      </c>
    </row>
    <row r="1569" spans="1:20" x14ac:dyDescent="0.25">
      <c r="A1569" s="1" t="s">
        <v>3740</v>
      </c>
      <c r="B1569" s="2">
        <v>42546</v>
      </c>
      <c r="C1569" s="2">
        <v>42548</v>
      </c>
      <c r="D1569" s="1" t="s">
        <v>21</v>
      </c>
      <c r="E1569" s="1" t="s">
        <v>1161</v>
      </c>
      <c r="F1569" s="1" t="s">
        <v>1162</v>
      </c>
      <c r="G1569" s="1" t="s">
        <v>24</v>
      </c>
      <c r="H1569" s="1" t="s">
        <v>95</v>
      </c>
      <c r="I1569" s="1" t="s">
        <v>86</v>
      </c>
      <c r="J1569" s="1" t="s">
        <v>87</v>
      </c>
      <c r="K1569" s="1" t="s">
        <v>2427</v>
      </c>
      <c r="L1569" s="1" t="s">
        <v>29</v>
      </c>
      <c r="M1569" s="1" t="s">
        <v>53</v>
      </c>
      <c r="N1569" s="1" t="s">
        <v>2428</v>
      </c>
      <c r="O1569">
        <v>32.712000000000003</v>
      </c>
      <c r="P1569">
        <v>2</v>
      </c>
      <c r="Q1569">
        <v>-26.169599999999999</v>
      </c>
      <c r="R1569" s="1" t="s">
        <v>4423</v>
      </c>
      <c r="S1569">
        <v>2016</v>
      </c>
      <c r="T1569" s="1" t="s">
        <v>55</v>
      </c>
    </row>
    <row r="1570" spans="1:20" x14ac:dyDescent="0.25">
      <c r="A1570" s="1" t="s">
        <v>3741</v>
      </c>
      <c r="B1570" s="2">
        <v>42087</v>
      </c>
      <c r="C1570" s="2">
        <v>42090</v>
      </c>
      <c r="D1570" s="1" t="s">
        <v>21</v>
      </c>
      <c r="E1570" s="1" t="s">
        <v>2049</v>
      </c>
      <c r="F1570" s="1" t="s">
        <v>2050</v>
      </c>
      <c r="G1570" s="1" t="s">
        <v>84</v>
      </c>
      <c r="H1570" s="1" t="s">
        <v>3742</v>
      </c>
      <c r="I1570" s="1" t="s">
        <v>184</v>
      </c>
      <c r="J1570" s="1" t="s">
        <v>51</v>
      </c>
      <c r="K1570" s="1" t="s">
        <v>2117</v>
      </c>
      <c r="L1570" s="1" t="s">
        <v>29</v>
      </c>
      <c r="M1570" s="1" t="s">
        <v>53</v>
      </c>
      <c r="N1570" s="1" t="s">
        <v>2118</v>
      </c>
      <c r="O1570">
        <v>46.9</v>
      </c>
      <c r="P1570">
        <v>5</v>
      </c>
      <c r="Q1570">
        <v>13.132</v>
      </c>
      <c r="R1570" s="1" t="s">
        <v>4420</v>
      </c>
      <c r="S1570">
        <v>2015</v>
      </c>
      <c r="T1570" s="1" t="s">
        <v>187</v>
      </c>
    </row>
    <row r="1571" spans="1:20" x14ac:dyDescent="0.25">
      <c r="A1571" s="1" t="s">
        <v>3743</v>
      </c>
      <c r="B1571" s="2">
        <v>42980</v>
      </c>
      <c r="C1571" s="2">
        <v>42984</v>
      </c>
      <c r="D1571" s="1" t="s">
        <v>37</v>
      </c>
      <c r="E1571" s="1" t="s">
        <v>1497</v>
      </c>
      <c r="F1571" s="1" t="s">
        <v>1498</v>
      </c>
      <c r="G1571" s="1" t="s">
        <v>24</v>
      </c>
      <c r="H1571" s="1" t="s">
        <v>49</v>
      </c>
      <c r="I1571" s="1" t="s">
        <v>50</v>
      </c>
      <c r="J1571" s="1" t="s">
        <v>51</v>
      </c>
      <c r="K1571" s="1" t="s">
        <v>1456</v>
      </c>
      <c r="L1571" s="1" t="s">
        <v>29</v>
      </c>
      <c r="M1571" s="1" t="s">
        <v>43</v>
      </c>
      <c r="N1571" s="1" t="s">
        <v>1457</v>
      </c>
      <c r="O1571">
        <v>236.52799999999999</v>
      </c>
      <c r="P1571">
        <v>2</v>
      </c>
      <c r="Q1571">
        <v>-2.9565999999999999</v>
      </c>
      <c r="R1571" s="1" t="s">
        <v>4424</v>
      </c>
      <c r="S1571">
        <v>2017</v>
      </c>
      <c r="T1571" s="1" t="s">
        <v>72</v>
      </c>
    </row>
    <row r="1572" spans="1:20" x14ac:dyDescent="0.25">
      <c r="A1572" s="1" t="s">
        <v>3744</v>
      </c>
      <c r="B1572" s="2">
        <v>42769</v>
      </c>
      <c r="C1572" s="2">
        <v>42773</v>
      </c>
      <c r="D1572" s="1" t="s">
        <v>21</v>
      </c>
      <c r="E1572" s="1" t="s">
        <v>2480</v>
      </c>
      <c r="F1572" s="1" t="s">
        <v>2481</v>
      </c>
      <c r="G1572" s="1" t="s">
        <v>94</v>
      </c>
      <c r="H1572" s="1" t="s">
        <v>125</v>
      </c>
      <c r="I1572" s="1" t="s">
        <v>126</v>
      </c>
      <c r="J1572" s="1" t="s">
        <v>87</v>
      </c>
      <c r="K1572" s="1" t="s">
        <v>1775</v>
      </c>
      <c r="L1572" s="1" t="s">
        <v>29</v>
      </c>
      <c r="M1572" s="1" t="s">
        <v>53</v>
      </c>
      <c r="N1572" s="1" t="s">
        <v>1776</v>
      </c>
      <c r="O1572">
        <v>22.2</v>
      </c>
      <c r="P1572">
        <v>1</v>
      </c>
      <c r="Q1572">
        <v>-26.085000000000001</v>
      </c>
      <c r="R1572" s="1" t="s">
        <v>4424</v>
      </c>
      <c r="S1572">
        <v>2017</v>
      </c>
      <c r="T1572" s="1" t="s">
        <v>289</v>
      </c>
    </row>
    <row r="1573" spans="1:20" x14ac:dyDescent="0.25">
      <c r="A1573" s="1" t="s">
        <v>3745</v>
      </c>
      <c r="B1573" s="2">
        <v>43050</v>
      </c>
      <c r="C1573" s="2">
        <v>43053</v>
      </c>
      <c r="D1573" s="1" t="s">
        <v>81</v>
      </c>
      <c r="E1573" s="1" t="s">
        <v>2098</v>
      </c>
      <c r="F1573" s="1" t="s">
        <v>2099</v>
      </c>
      <c r="G1573" s="1" t="s">
        <v>24</v>
      </c>
      <c r="H1573" s="1" t="s">
        <v>3115</v>
      </c>
      <c r="I1573" s="1" t="s">
        <v>133</v>
      </c>
      <c r="J1573" s="1" t="s">
        <v>27</v>
      </c>
      <c r="K1573" s="1" t="s">
        <v>821</v>
      </c>
      <c r="L1573" s="1" t="s">
        <v>29</v>
      </c>
      <c r="M1573" s="1" t="s">
        <v>53</v>
      </c>
      <c r="N1573" s="1" t="s">
        <v>822</v>
      </c>
      <c r="O1573">
        <v>88.92</v>
      </c>
      <c r="P1573">
        <v>5</v>
      </c>
      <c r="Q1573">
        <v>14.4495</v>
      </c>
      <c r="R1573" s="1" t="s">
        <v>4420</v>
      </c>
      <c r="S1573">
        <v>2017</v>
      </c>
      <c r="T1573" s="1" t="s">
        <v>32</v>
      </c>
    </row>
    <row r="1574" spans="1:20" x14ac:dyDescent="0.25">
      <c r="A1574" s="1" t="s">
        <v>3746</v>
      </c>
      <c r="B1574" s="2">
        <v>42995</v>
      </c>
      <c r="C1574" s="2">
        <v>43000</v>
      </c>
      <c r="D1574" s="1" t="s">
        <v>21</v>
      </c>
      <c r="E1574" s="1" t="s">
        <v>1773</v>
      </c>
      <c r="F1574" s="1" t="s">
        <v>1774</v>
      </c>
      <c r="G1574" s="1" t="s">
        <v>94</v>
      </c>
      <c r="H1574" s="1" t="s">
        <v>95</v>
      </c>
      <c r="I1574" s="1" t="s">
        <v>86</v>
      </c>
      <c r="J1574" s="1" t="s">
        <v>87</v>
      </c>
      <c r="K1574" s="1" t="s">
        <v>1608</v>
      </c>
      <c r="L1574" s="1" t="s">
        <v>29</v>
      </c>
      <c r="M1574" s="1" t="s">
        <v>34</v>
      </c>
      <c r="N1574" s="1" t="s">
        <v>1609</v>
      </c>
      <c r="O1574">
        <v>318.43</v>
      </c>
      <c r="P1574">
        <v>5</v>
      </c>
      <c r="Q1574">
        <v>-77.332999999999998</v>
      </c>
      <c r="R1574" s="1" t="s">
        <v>4422</v>
      </c>
      <c r="S1574">
        <v>2017</v>
      </c>
      <c r="T1574" s="1" t="s">
        <v>72</v>
      </c>
    </row>
    <row r="1575" spans="1:20" x14ac:dyDescent="0.25">
      <c r="A1575" s="1" t="s">
        <v>3747</v>
      </c>
      <c r="B1575" s="2">
        <v>42110</v>
      </c>
      <c r="C1575" s="2">
        <v>42112</v>
      </c>
      <c r="D1575" s="1" t="s">
        <v>81</v>
      </c>
      <c r="E1575" s="1" t="s">
        <v>883</v>
      </c>
      <c r="F1575" s="1" t="s">
        <v>884</v>
      </c>
      <c r="G1575" s="1" t="s">
        <v>24</v>
      </c>
      <c r="H1575" s="1" t="s">
        <v>706</v>
      </c>
      <c r="I1575" s="1" t="s">
        <v>707</v>
      </c>
      <c r="J1575" s="1" t="s">
        <v>27</v>
      </c>
      <c r="K1575" s="1" t="s">
        <v>1822</v>
      </c>
      <c r="L1575" s="1" t="s">
        <v>29</v>
      </c>
      <c r="M1575" s="1" t="s">
        <v>53</v>
      </c>
      <c r="N1575" s="1" t="s">
        <v>1823</v>
      </c>
      <c r="O1575">
        <v>1196.8599999999999</v>
      </c>
      <c r="P1575">
        <v>7</v>
      </c>
      <c r="Q1575">
        <v>119.68600000000001</v>
      </c>
      <c r="R1575" s="1" t="s">
        <v>4423</v>
      </c>
      <c r="S1575">
        <v>2015</v>
      </c>
      <c r="T1575" s="1" t="s">
        <v>107</v>
      </c>
    </row>
    <row r="1576" spans="1:20" x14ac:dyDescent="0.25">
      <c r="A1576" s="1" t="s">
        <v>3747</v>
      </c>
      <c r="B1576" s="2">
        <v>42110</v>
      </c>
      <c r="C1576" s="2">
        <v>42112</v>
      </c>
      <c r="D1576" s="1" t="s">
        <v>81</v>
      </c>
      <c r="E1576" s="1" t="s">
        <v>883</v>
      </c>
      <c r="F1576" s="1" t="s">
        <v>884</v>
      </c>
      <c r="G1576" s="1" t="s">
        <v>24</v>
      </c>
      <c r="H1576" s="1" t="s">
        <v>706</v>
      </c>
      <c r="I1576" s="1" t="s">
        <v>707</v>
      </c>
      <c r="J1576" s="1" t="s">
        <v>27</v>
      </c>
      <c r="K1576" s="1" t="s">
        <v>851</v>
      </c>
      <c r="L1576" s="1" t="s">
        <v>29</v>
      </c>
      <c r="M1576" s="1" t="s">
        <v>30</v>
      </c>
      <c r="N1576" s="1" t="s">
        <v>852</v>
      </c>
      <c r="O1576">
        <v>523.26</v>
      </c>
      <c r="P1576">
        <v>9</v>
      </c>
      <c r="Q1576">
        <v>125.58240000000001</v>
      </c>
      <c r="R1576" s="1" t="s">
        <v>4423</v>
      </c>
      <c r="S1576">
        <v>2015</v>
      </c>
      <c r="T1576" s="1" t="s">
        <v>107</v>
      </c>
    </row>
    <row r="1577" spans="1:20" x14ac:dyDescent="0.25">
      <c r="A1577" s="1" t="s">
        <v>3748</v>
      </c>
      <c r="B1577" s="2">
        <v>43050</v>
      </c>
      <c r="C1577" s="2">
        <v>43054</v>
      </c>
      <c r="D1577" s="1" t="s">
        <v>21</v>
      </c>
      <c r="E1577" s="1" t="s">
        <v>3372</v>
      </c>
      <c r="F1577" s="1" t="s">
        <v>3373</v>
      </c>
      <c r="G1577" s="1" t="s">
        <v>94</v>
      </c>
      <c r="H1577" s="1" t="s">
        <v>49</v>
      </c>
      <c r="I1577" s="1" t="s">
        <v>50</v>
      </c>
      <c r="J1577" s="1" t="s">
        <v>51</v>
      </c>
      <c r="K1577" s="1" t="s">
        <v>886</v>
      </c>
      <c r="L1577" s="1" t="s">
        <v>29</v>
      </c>
      <c r="M1577" s="1" t="s">
        <v>53</v>
      </c>
      <c r="N1577" s="1" t="s">
        <v>887</v>
      </c>
      <c r="O1577">
        <v>34.92</v>
      </c>
      <c r="P1577">
        <v>4</v>
      </c>
      <c r="Q1577">
        <v>11.8728</v>
      </c>
      <c r="R1577" s="1" t="s">
        <v>4424</v>
      </c>
      <c r="S1577">
        <v>2017</v>
      </c>
      <c r="T1577" s="1" t="s">
        <v>32</v>
      </c>
    </row>
    <row r="1578" spans="1:20" x14ac:dyDescent="0.25">
      <c r="A1578" s="1" t="s">
        <v>3749</v>
      </c>
      <c r="B1578" s="2">
        <v>41897</v>
      </c>
      <c r="C1578" s="2">
        <v>41902</v>
      </c>
      <c r="D1578" s="1" t="s">
        <v>37</v>
      </c>
      <c r="E1578" s="1" t="s">
        <v>3750</v>
      </c>
      <c r="F1578" s="1" t="s">
        <v>3751</v>
      </c>
      <c r="G1578" s="1" t="s">
        <v>24</v>
      </c>
      <c r="H1578" s="1" t="s">
        <v>165</v>
      </c>
      <c r="I1578" s="1" t="s">
        <v>114</v>
      </c>
      <c r="J1578" s="1" t="s">
        <v>63</v>
      </c>
      <c r="K1578" s="1" t="s">
        <v>1339</v>
      </c>
      <c r="L1578" s="1" t="s">
        <v>29</v>
      </c>
      <c r="M1578" s="1" t="s">
        <v>53</v>
      </c>
      <c r="N1578" s="1" t="s">
        <v>1340</v>
      </c>
      <c r="O1578">
        <v>14.56</v>
      </c>
      <c r="P1578">
        <v>2</v>
      </c>
      <c r="Q1578">
        <v>6.2607999999999997</v>
      </c>
      <c r="R1578" s="1" t="s">
        <v>4422</v>
      </c>
      <c r="S1578">
        <v>2014</v>
      </c>
      <c r="T1578" s="1" t="s">
        <v>72</v>
      </c>
    </row>
    <row r="1579" spans="1:20" x14ac:dyDescent="0.25">
      <c r="A1579" s="1" t="s">
        <v>3752</v>
      </c>
      <c r="B1579" s="2">
        <v>41645</v>
      </c>
      <c r="C1579" s="2">
        <v>41649</v>
      </c>
      <c r="D1579" s="1" t="s">
        <v>37</v>
      </c>
      <c r="E1579" s="1" t="s">
        <v>1273</v>
      </c>
      <c r="F1579" s="1" t="s">
        <v>1274</v>
      </c>
      <c r="G1579" s="1" t="s">
        <v>94</v>
      </c>
      <c r="H1579" s="1" t="s">
        <v>25</v>
      </c>
      <c r="I1579" s="1" t="s">
        <v>26</v>
      </c>
      <c r="J1579" s="1" t="s">
        <v>27</v>
      </c>
      <c r="K1579" s="1" t="s">
        <v>198</v>
      </c>
      <c r="L1579" s="1" t="s">
        <v>29</v>
      </c>
      <c r="M1579" s="1" t="s">
        <v>34</v>
      </c>
      <c r="N1579" s="1" t="s">
        <v>199</v>
      </c>
      <c r="O1579">
        <v>2573.8200000000002</v>
      </c>
      <c r="P1579">
        <v>9</v>
      </c>
      <c r="Q1579">
        <v>746.40779999999995</v>
      </c>
      <c r="R1579" s="1" t="s">
        <v>4424</v>
      </c>
      <c r="S1579">
        <v>2014</v>
      </c>
      <c r="T1579" s="1" t="s">
        <v>161</v>
      </c>
    </row>
    <row r="1580" spans="1:20" x14ac:dyDescent="0.25">
      <c r="A1580" s="1" t="s">
        <v>3753</v>
      </c>
      <c r="B1580" s="2">
        <v>41988</v>
      </c>
      <c r="C1580" s="2">
        <v>41990</v>
      </c>
      <c r="D1580" s="1" t="s">
        <v>21</v>
      </c>
      <c r="E1580" s="1" t="s">
        <v>494</v>
      </c>
      <c r="F1580" s="1" t="s">
        <v>495</v>
      </c>
      <c r="G1580" s="1" t="s">
        <v>84</v>
      </c>
      <c r="H1580" s="1" t="s">
        <v>61</v>
      </c>
      <c r="I1580" s="1" t="s">
        <v>62</v>
      </c>
      <c r="J1580" s="1" t="s">
        <v>63</v>
      </c>
      <c r="K1580" s="1" t="s">
        <v>1608</v>
      </c>
      <c r="L1580" s="1" t="s">
        <v>29</v>
      </c>
      <c r="M1580" s="1" t="s">
        <v>34</v>
      </c>
      <c r="N1580" s="1" t="s">
        <v>1609</v>
      </c>
      <c r="O1580">
        <v>445.80200000000002</v>
      </c>
      <c r="P1580">
        <v>7</v>
      </c>
      <c r="Q1580">
        <v>-108.2662</v>
      </c>
      <c r="R1580" s="1" t="s">
        <v>4423</v>
      </c>
      <c r="S1580">
        <v>2014</v>
      </c>
      <c r="T1580" s="1" t="s">
        <v>90</v>
      </c>
    </row>
    <row r="1581" spans="1:20" x14ac:dyDescent="0.25">
      <c r="A1581" s="1" t="s">
        <v>3754</v>
      </c>
      <c r="B1581" s="2">
        <v>42357</v>
      </c>
      <c r="C1581" s="2">
        <v>42362</v>
      </c>
      <c r="D1581" s="1" t="s">
        <v>21</v>
      </c>
      <c r="E1581" s="1" t="s">
        <v>880</v>
      </c>
      <c r="F1581" s="1" t="s">
        <v>881</v>
      </c>
      <c r="G1581" s="1" t="s">
        <v>94</v>
      </c>
      <c r="H1581" s="1" t="s">
        <v>732</v>
      </c>
      <c r="I1581" s="1" t="s">
        <v>875</v>
      </c>
      <c r="J1581" s="1" t="s">
        <v>63</v>
      </c>
      <c r="K1581" s="1" t="s">
        <v>298</v>
      </c>
      <c r="L1581" s="1" t="s">
        <v>29</v>
      </c>
      <c r="M1581" s="1" t="s">
        <v>43</v>
      </c>
      <c r="N1581" s="1" t="s">
        <v>299</v>
      </c>
      <c r="O1581">
        <v>1053.164</v>
      </c>
      <c r="P1581">
        <v>4</v>
      </c>
      <c r="Q1581">
        <v>-105.3164</v>
      </c>
      <c r="R1581" s="1" t="s">
        <v>4422</v>
      </c>
      <c r="S1581">
        <v>2015</v>
      </c>
      <c r="T1581" s="1" t="s">
        <v>90</v>
      </c>
    </row>
    <row r="1582" spans="1:20" x14ac:dyDescent="0.25">
      <c r="A1582" s="1" t="s">
        <v>3755</v>
      </c>
      <c r="B1582" s="2">
        <v>42257</v>
      </c>
      <c r="C1582" s="2">
        <v>42263</v>
      </c>
      <c r="D1582" s="1" t="s">
        <v>37</v>
      </c>
      <c r="E1582" s="1" t="s">
        <v>1526</v>
      </c>
      <c r="F1582" s="1" t="s">
        <v>1527</v>
      </c>
      <c r="G1582" s="1" t="s">
        <v>84</v>
      </c>
      <c r="H1582" s="1" t="s">
        <v>49</v>
      </c>
      <c r="I1582" s="1" t="s">
        <v>50</v>
      </c>
      <c r="J1582" s="1" t="s">
        <v>51</v>
      </c>
      <c r="K1582" s="1" t="s">
        <v>159</v>
      </c>
      <c r="L1582" s="1" t="s">
        <v>29</v>
      </c>
      <c r="M1582" s="1" t="s">
        <v>53</v>
      </c>
      <c r="N1582" s="1" t="s">
        <v>160</v>
      </c>
      <c r="O1582">
        <v>106.68</v>
      </c>
      <c r="P1582">
        <v>6</v>
      </c>
      <c r="Q1582">
        <v>33.070799999999998</v>
      </c>
      <c r="R1582" s="1" t="s">
        <v>4426</v>
      </c>
      <c r="S1582">
        <v>2015</v>
      </c>
      <c r="T1582" s="1" t="s">
        <v>72</v>
      </c>
    </row>
    <row r="1583" spans="1:20" x14ac:dyDescent="0.25">
      <c r="A1583" s="1" t="s">
        <v>3756</v>
      </c>
      <c r="B1583" s="2">
        <v>42989</v>
      </c>
      <c r="C1583" s="2">
        <v>42994</v>
      </c>
      <c r="D1583" s="1" t="s">
        <v>37</v>
      </c>
      <c r="E1583" s="1" t="s">
        <v>3757</v>
      </c>
      <c r="F1583" s="1" t="s">
        <v>3758</v>
      </c>
      <c r="G1583" s="1" t="s">
        <v>24</v>
      </c>
      <c r="H1583" s="1" t="s">
        <v>95</v>
      </c>
      <c r="I1583" s="1" t="s">
        <v>86</v>
      </c>
      <c r="J1583" s="1" t="s">
        <v>87</v>
      </c>
      <c r="K1583" s="1" t="s">
        <v>1618</v>
      </c>
      <c r="L1583" s="1" t="s">
        <v>29</v>
      </c>
      <c r="M1583" s="1" t="s">
        <v>43</v>
      </c>
      <c r="N1583" s="1" t="s">
        <v>1619</v>
      </c>
      <c r="O1583">
        <v>512.19000000000005</v>
      </c>
      <c r="P1583">
        <v>5</v>
      </c>
      <c r="Q1583">
        <v>-65.852999999999994</v>
      </c>
      <c r="R1583" s="1" t="s">
        <v>4422</v>
      </c>
      <c r="S1583">
        <v>2017</v>
      </c>
      <c r="T1583" s="1" t="s">
        <v>72</v>
      </c>
    </row>
    <row r="1584" spans="1:20" x14ac:dyDescent="0.25">
      <c r="A1584" s="1" t="s">
        <v>3759</v>
      </c>
      <c r="B1584" s="2">
        <v>42930</v>
      </c>
      <c r="C1584" s="2">
        <v>42934</v>
      </c>
      <c r="D1584" s="1" t="s">
        <v>37</v>
      </c>
      <c r="E1584" s="1" t="s">
        <v>3760</v>
      </c>
      <c r="F1584" s="1" t="s">
        <v>3761</v>
      </c>
      <c r="G1584" s="1" t="s">
        <v>24</v>
      </c>
      <c r="H1584" s="1" t="s">
        <v>3762</v>
      </c>
      <c r="I1584" s="1" t="s">
        <v>50</v>
      </c>
      <c r="J1584" s="1" t="s">
        <v>51</v>
      </c>
      <c r="K1584" s="1" t="s">
        <v>911</v>
      </c>
      <c r="L1584" s="1" t="s">
        <v>29</v>
      </c>
      <c r="M1584" s="1" t="s">
        <v>53</v>
      </c>
      <c r="N1584" s="1" t="s">
        <v>912</v>
      </c>
      <c r="O1584">
        <v>276.69</v>
      </c>
      <c r="P1584">
        <v>3</v>
      </c>
      <c r="Q1584">
        <v>49.804200000000002</v>
      </c>
      <c r="R1584" s="1" t="s">
        <v>4424</v>
      </c>
      <c r="S1584">
        <v>2017</v>
      </c>
      <c r="T1584" s="1" t="s">
        <v>66</v>
      </c>
    </row>
    <row r="1585" spans="1:20" x14ac:dyDescent="0.25">
      <c r="A1585" s="1" t="s">
        <v>3759</v>
      </c>
      <c r="B1585" s="2">
        <v>42930</v>
      </c>
      <c r="C1585" s="2">
        <v>42934</v>
      </c>
      <c r="D1585" s="1" t="s">
        <v>37</v>
      </c>
      <c r="E1585" s="1" t="s">
        <v>3760</v>
      </c>
      <c r="F1585" s="1" t="s">
        <v>3761</v>
      </c>
      <c r="G1585" s="1" t="s">
        <v>24</v>
      </c>
      <c r="H1585" s="1" t="s">
        <v>3762</v>
      </c>
      <c r="I1585" s="1" t="s">
        <v>50</v>
      </c>
      <c r="J1585" s="1" t="s">
        <v>51</v>
      </c>
      <c r="K1585" s="1" t="s">
        <v>263</v>
      </c>
      <c r="L1585" s="1" t="s">
        <v>29</v>
      </c>
      <c r="M1585" s="1" t="s">
        <v>53</v>
      </c>
      <c r="N1585" s="1" t="s">
        <v>264</v>
      </c>
      <c r="O1585">
        <v>18.84</v>
      </c>
      <c r="P1585">
        <v>3</v>
      </c>
      <c r="Q1585">
        <v>7.9127999999999998</v>
      </c>
      <c r="R1585" s="1" t="s">
        <v>4424</v>
      </c>
      <c r="S1585">
        <v>2017</v>
      </c>
      <c r="T1585" s="1" t="s">
        <v>66</v>
      </c>
    </row>
    <row r="1586" spans="1:20" x14ac:dyDescent="0.25">
      <c r="A1586" s="1" t="s">
        <v>3763</v>
      </c>
      <c r="B1586" s="2">
        <v>42930</v>
      </c>
      <c r="C1586" s="2">
        <v>42934</v>
      </c>
      <c r="D1586" s="1" t="s">
        <v>37</v>
      </c>
      <c r="E1586" s="1" t="s">
        <v>2799</v>
      </c>
      <c r="F1586" s="1" t="s">
        <v>2800</v>
      </c>
      <c r="G1586" s="1" t="s">
        <v>24</v>
      </c>
      <c r="H1586" s="1" t="s">
        <v>339</v>
      </c>
      <c r="I1586" s="1" t="s">
        <v>223</v>
      </c>
      <c r="J1586" s="1" t="s">
        <v>63</v>
      </c>
      <c r="K1586" s="1" t="s">
        <v>1391</v>
      </c>
      <c r="L1586" s="1" t="s">
        <v>29</v>
      </c>
      <c r="M1586" s="1" t="s">
        <v>53</v>
      </c>
      <c r="N1586" s="1" t="s">
        <v>1392</v>
      </c>
      <c r="O1586">
        <v>396.92</v>
      </c>
      <c r="P1586">
        <v>5</v>
      </c>
      <c r="Q1586">
        <v>148.845</v>
      </c>
      <c r="R1586" s="1" t="s">
        <v>4424</v>
      </c>
      <c r="S1586">
        <v>2017</v>
      </c>
      <c r="T1586" s="1" t="s">
        <v>66</v>
      </c>
    </row>
    <row r="1587" spans="1:20" x14ac:dyDescent="0.25">
      <c r="A1587" s="1" t="s">
        <v>3764</v>
      </c>
      <c r="B1587" s="2">
        <v>42618</v>
      </c>
      <c r="C1587" s="2">
        <v>42624</v>
      </c>
      <c r="D1587" s="1" t="s">
        <v>37</v>
      </c>
      <c r="E1587" s="1" t="s">
        <v>1374</v>
      </c>
      <c r="F1587" s="1" t="s">
        <v>1375</v>
      </c>
      <c r="G1587" s="1" t="s">
        <v>24</v>
      </c>
      <c r="H1587" s="1" t="s">
        <v>806</v>
      </c>
      <c r="I1587" s="1" t="s">
        <v>223</v>
      </c>
      <c r="J1587" s="1" t="s">
        <v>63</v>
      </c>
      <c r="K1587" s="1" t="s">
        <v>290</v>
      </c>
      <c r="L1587" s="1" t="s">
        <v>29</v>
      </c>
      <c r="M1587" s="1" t="s">
        <v>34</v>
      </c>
      <c r="N1587" s="1" t="s">
        <v>291</v>
      </c>
      <c r="O1587">
        <v>85.245999999999995</v>
      </c>
      <c r="P1587">
        <v>2</v>
      </c>
      <c r="Q1587">
        <v>-1.2178</v>
      </c>
      <c r="R1587" s="1" t="s">
        <v>4426</v>
      </c>
      <c r="S1587">
        <v>2016</v>
      </c>
      <c r="T1587" s="1" t="s">
        <v>72</v>
      </c>
    </row>
    <row r="1588" spans="1:20" x14ac:dyDescent="0.25">
      <c r="A1588" s="1" t="s">
        <v>3765</v>
      </c>
      <c r="B1588" s="2">
        <v>41892</v>
      </c>
      <c r="C1588" s="2">
        <v>41898</v>
      </c>
      <c r="D1588" s="1" t="s">
        <v>37</v>
      </c>
      <c r="E1588" s="1" t="s">
        <v>2217</v>
      </c>
      <c r="F1588" s="1" t="s">
        <v>2218</v>
      </c>
      <c r="G1588" s="1" t="s">
        <v>24</v>
      </c>
      <c r="H1588" s="1" t="s">
        <v>2250</v>
      </c>
      <c r="I1588" s="1" t="s">
        <v>1508</v>
      </c>
      <c r="J1588" s="1" t="s">
        <v>51</v>
      </c>
      <c r="K1588" s="1" t="s">
        <v>1086</v>
      </c>
      <c r="L1588" s="1" t="s">
        <v>29</v>
      </c>
      <c r="M1588" s="1" t="s">
        <v>34</v>
      </c>
      <c r="N1588" s="1" t="s">
        <v>1087</v>
      </c>
      <c r="O1588">
        <v>1487.04</v>
      </c>
      <c r="P1588">
        <v>5</v>
      </c>
      <c r="Q1588">
        <v>148.70400000000001</v>
      </c>
      <c r="R1588" s="1" t="s">
        <v>4426</v>
      </c>
      <c r="S1588">
        <v>2014</v>
      </c>
      <c r="T1588" s="1" t="s">
        <v>72</v>
      </c>
    </row>
    <row r="1589" spans="1:20" x14ac:dyDescent="0.25">
      <c r="A1589" s="1" t="s">
        <v>3766</v>
      </c>
      <c r="B1589" s="2">
        <v>43004</v>
      </c>
      <c r="C1589" s="2">
        <v>43004</v>
      </c>
      <c r="D1589" s="1" t="s">
        <v>417</v>
      </c>
      <c r="E1589" s="1" t="s">
        <v>3313</v>
      </c>
      <c r="F1589" s="1" t="s">
        <v>3314</v>
      </c>
      <c r="G1589" s="1" t="s">
        <v>84</v>
      </c>
      <c r="H1589" s="1" t="s">
        <v>320</v>
      </c>
      <c r="I1589" s="1" t="s">
        <v>50</v>
      </c>
      <c r="J1589" s="1" t="s">
        <v>51</v>
      </c>
      <c r="K1589" s="1" t="s">
        <v>2002</v>
      </c>
      <c r="L1589" s="1" t="s">
        <v>29</v>
      </c>
      <c r="M1589" s="1" t="s">
        <v>53</v>
      </c>
      <c r="N1589" s="1" t="s">
        <v>2003</v>
      </c>
      <c r="O1589">
        <v>9.24</v>
      </c>
      <c r="P1589">
        <v>3</v>
      </c>
      <c r="Q1589">
        <v>2.9567999999999999</v>
      </c>
      <c r="R1589" s="1" t="s">
        <v>4427</v>
      </c>
      <c r="S1589">
        <v>2017</v>
      </c>
      <c r="T1589" s="1" t="s">
        <v>72</v>
      </c>
    </row>
    <row r="1590" spans="1:20" x14ac:dyDescent="0.25">
      <c r="A1590" s="1" t="s">
        <v>3767</v>
      </c>
      <c r="B1590" s="2">
        <v>42538</v>
      </c>
      <c r="C1590" s="2">
        <v>42540</v>
      </c>
      <c r="D1590" s="1" t="s">
        <v>81</v>
      </c>
      <c r="E1590" s="1" t="s">
        <v>213</v>
      </c>
      <c r="F1590" s="1" t="s">
        <v>214</v>
      </c>
      <c r="G1590" s="1" t="s">
        <v>24</v>
      </c>
      <c r="H1590" s="1" t="s">
        <v>3768</v>
      </c>
      <c r="I1590" s="1" t="s">
        <v>172</v>
      </c>
      <c r="J1590" s="1" t="s">
        <v>51</v>
      </c>
      <c r="K1590" s="1" t="s">
        <v>1844</v>
      </c>
      <c r="L1590" s="1" t="s">
        <v>29</v>
      </c>
      <c r="M1590" s="1" t="s">
        <v>53</v>
      </c>
      <c r="N1590" s="1" t="s">
        <v>1845</v>
      </c>
      <c r="O1590">
        <v>266.35199999999998</v>
      </c>
      <c r="P1590">
        <v>3</v>
      </c>
      <c r="Q1590">
        <v>-13.317600000000001</v>
      </c>
      <c r="R1590" s="1" t="s">
        <v>4423</v>
      </c>
      <c r="S1590">
        <v>2016</v>
      </c>
      <c r="T1590" s="1" t="s">
        <v>55</v>
      </c>
    </row>
    <row r="1591" spans="1:20" x14ac:dyDescent="0.25">
      <c r="A1591" s="1" t="s">
        <v>3767</v>
      </c>
      <c r="B1591" s="2">
        <v>42538</v>
      </c>
      <c r="C1591" s="2">
        <v>42540</v>
      </c>
      <c r="D1591" s="1" t="s">
        <v>81</v>
      </c>
      <c r="E1591" s="1" t="s">
        <v>213</v>
      </c>
      <c r="F1591" s="1" t="s">
        <v>214</v>
      </c>
      <c r="G1591" s="1" t="s">
        <v>24</v>
      </c>
      <c r="H1591" s="1" t="s">
        <v>3768</v>
      </c>
      <c r="I1591" s="1" t="s">
        <v>172</v>
      </c>
      <c r="J1591" s="1" t="s">
        <v>51</v>
      </c>
      <c r="K1591" s="1" t="s">
        <v>647</v>
      </c>
      <c r="L1591" s="1" t="s">
        <v>29</v>
      </c>
      <c r="M1591" s="1" t="s">
        <v>34</v>
      </c>
      <c r="N1591" s="1" t="s">
        <v>648</v>
      </c>
      <c r="O1591">
        <v>483.13600000000002</v>
      </c>
      <c r="P1591">
        <v>4</v>
      </c>
      <c r="Q1591">
        <v>54.352800000000002</v>
      </c>
      <c r="R1591" s="1" t="s">
        <v>4423</v>
      </c>
      <c r="S1591">
        <v>2016</v>
      </c>
      <c r="T1591" s="1" t="s">
        <v>55</v>
      </c>
    </row>
    <row r="1592" spans="1:20" x14ac:dyDescent="0.25">
      <c r="A1592" s="1" t="s">
        <v>3769</v>
      </c>
      <c r="B1592" s="2">
        <v>42791</v>
      </c>
      <c r="C1592" s="2">
        <v>42795</v>
      </c>
      <c r="D1592" s="1" t="s">
        <v>37</v>
      </c>
      <c r="E1592" s="1" t="s">
        <v>3339</v>
      </c>
      <c r="F1592" s="1" t="s">
        <v>3340</v>
      </c>
      <c r="G1592" s="1" t="s">
        <v>24</v>
      </c>
      <c r="H1592" s="1" t="s">
        <v>3770</v>
      </c>
      <c r="I1592" s="1" t="s">
        <v>1027</v>
      </c>
      <c r="J1592" s="1" t="s">
        <v>27</v>
      </c>
      <c r="K1592" s="1" t="s">
        <v>1019</v>
      </c>
      <c r="L1592" s="1" t="s">
        <v>29</v>
      </c>
      <c r="M1592" s="1" t="s">
        <v>34</v>
      </c>
      <c r="N1592" s="1" t="s">
        <v>1020</v>
      </c>
      <c r="O1592">
        <v>196.78399999999999</v>
      </c>
      <c r="P1592">
        <v>2</v>
      </c>
      <c r="Q1592">
        <v>-22.138200000000001</v>
      </c>
      <c r="R1592" s="1" t="s">
        <v>4424</v>
      </c>
      <c r="S1592">
        <v>2017</v>
      </c>
      <c r="T1592" s="1" t="s">
        <v>289</v>
      </c>
    </row>
    <row r="1593" spans="1:20" x14ac:dyDescent="0.25">
      <c r="A1593" s="1" t="s">
        <v>3769</v>
      </c>
      <c r="B1593" s="2">
        <v>42791</v>
      </c>
      <c r="C1593" s="2">
        <v>42795</v>
      </c>
      <c r="D1593" s="1" t="s">
        <v>37</v>
      </c>
      <c r="E1593" s="1" t="s">
        <v>3339</v>
      </c>
      <c r="F1593" s="1" t="s">
        <v>3340</v>
      </c>
      <c r="G1593" s="1" t="s">
        <v>24</v>
      </c>
      <c r="H1593" s="1" t="s">
        <v>3770</v>
      </c>
      <c r="I1593" s="1" t="s">
        <v>1027</v>
      </c>
      <c r="J1593" s="1" t="s">
        <v>27</v>
      </c>
      <c r="K1593" s="1" t="s">
        <v>340</v>
      </c>
      <c r="L1593" s="1" t="s">
        <v>29</v>
      </c>
      <c r="M1593" s="1" t="s">
        <v>30</v>
      </c>
      <c r="N1593" s="1" t="s">
        <v>341</v>
      </c>
      <c r="O1593">
        <v>231.92</v>
      </c>
      <c r="P1593">
        <v>5</v>
      </c>
      <c r="Q1593">
        <v>5.798</v>
      </c>
      <c r="R1593" s="1" t="s">
        <v>4424</v>
      </c>
      <c r="S1593">
        <v>2017</v>
      </c>
      <c r="T1593" s="1" t="s">
        <v>289</v>
      </c>
    </row>
    <row r="1594" spans="1:20" x14ac:dyDescent="0.25">
      <c r="A1594" s="1" t="s">
        <v>3771</v>
      </c>
      <c r="B1594" s="2">
        <v>43072</v>
      </c>
      <c r="C1594" s="2">
        <v>43077</v>
      </c>
      <c r="D1594" s="1" t="s">
        <v>37</v>
      </c>
      <c r="E1594" s="1" t="s">
        <v>1782</v>
      </c>
      <c r="F1594" s="1" t="s">
        <v>1783</v>
      </c>
      <c r="G1594" s="1" t="s">
        <v>24</v>
      </c>
      <c r="H1594" s="1" t="s">
        <v>95</v>
      </c>
      <c r="I1594" s="1" t="s">
        <v>86</v>
      </c>
      <c r="J1594" s="1" t="s">
        <v>87</v>
      </c>
      <c r="K1594" s="1" t="s">
        <v>3536</v>
      </c>
      <c r="L1594" s="1" t="s">
        <v>29</v>
      </c>
      <c r="M1594" s="1" t="s">
        <v>53</v>
      </c>
      <c r="N1594" s="1" t="s">
        <v>3537</v>
      </c>
      <c r="O1594">
        <v>13.592000000000001</v>
      </c>
      <c r="P1594">
        <v>2</v>
      </c>
      <c r="Q1594">
        <v>-14.271599999999999</v>
      </c>
      <c r="R1594" s="1" t="s">
        <v>4422</v>
      </c>
      <c r="S1594">
        <v>2017</v>
      </c>
      <c r="T1594" s="1" t="s">
        <v>90</v>
      </c>
    </row>
    <row r="1595" spans="1:20" x14ac:dyDescent="0.25">
      <c r="A1595" s="1" t="s">
        <v>3772</v>
      </c>
      <c r="B1595" s="2">
        <v>43071</v>
      </c>
      <c r="C1595" s="2">
        <v>43075</v>
      </c>
      <c r="D1595" s="1" t="s">
        <v>37</v>
      </c>
      <c r="E1595" s="1" t="s">
        <v>3773</v>
      </c>
      <c r="F1595" s="1" t="s">
        <v>3774</v>
      </c>
      <c r="G1595" s="1" t="s">
        <v>84</v>
      </c>
      <c r="H1595" s="1" t="s">
        <v>257</v>
      </c>
      <c r="I1595" s="1" t="s">
        <v>172</v>
      </c>
      <c r="J1595" s="1" t="s">
        <v>51</v>
      </c>
      <c r="K1595" s="1" t="s">
        <v>2806</v>
      </c>
      <c r="L1595" s="1" t="s">
        <v>29</v>
      </c>
      <c r="M1595" s="1" t="s">
        <v>30</v>
      </c>
      <c r="N1595" s="1" t="s">
        <v>2807</v>
      </c>
      <c r="O1595">
        <v>242.352</v>
      </c>
      <c r="P1595">
        <v>8</v>
      </c>
      <c r="Q1595">
        <v>-363.52800000000002</v>
      </c>
      <c r="R1595" s="1" t="s">
        <v>4424</v>
      </c>
      <c r="S1595">
        <v>2017</v>
      </c>
      <c r="T1595" s="1" t="s">
        <v>90</v>
      </c>
    </row>
    <row r="1596" spans="1:20" x14ac:dyDescent="0.25">
      <c r="A1596" s="1" t="s">
        <v>3772</v>
      </c>
      <c r="B1596" s="2">
        <v>43071</v>
      </c>
      <c r="C1596" s="2">
        <v>43075</v>
      </c>
      <c r="D1596" s="1" t="s">
        <v>37</v>
      </c>
      <c r="E1596" s="1" t="s">
        <v>3773</v>
      </c>
      <c r="F1596" s="1" t="s">
        <v>3774</v>
      </c>
      <c r="G1596" s="1" t="s">
        <v>84</v>
      </c>
      <c r="H1596" s="1" t="s">
        <v>257</v>
      </c>
      <c r="I1596" s="1" t="s">
        <v>172</v>
      </c>
      <c r="J1596" s="1" t="s">
        <v>51</v>
      </c>
      <c r="K1596" s="1" t="s">
        <v>1382</v>
      </c>
      <c r="L1596" s="1" t="s">
        <v>29</v>
      </c>
      <c r="M1596" s="1" t="s">
        <v>53</v>
      </c>
      <c r="N1596" s="1" t="s">
        <v>1383</v>
      </c>
      <c r="O1596">
        <v>508.70400000000001</v>
      </c>
      <c r="P1596">
        <v>6</v>
      </c>
      <c r="Q1596">
        <v>0</v>
      </c>
      <c r="R1596" s="1" t="s">
        <v>4424</v>
      </c>
      <c r="S1596">
        <v>2017</v>
      </c>
      <c r="T1596" s="1" t="s">
        <v>90</v>
      </c>
    </row>
    <row r="1597" spans="1:20" x14ac:dyDescent="0.25">
      <c r="A1597" s="1" t="s">
        <v>3772</v>
      </c>
      <c r="B1597" s="2">
        <v>43071</v>
      </c>
      <c r="C1597" s="2">
        <v>43075</v>
      </c>
      <c r="D1597" s="1" t="s">
        <v>37</v>
      </c>
      <c r="E1597" s="1" t="s">
        <v>3773</v>
      </c>
      <c r="F1597" s="1" t="s">
        <v>3774</v>
      </c>
      <c r="G1597" s="1" t="s">
        <v>84</v>
      </c>
      <c r="H1597" s="1" t="s">
        <v>257</v>
      </c>
      <c r="I1597" s="1" t="s">
        <v>172</v>
      </c>
      <c r="J1597" s="1" t="s">
        <v>51</v>
      </c>
      <c r="K1597" s="1" t="s">
        <v>796</v>
      </c>
      <c r="L1597" s="1" t="s">
        <v>29</v>
      </c>
      <c r="M1597" s="1" t="s">
        <v>34</v>
      </c>
      <c r="N1597" s="1" t="s">
        <v>797</v>
      </c>
      <c r="O1597">
        <v>906.68</v>
      </c>
      <c r="P1597">
        <v>5</v>
      </c>
      <c r="Q1597">
        <v>68.001000000000005</v>
      </c>
      <c r="R1597" s="1" t="s">
        <v>4424</v>
      </c>
      <c r="S1597">
        <v>2017</v>
      </c>
      <c r="T1597" s="1" t="s">
        <v>90</v>
      </c>
    </row>
    <row r="1598" spans="1:20" x14ac:dyDescent="0.25">
      <c r="A1598" s="1" t="s">
        <v>3775</v>
      </c>
      <c r="B1598" s="2">
        <v>42618</v>
      </c>
      <c r="C1598" s="2">
        <v>42620</v>
      </c>
      <c r="D1598" s="1" t="s">
        <v>81</v>
      </c>
      <c r="E1598" s="1" t="s">
        <v>1814</v>
      </c>
      <c r="F1598" s="1" t="s">
        <v>1815</v>
      </c>
      <c r="G1598" s="1" t="s">
        <v>84</v>
      </c>
      <c r="H1598" s="1" t="s">
        <v>95</v>
      </c>
      <c r="I1598" s="1" t="s">
        <v>86</v>
      </c>
      <c r="J1598" s="1" t="s">
        <v>87</v>
      </c>
      <c r="K1598" s="1" t="s">
        <v>1980</v>
      </c>
      <c r="L1598" s="1" t="s">
        <v>29</v>
      </c>
      <c r="M1598" s="1" t="s">
        <v>53</v>
      </c>
      <c r="N1598" s="1" t="s">
        <v>1981</v>
      </c>
      <c r="O1598">
        <v>21.204000000000001</v>
      </c>
      <c r="P1598">
        <v>3</v>
      </c>
      <c r="Q1598">
        <v>-11.6622</v>
      </c>
      <c r="R1598" s="1" t="s">
        <v>4423</v>
      </c>
      <c r="S1598">
        <v>2016</v>
      </c>
      <c r="T1598" s="1" t="s">
        <v>72</v>
      </c>
    </row>
    <row r="1599" spans="1:20" x14ac:dyDescent="0.25">
      <c r="A1599" s="1" t="s">
        <v>3776</v>
      </c>
      <c r="B1599" s="2">
        <v>41769</v>
      </c>
      <c r="C1599" s="2">
        <v>41773</v>
      </c>
      <c r="D1599" s="1" t="s">
        <v>21</v>
      </c>
      <c r="E1599" s="1" t="s">
        <v>854</v>
      </c>
      <c r="F1599" s="1" t="s">
        <v>855</v>
      </c>
      <c r="G1599" s="1" t="s">
        <v>24</v>
      </c>
      <c r="H1599" s="1" t="s">
        <v>61</v>
      </c>
      <c r="I1599" s="1" t="s">
        <v>62</v>
      </c>
      <c r="J1599" s="1" t="s">
        <v>63</v>
      </c>
      <c r="K1599" s="1" t="s">
        <v>1127</v>
      </c>
      <c r="L1599" s="1" t="s">
        <v>29</v>
      </c>
      <c r="M1599" s="1" t="s">
        <v>30</v>
      </c>
      <c r="N1599" s="1" t="s">
        <v>1128</v>
      </c>
      <c r="O1599">
        <v>349.96499999999997</v>
      </c>
      <c r="P1599">
        <v>7</v>
      </c>
      <c r="Q1599">
        <v>-216.97829999999999</v>
      </c>
      <c r="R1599" s="1" t="s">
        <v>4424</v>
      </c>
      <c r="S1599">
        <v>2014</v>
      </c>
      <c r="T1599" s="1" t="s">
        <v>153</v>
      </c>
    </row>
    <row r="1600" spans="1:20" x14ac:dyDescent="0.25">
      <c r="A1600" s="1" t="s">
        <v>3777</v>
      </c>
      <c r="B1600" s="2">
        <v>41944</v>
      </c>
      <c r="C1600" s="2">
        <v>41948</v>
      </c>
      <c r="D1600" s="1" t="s">
        <v>37</v>
      </c>
      <c r="E1600" s="1" t="s">
        <v>924</v>
      </c>
      <c r="F1600" s="1" t="s">
        <v>925</v>
      </c>
      <c r="G1600" s="1" t="s">
        <v>24</v>
      </c>
      <c r="H1600" s="1" t="s">
        <v>721</v>
      </c>
      <c r="I1600" s="1" t="s">
        <v>114</v>
      </c>
      <c r="J1600" s="1" t="s">
        <v>63</v>
      </c>
      <c r="K1600" s="1" t="s">
        <v>1649</v>
      </c>
      <c r="L1600" s="1" t="s">
        <v>29</v>
      </c>
      <c r="M1600" s="1" t="s">
        <v>53</v>
      </c>
      <c r="N1600" s="1" t="s">
        <v>1650</v>
      </c>
      <c r="O1600">
        <v>31.68</v>
      </c>
      <c r="P1600">
        <v>6</v>
      </c>
      <c r="Q1600">
        <v>9.8208000000000002</v>
      </c>
      <c r="R1600" s="1" t="s">
        <v>4424</v>
      </c>
      <c r="S1600">
        <v>2014</v>
      </c>
      <c r="T1600" s="1" t="s">
        <v>32</v>
      </c>
    </row>
    <row r="1601" spans="1:20" x14ac:dyDescent="0.25">
      <c r="A1601" s="1" t="s">
        <v>3778</v>
      </c>
      <c r="B1601" s="2">
        <v>42734</v>
      </c>
      <c r="C1601" s="2">
        <v>42736</v>
      </c>
      <c r="D1601" s="1" t="s">
        <v>81</v>
      </c>
      <c r="E1601" s="1" t="s">
        <v>1051</v>
      </c>
      <c r="F1601" s="1" t="s">
        <v>1052</v>
      </c>
      <c r="G1601" s="1" t="s">
        <v>24</v>
      </c>
      <c r="H1601" s="1" t="s">
        <v>806</v>
      </c>
      <c r="I1601" s="1" t="s">
        <v>62</v>
      </c>
      <c r="J1601" s="1" t="s">
        <v>63</v>
      </c>
      <c r="K1601" s="1" t="s">
        <v>33</v>
      </c>
      <c r="L1601" s="1" t="s">
        <v>29</v>
      </c>
      <c r="M1601" s="1" t="s">
        <v>34</v>
      </c>
      <c r="N1601" s="1" t="s">
        <v>35</v>
      </c>
      <c r="O1601">
        <v>170.786</v>
      </c>
      <c r="P1601">
        <v>1</v>
      </c>
      <c r="Q1601">
        <v>0</v>
      </c>
      <c r="R1601" s="1" t="s">
        <v>4423</v>
      </c>
      <c r="S1601">
        <v>2016</v>
      </c>
      <c r="T1601" s="1" t="s">
        <v>90</v>
      </c>
    </row>
    <row r="1602" spans="1:20" x14ac:dyDescent="0.25">
      <c r="A1602" s="1" t="s">
        <v>3779</v>
      </c>
      <c r="B1602" s="2">
        <v>42616</v>
      </c>
      <c r="C1602" s="2">
        <v>42620</v>
      </c>
      <c r="D1602" s="1" t="s">
        <v>37</v>
      </c>
      <c r="E1602" s="1" t="s">
        <v>3780</v>
      </c>
      <c r="F1602" s="1" t="s">
        <v>3781</v>
      </c>
      <c r="G1602" s="1" t="s">
        <v>24</v>
      </c>
      <c r="H1602" s="1" t="s">
        <v>125</v>
      </c>
      <c r="I1602" s="1" t="s">
        <v>126</v>
      </c>
      <c r="J1602" s="1" t="s">
        <v>87</v>
      </c>
      <c r="K1602" s="1" t="s">
        <v>2734</v>
      </c>
      <c r="L1602" s="1" t="s">
        <v>29</v>
      </c>
      <c r="M1602" s="1" t="s">
        <v>30</v>
      </c>
      <c r="N1602" s="1" t="s">
        <v>2735</v>
      </c>
      <c r="O1602">
        <v>198.744</v>
      </c>
      <c r="P1602">
        <v>4</v>
      </c>
      <c r="Q1602">
        <v>0</v>
      </c>
      <c r="R1602" s="1" t="s">
        <v>4424</v>
      </c>
      <c r="S1602">
        <v>2016</v>
      </c>
      <c r="T1602" s="1" t="s">
        <v>72</v>
      </c>
    </row>
    <row r="1603" spans="1:20" x14ac:dyDescent="0.25">
      <c r="A1603" s="1" t="s">
        <v>3782</v>
      </c>
      <c r="B1603" s="2">
        <v>42399</v>
      </c>
      <c r="C1603" s="2">
        <v>42401</v>
      </c>
      <c r="D1603" s="1" t="s">
        <v>21</v>
      </c>
      <c r="E1603" s="1" t="s">
        <v>3783</v>
      </c>
      <c r="F1603" s="1" t="s">
        <v>3784</v>
      </c>
      <c r="G1603" s="1" t="s">
        <v>24</v>
      </c>
      <c r="H1603" s="1" t="s">
        <v>183</v>
      </c>
      <c r="I1603" s="1" t="s">
        <v>184</v>
      </c>
      <c r="J1603" s="1" t="s">
        <v>51</v>
      </c>
      <c r="K1603" s="1" t="s">
        <v>1909</v>
      </c>
      <c r="L1603" s="1" t="s">
        <v>29</v>
      </c>
      <c r="M1603" s="1" t="s">
        <v>34</v>
      </c>
      <c r="N1603" s="1" t="s">
        <v>1910</v>
      </c>
      <c r="O1603">
        <v>435.16800000000001</v>
      </c>
      <c r="P1603">
        <v>4</v>
      </c>
      <c r="Q1603">
        <v>-59.835599999999999</v>
      </c>
      <c r="R1603" s="1" t="s">
        <v>4423</v>
      </c>
      <c r="S1603">
        <v>2016</v>
      </c>
      <c r="T1603" s="1" t="s">
        <v>161</v>
      </c>
    </row>
    <row r="1604" spans="1:20" x14ac:dyDescent="0.25">
      <c r="A1604" s="1" t="s">
        <v>3782</v>
      </c>
      <c r="B1604" s="2">
        <v>42399</v>
      </c>
      <c r="C1604" s="2">
        <v>42401</v>
      </c>
      <c r="D1604" s="1" t="s">
        <v>21</v>
      </c>
      <c r="E1604" s="1" t="s">
        <v>3783</v>
      </c>
      <c r="F1604" s="1" t="s">
        <v>3784</v>
      </c>
      <c r="G1604" s="1" t="s">
        <v>24</v>
      </c>
      <c r="H1604" s="1" t="s">
        <v>183</v>
      </c>
      <c r="I1604" s="1" t="s">
        <v>184</v>
      </c>
      <c r="J1604" s="1" t="s">
        <v>51</v>
      </c>
      <c r="K1604" s="1" t="s">
        <v>1594</v>
      </c>
      <c r="L1604" s="1" t="s">
        <v>29</v>
      </c>
      <c r="M1604" s="1" t="s">
        <v>30</v>
      </c>
      <c r="N1604" s="1" t="s">
        <v>1595</v>
      </c>
      <c r="O1604">
        <v>48.58</v>
      </c>
      <c r="P1604">
        <v>1</v>
      </c>
      <c r="Q1604">
        <v>7.7728000000000002</v>
      </c>
      <c r="R1604" s="1" t="s">
        <v>4423</v>
      </c>
      <c r="S1604">
        <v>2016</v>
      </c>
      <c r="T1604" s="1" t="s">
        <v>161</v>
      </c>
    </row>
    <row r="1605" spans="1:20" x14ac:dyDescent="0.25">
      <c r="A1605" s="1" t="s">
        <v>3785</v>
      </c>
      <c r="B1605" s="2">
        <v>41933</v>
      </c>
      <c r="C1605" s="2">
        <v>41938</v>
      </c>
      <c r="D1605" s="1" t="s">
        <v>37</v>
      </c>
      <c r="E1605" s="1" t="s">
        <v>1536</v>
      </c>
      <c r="F1605" s="1" t="s">
        <v>1537</v>
      </c>
      <c r="G1605" s="1" t="s">
        <v>84</v>
      </c>
      <c r="H1605" s="1" t="s">
        <v>3786</v>
      </c>
      <c r="I1605" s="1" t="s">
        <v>707</v>
      </c>
      <c r="J1605" s="1" t="s">
        <v>27</v>
      </c>
      <c r="K1605" s="1" t="s">
        <v>1456</v>
      </c>
      <c r="L1605" s="1" t="s">
        <v>29</v>
      </c>
      <c r="M1605" s="1" t="s">
        <v>43</v>
      </c>
      <c r="N1605" s="1" t="s">
        <v>1457</v>
      </c>
      <c r="O1605">
        <v>591.32000000000005</v>
      </c>
      <c r="P1605">
        <v>4</v>
      </c>
      <c r="Q1605">
        <v>112.35080000000001</v>
      </c>
      <c r="R1605" s="1" t="s">
        <v>4422</v>
      </c>
      <c r="S1605">
        <v>2014</v>
      </c>
      <c r="T1605" s="1" t="s">
        <v>45</v>
      </c>
    </row>
    <row r="1606" spans="1:20" x14ac:dyDescent="0.25">
      <c r="A1606" s="1" t="s">
        <v>3787</v>
      </c>
      <c r="B1606" s="2">
        <v>42722</v>
      </c>
      <c r="C1606" s="2">
        <v>42725</v>
      </c>
      <c r="D1606" s="1" t="s">
        <v>81</v>
      </c>
      <c r="E1606" s="1" t="s">
        <v>163</v>
      </c>
      <c r="F1606" s="1" t="s">
        <v>164</v>
      </c>
      <c r="G1606" s="1" t="s">
        <v>94</v>
      </c>
      <c r="H1606" s="1" t="s">
        <v>831</v>
      </c>
      <c r="I1606" s="1" t="s">
        <v>832</v>
      </c>
      <c r="J1606" s="1" t="s">
        <v>87</v>
      </c>
      <c r="K1606" s="1" t="s">
        <v>616</v>
      </c>
      <c r="L1606" s="1" t="s">
        <v>29</v>
      </c>
      <c r="M1606" s="1" t="s">
        <v>34</v>
      </c>
      <c r="N1606" s="1" t="s">
        <v>617</v>
      </c>
      <c r="O1606">
        <v>563.94000000000005</v>
      </c>
      <c r="P1606">
        <v>3</v>
      </c>
      <c r="Q1606">
        <v>112.788</v>
      </c>
      <c r="R1606" s="1" t="s">
        <v>4420</v>
      </c>
      <c r="S1606">
        <v>2016</v>
      </c>
      <c r="T1606" s="1" t="s">
        <v>90</v>
      </c>
    </row>
    <row r="1607" spans="1:20" x14ac:dyDescent="0.25">
      <c r="A1607" s="1" t="s">
        <v>3788</v>
      </c>
      <c r="B1607" s="2">
        <v>42110</v>
      </c>
      <c r="C1607" s="2">
        <v>42115</v>
      </c>
      <c r="D1607" s="1" t="s">
        <v>37</v>
      </c>
      <c r="E1607" s="1" t="s">
        <v>2115</v>
      </c>
      <c r="F1607" s="1" t="s">
        <v>2116</v>
      </c>
      <c r="G1607" s="1" t="s">
        <v>84</v>
      </c>
      <c r="H1607" s="1" t="s">
        <v>165</v>
      </c>
      <c r="I1607" s="1" t="s">
        <v>114</v>
      </c>
      <c r="J1607" s="1" t="s">
        <v>63</v>
      </c>
      <c r="K1607" s="1" t="s">
        <v>115</v>
      </c>
      <c r="L1607" s="1" t="s">
        <v>29</v>
      </c>
      <c r="M1607" s="1" t="s">
        <v>34</v>
      </c>
      <c r="N1607" s="1" t="s">
        <v>116</v>
      </c>
      <c r="O1607">
        <v>127.764</v>
      </c>
      <c r="P1607">
        <v>2</v>
      </c>
      <c r="Q1607">
        <v>2.8391999999999999</v>
      </c>
      <c r="R1607" s="1" t="s">
        <v>4422</v>
      </c>
      <c r="S1607">
        <v>2015</v>
      </c>
      <c r="T1607" s="1" t="s">
        <v>107</v>
      </c>
    </row>
    <row r="1608" spans="1:20" x14ac:dyDescent="0.25">
      <c r="A1608" s="1" t="s">
        <v>3789</v>
      </c>
      <c r="B1608" s="2">
        <v>43055</v>
      </c>
      <c r="C1608" s="2">
        <v>43061</v>
      </c>
      <c r="D1608" s="1" t="s">
        <v>37</v>
      </c>
      <c r="E1608" s="1" t="s">
        <v>1284</v>
      </c>
      <c r="F1608" s="1" t="s">
        <v>1285</v>
      </c>
      <c r="G1608" s="1" t="s">
        <v>24</v>
      </c>
      <c r="H1608" s="1" t="s">
        <v>215</v>
      </c>
      <c r="I1608" s="1" t="s">
        <v>50</v>
      </c>
      <c r="J1608" s="1" t="s">
        <v>51</v>
      </c>
      <c r="K1608" s="1" t="s">
        <v>1487</v>
      </c>
      <c r="L1608" s="1" t="s">
        <v>29</v>
      </c>
      <c r="M1608" s="1" t="s">
        <v>53</v>
      </c>
      <c r="N1608" s="1" t="s">
        <v>1488</v>
      </c>
      <c r="O1608">
        <v>17.309999999999999</v>
      </c>
      <c r="P1608">
        <v>3</v>
      </c>
      <c r="Q1608">
        <v>5.1929999999999996</v>
      </c>
      <c r="R1608" s="1" t="s">
        <v>4426</v>
      </c>
      <c r="S1608">
        <v>2017</v>
      </c>
      <c r="T1608" s="1" t="s">
        <v>32</v>
      </c>
    </row>
    <row r="1609" spans="1:20" x14ac:dyDescent="0.25">
      <c r="A1609" s="1" t="s">
        <v>3790</v>
      </c>
      <c r="B1609" s="2">
        <v>42618</v>
      </c>
      <c r="C1609" s="2">
        <v>42622</v>
      </c>
      <c r="D1609" s="1" t="s">
        <v>37</v>
      </c>
      <c r="E1609" s="1" t="s">
        <v>3161</v>
      </c>
      <c r="F1609" s="1" t="s">
        <v>3162</v>
      </c>
      <c r="G1609" s="1" t="s">
        <v>24</v>
      </c>
      <c r="H1609" s="1" t="s">
        <v>61</v>
      </c>
      <c r="I1609" s="1" t="s">
        <v>62</v>
      </c>
      <c r="J1609" s="1" t="s">
        <v>63</v>
      </c>
      <c r="K1609" s="1" t="s">
        <v>141</v>
      </c>
      <c r="L1609" s="1" t="s">
        <v>29</v>
      </c>
      <c r="M1609" s="1" t="s">
        <v>53</v>
      </c>
      <c r="N1609" s="1" t="s">
        <v>142</v>
      </c>
      <c r="O1609">
        <v>58.247999999999998</v>
      </c>
      <c r="P1609">
        <v>9</v>
      </c>
      <c r="Q1609">
        <v>11.6496</v>
      </c>
      <c r="R1609" s="1" t="s">
        <v>4424</v>
      </c>
      <c r="S1609">
        <v>2016</v>
      </c>
      <c r="T1609" s="1" t="s">
        <v>72</v>
      </c>
    </row>
    <row r="1610" spans="1:20" x14ac:dyDescent="0.25">
      <c r="A1610" s="1" t="s">
        <v>3790</v>
      </c>
      <c r="B1610" s="2">
        <v>42618</v>
      </c>
      <c r="C1610" s="2">
        <v>42622</v>
      </c>
      <c r="D1610" s="1" t="s">
        <v>37</v>
      </c>
      <c r="E1610" s="1" t="s">
        <v>3161</v>
      </c>
      <c r="F1610" s="1" t="s">
        <v>3162</v>
      </c>
      <c r="G1610" s="1" t="s">
        <v>24</v>
      </c>
      <c r="H1610" s="1" t="s">
        <v>61</v>
      </c>
      <c r="I1610" s="1" t="s">
        <v>62</v>
      </c>
      <c r="J1610" s="1" t="s">
        <v>63</v>
      </c>
      <c r="K1610" s="1" t="s">
        <v>127</v>
      </c>
      <c r="L1610" s="1" t="s">
        <v>29</v>
      </c>
      <c r="M1610" s="1" t="s">
        <v>34</v>
      </c>
      <c r="N1610" s="1" t="s">
        <v>209</v>
      </c>
      <c r="O1610">
        <v>71.245999999999995</v>
      </c>
      <c r="P1610">
        <v>2</v>
      </c>
      <c r="Q1610">
        <v>-19.338200000000001</v>
      </c>
      <c r="R1610" s="1" t="s">
        <v>4424</v>
      </c>
      <c r="S1610">
        <v>2016</v>
      </c>
      <c r="T1610" s="1" t="s">
        <v>72</v>
      </c>
    </row>
    <row r="1611" spans="1:20" x14ac:dyDescent="0.25">
      <c r="A1611" s="1" t="s">
        <v>3790</v>
      </c>
      <c r="B1611" s="2">
        <v>42618</v>
      </c>
      <c r="C1611" s="2">
        <v>42622</v>
      </c>
      <c r="D1611" s="1" t="s">
        <v>37</v>
      </c>
      <c r="E1611" s="1" t="s">
        <v>3161</v>
      </c>
      <c r="F1611" s="1" t="s">
        <v>3162</v>
      </c>
      <c r="G1611" s="1" t="s">
        <v>24</v>
      </c>
      <c r="H1611" s="1" t="s">
        <v>61</v>
      </c>
      <c r="I1611" s="1" t="s">
        <v>62</v>
      </c>
      <c r="J1611" s="1" t="s">
        <v>63</v>
      </c>
      <c r="K1611" s="1" t="s">
        <v>972</v>
      </c>
      <c r="L1611" s="1" t="s">
        <v>29</v>
      </c>
      <c r="M1611" s="1" t="s">
        <v>34</v>
      </c>
      <c r="N1611" s="1" t="s">
        <v>973</v>
      </c>
      <c r="O1611">
        <v>887.27099999999996</v>
      </c>
      <c r="P1611">
        <v>3</v>
      </c>
      <c r="Q1611">
        <v>-63.3765</v>
      </c>
      <c r="R1611" s="1" t="s">
        <v>4424</v>
      </c>
      <c r="S1611">
        <v>2016</v>
      </c>
      <c r="T1611" s="1" t="s">
        <v>72</v>
      </c>
    </row>
    <row r="1612" spans="1:20" x14ac:dyDescent="0.25">
      <c r="A1612" s="1" t="s">
        <v>3791</v>
      </c>
      <c r="B1612" s="2">
        <v>42517</v>
      </c>
      <c r="C1612" s="2">
        <v>42521</v>
      </c>
      <c r="D1612" s="1" t="s">
        <v>37</v>
      </c>
      <c r="E1612" s="1" t="s">
        <v>3289</v>
      </c>
      <c r="F1612" s="1" t="s">
        <v>3290</v>
      </c>
      <c r="G1612" s="1" t="s">
        <v>24</v>
      </c>
      <c r="H1612" s="1" t="s">
        <v>125</v>
      </c>
      <c r="I1612" s="1" t="s">
        <v>126</v>
      </c>
      <c r="J1612" s="1" t="s">
        <v>87</v>
      </c>
      <c r="K1612" s="1" t="s">
        <v>2272</v>
      </c>
      <c r="L1612" s="1" t="s">
        <v>29</v>
      </c>
      <c r="M1612" s="1" t="s">
        <v>53</v>
      </c>
      <c r="N1612" s="1" t="s">
        <v>2273</v>
      </c>
      <c r="O1612">
        <v>25.175999999999998</v>
      </c>
      <c r="P1612">
        <v>3</v>
      </c>
      <c r="Q1612">
        <v>-33.358199999999997</v>
      </c>
      <c r="R1612" s="1" t="s">
        <v>4424</v>
      </c>
      <c r="S1612">
        <v>2016</v>
      </c>
      <c r="T1612" s="1" t="s">
        <v>153</v>
      </c>
    </row>
    <row r="1613" spans="1:20" x14ac:dyDescent="0.25">
      <c r="A1613" s="1" t="s">
        <v>3791</v>
      </c>
      <c r="B1613" s="2">
        <v>42517</v>
      </c>
      <c r="C1613" s="2">
        <v>42521</v>
      </c>
      <c r="D1613" s="1" t="s">
        <v>37</v>
      </c>
      <c r="E1613" s="1" t="s">
        <v>3289</v>
      </c>
      <c r="F1613" s="1" t="s">
        <v>3290</v>
      </c>
      <c r="G1613" s="1" t="s">
        <v>24</v>
      </c>
      <c r="H1613" s="1" t="s">
        <v>125</v>
      </c>
      <c r="I1613" s="1" t="s">
        <v>126</v>
      </c>
      <c r="J1613" s="1" t="s">
        <v>87</v>
      </c>
      <c r="K1613" s="1" t="s">
        <v>968</v>
      </c>
      <c r="L1613" s="1" t="s">
        <v>29</v>
      </c>
      <c r="M1613" s="1" t="s">
        <v>53</v>
      </c>
      <c r="N1613" s="1" t="s">
        <v>969</v>
      </c>
      <c r="O1613">
        <v>5.5839999999999996</v>
      </c>
      <c r="P1613">
        <v>2</v>
      </c>
      <c r="Q1613">
        <v>-1.6752</v>
      </c>
      <c r="R1613" s="1" t="s">
        <v>4424</v>
      </c>
      <c r="S1613">
        <v>2016</v>
      </c>
      <c r="T1613" s="1" t="s">
        <v>153</v>
      </c>
    </row>
    <row r="1614" spans="1:20" x14ac:dyDescent="0.25">
      <c r="A1614" s="1" t="s">
        <v>3792</v>
      </c>
      <c r="B1614" s="2">
        <v>42240</v>
      </c>
      <c r="C1614" s="2">
        <v>42244</v>
      </c>
      <c r="D1614" s="1" t="s">
        <v>21</v>
      </c>
      <c r="E1614" s="1" t="s">
        <v>2127</v>
      </c>
      <c r="F1614" s="1" t="s">
        <v>2128</v>
      </c>
      <c r="G1614" s="1" t="s">
        <v>24</v>
      </c>
      <c r="H1614" s="1" t="s">
        <v>165</v>
      </c>
      <c r="I1614" s="1" t="s">
        <v>114</v>
      </c>
      <c r="J1614" s="1" t="s">
        <v>63</v>
      </c>
      <c r="K1614" s="1" t="s">
        <v>641</v>
      </c>
      <c r="L1614" s="1" t="s">
        <v>29</v>
      </c>
      <c r="M1614" s="1" t="s">
        <v>53</v>
      </c>
      <c r="N1614" s="1" t="s">
        <v>642</v>
      </c>
      <c r="O1614">
        <v>14.91</v>
      </c>
      <c r="P1614">
        <v>3</v>
      </c>
      <c r="Q1614">
        <v>4.6220999999999997</v>
      </c>
      <c r="R1614" s="1" t="s">
        <v>4424</v>
      </c>
      <c r="S1614">
        <v>2015</v>
      </c>
      <c r="T1614" s="1" t="s">
        <v>245</v>
      </c>
    </row>
    <row r="1615" spans="1:20" x14ac:dyDescent="0.25">
      <c r="A1615" s="1" t="s">
        <v>3793</v>
      </c>
      <c r="B1615" s="2">
        <v>43035</v>
      </c>
      <c r="C1615" s="2">
        <v>43037</v>
      </c>
      <c r="D1615" s="1" t="s">
        <v>81</v>
      </c>
      <c r="E1615" s="1" t="s">
        <v>3794</v>
      </c>
      <c r="F1615" s="1" t="s">
        <v>3795</v>
      </c>
      <c r="G1615" s="1" t="s">
        <v>84</v>
      </c>
      <c r="H1615" s="1" t="s">
        <v>49</v>
      </c>
      <c r="I1615" s="1" t="s">
        <v>50</v>
      </c>
      <c r="J1615" s="1" t="s">
        <v>51</v>
      </c>
      <c r="K1615" s="1" t="s">
        <v>56</v>
      </c>
      <c r="L1615" s="1" t="s">
        <v>29</v>
      </c>
      <c r="M1615" s="1" t="s">
        <v>43</v>
      </c>
      <c r="N1615" s="1" t="s">
        <v>57</v>
      </c>
      <c r="O1615">
        <v>189.57599999999999</v>
      </c>
      <c r="P1615">
        <v>1</v>
      </c>
      <c r="Q1615">
        <v>9.4787999999999997</v>
      </c>
      <c r="R1615" s="1" t="s">
        <v>4423</v>
      </c>
      <c r="S1615">
        <v>2017</v>
      </c>
      <c r="T1615" s="1" t="s">
        <v>45</v>
      </c>
    </row>
    <row r="1616" spans="1:20" x14ac:dyDescent="0.25">
      <c r="A1616" s="1" t="s">
        <v>3796</v>
      </c>
      <c r="B1616" s="2">
        <v>41968</v>
      </c>
      <c r="C1616" s="2">
        <v>41972</v>
      </c>
      <c r="D1616" s="1" t="s">
        <v>37</v>
      </c>
      <c r="E1616" s="1" t="s">
        <v>2931</v>
      </c>
      <c r="F1616" s="1" t="s">
        <v>2932</v>
      </c>
      <c r="G1616" s="1" t="s">
        <v>24</v>
      </c>
      <c r="H1616" s="1" t="s">
        <v>49</v>
      </c>
      <c r="I1616" s="1" t="s">
        <v>50</v>
      </c>
      <c r="J1616" s="1" t="s">
        <v>51</v>
      </c>
      <c r="K1616" s="1" t="s">
        <v>796</v>
      </c>
      <c r="L1616" s="1" t="s">
        <v>29</v>
      </c>
      <c r="M1616" s="1" t="s">
        <v>34</v>
      </c>
      <c r="N1616" s="1" t="s">
        <v>797</v>
      </c>
      <c r="O1616">
        <v>725.34400000000005</v>
      </c>
      <c r="P1616">
        <v>4</v>
      </c>
      <c r="Q1616">
        <v>54.400799999999997</v>
      </c>
      <c r="R1616" s="1" t="s">
        <v>4424</v>
      </c>
      <c r="S1616">
        <v>2014</v>
      </c>
      <c r="T1616" s="1" t="s">
        <v>32</v>
      </c>
    </row>
    <row r="1617" spans="1:20" x14ac:dyDescent="0.25">
      <c r="A1617" s="1" t="s">
        <v>3797</v>
      </c>
      <c r="B1617" s="2">
        <v>42147</v>
      </c>
      <c r="C1617" s="2">
        <v>42151</v>
      </c>
      <c r="D1617" s="1" t="s">
        <v>21</v>
      </c>
      <c r="E1617" s="1" t="s">
        <v>384</v>
      </c>
      <c r="F1617" s="1" t="s">
        <v>385</v>
      </c>
      <c r="G1617" s="1" t="s">
        <v>94</v>
      </c>
      <c r="H1617" s="1" t="s">
        <v>280</v>
      </c>
      <c r="I1617" s="1" t="s">
        <v>281</v>
      </c>
      <c r="J1617" s="1" t="s">
        <v>87</v>
      </c>
      <c r="K1617" s="1" t="s">
        <v>1138</v>
      </c>
      <c r="L1617" s="1" t="s">
        <v>29</v>
      </c>
      <c r="M1617" s="1" t="s">
        <v>53</v>
      </c>
      <c r="N1617" s="1" t="s">
        <v>1139</v>
      </c>
      <c r="O1617">
        <v>75.33</v>
      </c>
      <c r="P1617">
        <v>9</v>
      </c>
      <c r="Q1617">
        <v>19.585799999999999</v>
      </c>
      <c r="R1617" s="1" t="s">
        <v>4424</v>
      </c>
      <c r="S1617">
        <v>2015</v>
      </c>
      <c r="T1617" s="1" t="s">
        <v>153</v>
      </c>
    </row>
    <row r="1618" spans="1:20" x14ac:dyDescent="0.25">
      <c r="A1618" s="1" t="s">
        <v>3798</v>
      </c>
      <c r="B1618" s="2">
        <v>41728</v>
      </c>
      <c r="C1618" s="2">
        <v>41730</v>
      </c>
      <c r="D1618" s="1" t="s">
        <v>81</v>
      </c>
      <c r="E1618" s="1" t="s">
        <v>250</v>
      </c>
      <c r="F1618" s="1" t="s">
        <v>251</v>
      </c>
      <c r="G1618" s="1" t="s">
        <v>94</v>
      </c>
      <c r="H1618" s="1" t="s">
        <v>2240</v>
      </c>
      <c r="I1618" s="1" t="s">
        <v>86</v>
      </c>
      <c r="J1618" s="1" t="s">
        <v>87</v>
      </c>
      <c r="K1618" s="1" t="s">
        <v>994</v>
      </c>
      <c r="L1618" s="1" t="s">
        <v>29</v>
      </c>
      <c r="M1618" s="1" t="s">
        <v>34</v>
      </c>
      <c r="N1618" s="1" t="s">
        <v>995</v>
      </c>
      <c r="O1618">
        <v>127.30200000000001</v>
      </c>
      <c r="P1618">
        <v>7</v>
      </c>
      <c r="Q1618">
        <v>-9.093</v>
      </c>
      <c r="R1618" s="1" t="s">
        <v>4423</v>
      </c>
      <c r="S1618">
        <v>2014</v>
      </c>
      <c r="T1618" s="1" t="s">
        <v>187</v>
      </c>
    </row>
    <row r="1619" spans="1:20" x14ac:dyDescent="0.25">
      <c r="A1619" s="1" t="s">
        <v>3799</v>
      </c>
      <c r="B1619" s="2">
        <v>43098</v>
      </c>
      <c r="C1619" s="2">
        <v>43101</v>
      </c>
      <c r="D1619" s="1" t="s">
        <v>21</v>
      </c>
      <c r="E1619" s="1" t="s">
        <v>916</v>
      </c>
      <c r="F1619" s="1" t="s">
        <v>917</v>
      </c>
      <c r="G1619" s="1" t="s">
        <v>24</v>
      </c>
      <c r="H1619" s="1" t="s">
        <v>856</v>
      </c>
      <c r="I1619" s="1" t="s">
        <v>26</v>
      </c>
      <c r="J1619" s="1" t="s">
        <v>27</v>
      </c>
      <c r="K1619" s="1" t="s">
        <v>386</v>
      </c>
      <c r="L1619" s="1" t="s">
        <v>29</v>
      </c>
      <c r="M1619" s="1" t="s">
        <v>34</v>
      </c>
      <c r="N1619" s="1" t="s">
        <v>387</v>
      </c>
      <c r="O1619">
        <v>1207.8399999999999</v>
      </c>
      <c r="P1619">
        <v>8</v>
      </c>
      <c r="Q1619">
        <v>314.03840000000002</v>
      </c>
      <c r="R1619" s="1" t="s">
        <v>4420</v>
      </c>
      <c r="S1619">
        <v>2017</v>
      </c>
      <c r="T1619" s="1" t="s">
        <v>90</v>
      </c>
    </row>
    <row r="1620" spans="1:20" x14ac:dyDescent="0.25">
      <c r="A1620" s="1" t="s">
        <v>3799</v>
      </c>
      <c r="B1620" s="2">
        <v>43098</v>
      </c>
      <c r="C1620" s="2">
        <v>43101</v>
      </c>
      <c r="D1620" s="1" t="s">
        <v>21</v>
      </c>
      <c r="E1620" s="1" t="s">
        <v>916</v>
      </c>
      <c r="F1620" s="1" t="s">
        <v>917</v>
      </c>
      <c r="G1620" s="1" t="s">
        <v>24</v>
      </c>
      <c r="H1620" s="1" t="s">
        <v>856</v>
      </c>
      <c r="I1620" s="1" t="s">
        <v>26</v>
      </c>
      <c r="J1620" s="1" t="s">
        <v>27</v>
      </c>
      <c r="K1620" s="1" t="s">
        <v>2325</v>
      </c>
      <c r="L1620" s="1" t="s">
        <v>29</v>
      </c>
      <c r="M1620" s="1" t="s">
        <v>34</v>
      </c>
      <c r="N1620" s="1" t="s">
        <v>2326</v>
      </c>
      <c r="O1620">
        <v>300.98</v>
      </c>
      <c r="P1620">
        <v>1</v>
      </c>
      <c r="Q1620">
        <v>87.284199999999998</v>
      </c>
      <c r="R1620" s="1" t="s">
        <v>4420</v>
      </c>
      <c r="S1620">
        <v>2017</v>
      </c>
      <c r="T1620" s="1" t="s">
        <v>90</v>
      </c>
    </row>
    <row r="1621" spans="1:20" x14ac:dyDescent="0.25">
      <c r="A1621" s="1" t="s">
        <v>3799</v>
      </c>
      <c r="B1621" s="2">
        <v>43098</v>
      </c>
      <c r="C1621" s="2">
        <v>43101</v>
      </c>
      <c r="D1621" s="1" t="s">
        <v>21</v>
      </c>
      <c r="E1621" s="1" t="s">
        <v>916</v>
      </c>
      <c r="F1621" s="1" t="s">
        <v>917</v>
      </c>
      <c r="G1621" s="1" t="s">
        <v>24</v>
      </c>
      <c r="H1621" s="1" t="s">
        <v>856</v>
      </c>
      <c r="I1621" s="1" t="s">
        <v>26</v>
      </c>
      <c r="J1621" s="1" t="s">
        <v>27</v>
      </c>
      <c r="K1621" s="1" t="s">
        <v>1081</v>
      </c>
      <c r="L1621" s="1" t="s">
        <v>29</v>
      </c>
      <c r="M1621" s="1" t="s">
        <v>34</v>
      </c>
      <c r="N1621" s="1" t="s">
        <v>1082</v>
      </c>
      <c r="O1621">
        <v>258.75</v>
      </c>
      <c r="P1621">
        <v>3</v>
      </c>
      <c r="Q1621">
        <v>77.625</v>
      </c>
      <c r="R1621" s="1" t="s">
        <v>4420</v>
      </c>
      <c r="S1621">
        <v>2017</v>
      </c>
      <c r="T1621" s="1" t="s">
        <v>90</v>
      </c>
    </row>
    <row r="1622" spans="1:20" x14ac:dyDescent="0.25">
      <c r="A1622" s="1" t="s">
        <v>3800</v>
      </c>
      <c r="B1622" s="2">
        <v>42796</v>
      </c>
      <c r="C1622" s="2">
        <v>42802</v>
      </c>
      <c r="D1622" s="1" t="s">
        <v>37</v>
      </c>
      <c r="E1622" s="1" t="s">
        <v>2912</v>
      </c>
      <c r="F1622" s="1" t="s">
        <v>2913</v>
      </c>
      <c r="G1622" s="1" t="s">
        <v>84</v>
      </c>
      <c r="H1622" s="1" t="s">
        <v>222</v>
      </c>
      <c r="I1622" s="1" t="s">
        <v>192</v>
      </c>
      <c r="J1622" s="1" t="s">
        <v>63</v>
      </c>
      <c r="K1622" s="1" t="s">
        <v>2301</v>
      </c>
      <c r="L1622" s="1" t="s">
        <v>29</v>
      </c>
      <c r="M1622" s="1" t="s">
        <v>30</v>
      </c>
      <c r="N1622" s="1" t="s">
        <v>2302</v>
      </c>
      <c r="O1622">
        <v>441.96</v>
      </c>
      <c r="P1622">
        <v>2</v>
      </c>
      <c r="Q1622">
        <v>101.6508</v>
      </c>
      <c r="R1622" s="1" t="s">
        <v>4426</v>
      </c>
      <c r="S1622">
        <v>2017</v>
      </c>
      <c r="T1622" s="1" t="s">
        <v>187</v>
      </c>
    </row>
    <row r="1623" spans="1:20" x14ac:dyDescent="0.25">
      <c r="A1623" s="1" t="s">
        <v>3801</v>
      </c>
      <c r="B1623" s="2">
        <v>42099</v>
      </c>
      <c r="C1623" s="2">
        <v>42105</v>
      </c>
      <c r="D1623" s="1" t="s">
        <v>37</v>
      </c>
      <c r="E1623" s="1" t="s">
        <v>2765</v>
      </c>
      <c r="F1623" s="1" t="s">
        <v>2766</v>
      </c>
      <c r="G1623" s="1" t="s">
        <v>84</v>
      </c>
      <c r="H1623" s="1" t="s">
        <v>49</v>
      </c>
      <c r="I1623" s="1" t="s">
        <v>50</v>
      </c>
      <c r="J1623" s="1" t="s">
        <v>51</v>
      </c>
      <c r="K1623" s="1" t="s">
        <v>1086</v>
      </c>
      <c r="L1623" s="1" t="s">
        <v>29</v>
      </c>
      <c r="M1623" s="1" t="s">
        <v>34</v>
      </c>
      <c r="N1623" s="1" t="s">
        <v>1087</v>
      </c>
      <c r="O1623">
        <v>892.22400000000005</v>
      </c>
      <c r="P1623">
        <v>3</v>
      </c>
      <c r="Q1623">
        <v>89.222399999999993</v>
      </c>
      <c r="R1623" s="1" t="s">
        <v>4426</v>
      </c>
      <c r="S1623">
        <v>2015</v>
      </c>
      <c r="T1623" s="1" t="s">
        <v>107</v>
      </c>
    </row>
    <row r="1624" spans="1:20" x14ac:dyDescent="0.25">
      <c r="A1624" s="1" t="s">
        <v>3802</v>
      </c>
      <c r="B1624" s="2">
        <v>42444</v>
      </c>
      <c r="C1624" s="2">
        <v>42445</v>
      </c>
      <c r="D1624" s="1" t="s">
        <v>81</v>
      </c>
      <c r="E1624" s="1" t="s">
        <v>3803</v>
      </c>
      <c r="F1624" s="1" t="s">
        <v>3804</v>
      </c>
      <c r="G1624" s="1" t="s">
        <v>84</v>
      </c>
      <c r="H1624" s="1" t="s">
        <v>320</v>
      </c>
      <c r="I1624" s="1" t="s">
        <v>50</v>
      </c>
      <c r="J1624" s="1" t="s">
        <v>51</v>
      </c>
      <c r="K1624" s="1" t="s">
        <v>972</v>
      </c>
      <c r="L1624" s="1" t="s">
        <v>29</v>
      </c>
      <c r="M1624" s="1" t="s">
        <v>34</v>
      </c>
      <c r="N1624" s="1" t="s">
        <v>973</v>
      </c>
      <c r="O1624">
        <v>1352.0319999999999</v>
      </c>
      <c r="P1624">
        <v>4</v>
      </c>
      <c r="Q1624">
        <v>84.501999999999995</v>
      </c>
      <c r="R1624" s="1" t="s">
        <v>4425</v>
      </c>
      <c r="S1624">
        <v>2016</v>
      </c>
      <c r="T1624" s="1" t="s">
        <v>187</v>
      </c>
    </row>
    <row r="1625" spans="1:20" x14ac:dyDescent="0.25">
      <c r="A1625" s="1" t="s">
        <v>3805</v>
      </c>
      <c r="B1625" s="2">
        <v>42365</v>
      </c>
      <c r="C1625" s="2">
        <v>42369</v>
      </c>
      <c r="D1625" s="1" t="s">
        <v>37</v>
      </c>
      <c r="E1625" s="1" t="s">
        <v>2670</v>
      </c>
      <c r="F1625" s="1" t="s">
        <v>2671</v>
      </c>
      <c r="G1625" s="1" t="s">
        <v>84</v>
      </c>
      <c r="H1625" s="1" t="s">
        <v>1761</v>
      </c>
      <c r="I1625" s="1" t="s">
        <v>223</v>
      </c>
      <c r="J1625" s="1" t="s">
        <v>63</v>
      </c>
      <c r="K1625" s="1" t="s">
        <v>913</v>
      </c>
      <c r="L1625" s="1" t="s">
        <v>29</v>
      </c>
      <c r="M1625" s="1" t="s">
        <v>43</v>
      </c>
      <c r="N1625" s="1" t="s">
        <v>914</v>
      </c>
      <c r="O1625">
        <v>1548.99</v>
      </c>
      <c r="P1625">
        <v>9</v>
      </c>
      <c r="Q1625">
        <v>-464.697</v>
      </c>
      <c r="R1625" s="1" t="s">
        <v>4424</v>
      </c>
      <c r="S1625">
        <v>2015</v>
      </c>
      <c r="T1625" s="1" t="s">
        <v>90</v>
      </c>
    </row>
    <row r="1626" spans="1:20" x14ac:dyDescent="0.25">
      <c r="A1626" s="1" t="s">
        <v>3806</v>
      </c>
      <c r="B1626" s="2">
        <v>42338</v>
      </c>
      <c r="C1626" s="2">
        <v>42340</v>
      </c>
      <c r="D1626" s="1" t="s">
        <v>21</v>
      </c>
      <c r="E1626" s="1" t="s">
        <v>3807</v>
      </c>
      <c r="F1626" s="1" t="s">
        <v>3808</v>
      </c>
      <c r="G1626" s="1" t="s">
        <v>24</v>
      </c>
      <c r="H1626" s="1" t="s">
        <v>2410</v>
      </c>
      <c r="I1626" s="1" t="s">
        <v>1331</v>
      </c>
      <c r="J1626" s="1" t="s">
        <v>51</v>
      </c>
      <c r="K1626" s="1" t="s">
        <v>2956</v>
      </c>
      <c r="L1626" s="1" t="s">
        <v>29</v>
      </c>
      <c r="M1626" s="1" t="s">
        <v>53</v>
      </c>
      <c r="N1626" s="1" t="s">
        <v>2957</v>
      </c>
      <c r="O1626">
        <v>80.959999999999994</v>
      </c>
      <c r="P1626">
        <v>4</v>
      </c>
      <c r="Q1626">
        <v>29.145600000000002</v>
      </c>
      <c r="R1626" s="1" t="s">
        <v>4423</v>
      </c>
      <c r="S1626">
        <v>2015</v>
      </c>
      <c r="T1626" s="1" t="s">
        <v>32</v>
      </c>
    </row>
    <row r="1627" spans="1:20" x14ac:dyDescent="0.25">
      <c r="A1627" s="1" t="s">
        <v>3809</v>
      </c>
      <c r="B1627" s="2">
        <v>41744</v>
      </c>
      <c r="C1627" s="2">
        <v>41744</v>
      </c>
      <c r="D1627" s="1" t="s">
        <v>417</v>
      </c>
      <c r="E1627" s="1" t="s">
        <v>123</v>
      </c>
      <c r="F1627" s="1" t="s">
        <v>124</v>
      </c>
      <c r="G1627" s="1" t="s">
        <v>94</v>
      </c>
      <c r="H1627" s="1" t="s">
        <v>49</v>
      </c>
      <c r="I1627" s="1" t="s">
        <v>50</v>
      </c>
      <c r="J1627" s="1" t="s">
        <v>51</v>
      </c>
      <c r="K1627" s="1" t="s">
        <v>346</v>
      </c>
      <c r="L1627" s="1" t="s">
        <v>29</v>
      </c>
      <c r="M1627" s="1" t="s">
        <v>53</v>
      </c>
      <c r="N1627" s="1" t="s">
        <v>347</v>
      </c>
      <c r="O1627">
        <v>187.76</v>
      </c>
      <c r="P1627">
        <v>4</v>
      </c>
      <c r="Q1627">
        <v>76.9816</v>
      </c>
      <c r="R1627" s="1" t="s">
        <v>4427</v>
      </c>
      <c r="S1627">
        <v>2014</v>
      </c>
      <c r="T1627" s="1" t="s">
        <v>107</v>
      </c>
    </row>
    <row r="1628" spans="1:20" x14ac:dyDescent="0.25">
      <c r="A1628" s="1" t="s">
        <v>3810</v>
      </c>
      <c r="B1628" s="2">
        <v>41646</v>
      </c>
      <c r="C1628" s="2">
        <v>41651</v>
      </c>
      <c r="D1628" s="1" t="s">
        <v>37</v>
      </c>
      <c r="E1628" s="1" t="s">
        <v>2835</v>
      </c>
      <c r="F1628" s="1" t="s">
        <v>2836</v>
      </c>
      <c r="G1628" s="1" t="s">
        <v>24</v>
      </c>
      <c r="H1628" s="1" t="s">
        <v>1859</v>
      </c>
      <c r="I1628" s="1" t="s">
        <v>86</v>
      </c>
      <c r="J1628" s="1" t="s">
        <v>87</v>
      </c>
      <c r="K1628" s="1" t="s">
        <v>542</v>
      </c>
      <c r="L1628" s="1" t="s">
        <v>29</v>
      </c>
      <c r="M1628" s="1" t="s">
        <v>53</v>
      </c>
      <c r="N1628" s="1" t="s">
        <v>543</v>
      </c>
      <c r="O1628">
        <v>76.727999999999994</v>
      </c>
      <c r="P1628">
        <v>3</v>
      </c>
      <c r="Q1628">
        <v>-53.709600000000002</v>
      </c>
      <c r="R1628" s="1" t="s">
        <v>4422</v>
      </c>
      <c r="S1628">
        <v>2014</v>
      </c>
      <c r="T1628" s="1" t="s">
        <v>161</v>
      </c>
    </row>
    <row r="1629" spans="1:20" x14ac:dyDescent="0.25">
      <c r="A1629" s="1" t="s">
        <v>3811</v>
      </c>
      <c r="B1629" s="2">
        <v>41934</v>
      </c>
      <c r="C1629" s="2">
        <v>41938</v>
      </c>
      <c r="D1629" s="1" t="s">
        <v>37</v>
      </c>
      <c r="E1629" s="1" t="s">
        <v>3812</v>
      </c>
      <c r="F1629" s="1" t="s">
        <v>3813</v>
      </c>
      <c r="G1629" s="1" t="s">
        <v>84</v>
      </c>
      <c r="H1629" s="1" t="s">
        <v>3814</v>
      </c>
      <c r="I1629" s="1" t="s">
        <v>1397</v>
      </c>
      <c r="J1629" s="1" t="s">
        <v>27</v>
      </c>
      <c r="K1629" s="1" t="s">
        <v>2386</v>
      </c>
      <c r="L1629" s="1" t="s">
        <v>29</v>
      </c>
      <c r="M1629" s="1" t="s">
        <v>53</v>
      </c>
      <c r="N1629" s="1" t="s">
        <v>2387</v>
      </c>
      <c r="O1629">
        <v>129.91999999999999</v>
      </c>
      <c r="P1629">
        <v>4</v>
      </c>
      <c r="Q1629">
        <v>10.393599999999999</v>
      </c>
      <c r="R1629" s="1" t="s">
        <v>4424</v>
      </c>
      <c r="S1629">
        <v>2014</v>
      </c>
      <c r="T1629" s="1" t="s">
        <v>45</v>
      </c>
    </row>
    <row r="1630" spans="1:20" x14ac:dyDescent="0.25">
      <c r="A1630" s="1" t="s">
        <v>3815</v>
      </c>
      <c r="B1630" s="2">
        <v>42335</v>
      </c>
      <c r="C1630" s="2">
        <v>42337</v>
      </c>
      <c r="D1630" s="1" t="s">
        <v>21</v>
      </c>
      <c r="E1630" s="1" t="s">
        <v>3024</v>
      </c>
      <c r="F1630" s="1" t="s">
        <v>3025</v>
      </c>
      <c r="G1630" s="1" t="s">
        <v>94</v>
      </c>
      <c r="H1630" s="1" t="s">
        <v>1348</v>
      </c>
      <c r="I1630" s="1" t="s">
        <v>425</v>
      </c>
      <c r="J1630" s="1" t="s">
        <v>63</v>
      </c>
      <c r="K1630" s="1" t="s">
        <v>2391</v>
      </c>
      <c r="L1630" s="1" t="s">
        <v>29</v>
      </c>
      <c r="M1630" s="1" t="s">
        <v>30</v>
      </c>
      <c r="N1630" s="1" t="s">
        <v>2392</v>
      </c>
      <c r="O1630">
        <v>170.98</v>
      </c>
      <c r="P1630">
        <v>1</v>
      </c>
      <c r="Q1630">
        <v>32.486199999999997</v>
      </c>
      <c r="R1630" s="1" t="s">
        <v>4423</v>
      </c>
      <c r="S1630">
        <v>2015</v>
      </c>
      <c r="T1630" s="1" t="s">
        <v>32</v>
      </c>
    </row>
    <row r="1631" spans="1:20" x14ac:dyDescent="0.25">
      <c r="A1631" s="1" t="s">
        <v>3815</v>
      </c>
      <c r="B1631" s="2">
        <v>42335</v>
      </c>
      <c r="C1631" s="2">
        <v>42337</v>
      </c>
      <c r="D1631" s="1" t="s">
        <v>21</v>
      </c>
      <c r="E1631" s="1" t="s">
        <v>3024</v>
      </c>
      <c r="F1631" s="1" t="s">
        <v>3025</v>
      </c>
      <c r="G1631" s="1" t="s">
        <v>94</v>
      </c>
      <c r="H1631" s="1" t="s">
        <v>1348</v>
      </c>
      <c r="I1631" s="1" t="s">
        <v>425</v>
      </c>
      <c r="J1631" s="1" t="s">
        <v>63</v>
      </c>
      <c r="K1631" s="1" t="s">
        <v>3816</v>
      </c>
      <c r="L1631" s="1" t="s">
        <v>29</v>
      </c>
      <c r="M1631" s="1" t="s">
        <v>53</v>
      </c>
      <c r="N1631" s="1" t="s">
        <v>3817</v>
      </c>
      <c r="O1631">
        <v>38.97</v>
      </c>
      <c r="P1631">
        <v>3</v>
      </c>
      <c r="Q1631">
        <v>4.6764000000000001</v>
      </c>
      <c r="R1631" s="1" t="s">
        <v>4423</v>
      </c>
      <c r="S1631">
        <v>2015</v>
      </c>
      <c r="T1631" s="1" t="s">
        <v>32</v>
      </c>
    </row>
    <row r="1632" spans="1:20" x14ac:dyDescent="0.25">
      <c r="A1632" s="1" t="s">
        <v>3815</v>
      </c>
      <c r="B1632" s="2">
        <v>42335</v>
      </c>
      <c r="C1632" s="2">
        <v>42337</v>
      </c>
      <c r="D1632" s="1" t="s">
        <v>21</v>
      </c>
      <c r="E1632" s="1" t="s">
        <v>3024</v>
      </c>
      <c r="F1632" s="1" t="s">
        <v>3025</v>
      </c>
      <c r="G1632" s="1" t="s">
        <v>94</v>
      </c>
      <c r="H1632" s="1" t="s">
        <v>1348</v>
      </c>
      <c r="I1632" s="1" t="s">
        <v>425</v>
      </c>
      <c r="J1632" s="1" t="s">
        <v>63</v>
      </c>
      <c r="K1632" s="1" t="s">
        <v>1125</v>
      </c>
      <c r="L1632" s="1" t="s">
        <v>29</v>
      </c>
      <c r="M1632" s="1" t="s">
        <v>43</v>
      </c>
      <c r="N1632" s="1" t="s">
        <v>1126</v>
      </c>
      <c r="O1632">
        <v>446.06799999999998</v>
      </c>
      <c r="P1632">
        <v>4</v>
      </c>
      <c r="Q1632">
        <v>0</v>
      </c>
      <c r="R1632" s="1" t="s">
        <v>4423</v>
      </c>
      <c r="S1632">
        <v>2015</v>
      </c>
      <c r="T1632" s="1" t="s">
        <v>32</v>
      </c>
    </row>
    <row r="1633" spans="1:20" x14ac:dyDescent="0.25">
      <c r="A1633" s="1" t="s">
        <v>3818</v>
      </c>
      <c r="B1633" s="2">
        <v>42004</v>
      </c>
      <c r="C1633" s="2">
        <v>42011</v>
      </c>
      <c r="D1633" s="1" t="s">
        <v>37</v>
      </c>
      <c r="E1633" s="1" t="s">
        <v>2286</v>
      </c>
      <c r="F1633" s="1" t="s">
        <v>2287</v>
      </c>
      <c r="G1633" s="1" t="s">
        <v>94</v>
      </c>
      <c r="H1633" s="1" t="s">
        <v>1635</v>
      </c>
      <c r="I1633" s="1" t="s">
        <v>1636</v>
      </c>
      <c r="J1633" s="1" t="s">
        <v>63</v>
      </c>
      <c r="K1633" s="1" t="s">
        <v>1371</v>
      </c>
      <c r="L1633" s="1" t="s">
        <v>29</v>
      </c>
      <c r="M1633" s="1" t="s">
        <v>30</v>
      </c>
      <c r="N1633" s="1" t="s">
        <v>1372</v>
      </c>
      <c r="O1633">
        <v>341.96</v>
      </c>
      <c r="P1633">
        <v>2</v>
      </c>
      <c r="Q1633">
        <v>78.650800000000004</v>
      </c>
      <c r="R1633" s="1" t="s">
        <v>4421</v>
      </c>
      <c r="S1633">
        <v>2014</v>
      </c>
      <c r="T1633" s="1" t="s">
        <v>90</v>
      </c>
    </row>
    <row r="1634" spans="1:20" x14ac:dyDescent="0.25">
      <c r="A1634" s="1" t="s">
        <v>3818</v>
      </c>
      <c r="B1634" s="2">
        <v>42004</v>
      </c>
      <c r="C1634" s="2">
        <v>42011</v>
      </c>
      <c r="D1634" s="1" t="s">
        <v>37</v>
      </c>
      <c r="E1634" s="1" t="s">
        <v>2286</v>
      </c>
      <c r="F1634" s="1" t="s">
        <v>2287</v>
      </c>
      <c r="G1634" s="1" t="s">
        <v>94</v>
      </c>
      <c r="H1634" s="1" t="s">
        <v>1635</v>
      </c>
      <c r="I1634" s="1" t="s">
        <v>1636</v>
      </c>
      <c r="J1634" s="1" t="s">
        <v>63</v>
      </c>
      <c r="K1634" s="1" t="s">
        <v>98</v>
      </c>
      <c r="L1634" s="1" t="s">
        <v>29</v>
      </c>
      <c r="M1634" s="1" t="s">
        <v>34</v>
      </c>
      <c r="N1634" s="1" t="s">
        <v>99</v>
      </c>
      <c r="O1634">
        <v>605.88</v>
      </c>
      <c r="P1634">
        <v>6</v>
      </c>
      <c r="Q1634">
        <v>151.47</v>
      </c>
      <c r="R1634" s="1" t="s">
        <v>4421</v>
      </c>
      <c r="S1634">
        <v>2014</v>
      </c>
      <c r="T1634" s="1" t="s">
        <v>90</v>
      </c>
    </row>
    <row r="1635" spans="1:20" x14ac:dyDescent="0.25">
      <c r="A1635" s="1" t="s">
        <v>3819</v>
      </c>
      <c r="B1635" s="2">
        <v>42699</v>
      </c>
      <c r="C1635" s="2">
        <v>42703</v>
      </c>
      <c r="D1635" s="1" t="s">
        <v>37</v>
      </c>
      <c r="E1635" s="1" t="s">
        <v>1926</v>
      </c>
      <c r="F1635" s="1" t="s">
        <v>1927</v>
      </c>
      <c r="G1635" s="1" t="s">
        <v>84</v>
      </c>
      <c r="H1635" s="1" t="s">
        <v>468</v>
      </c>
      <c r="I1635" s="1" t="s">
        <v>281</v>
      </c>
      <c r="J1635" s="1" t="s">
        <v>87</v>
      </c>
      <c r="K1635" s="1" t="s">
        <v>775</v>
      </c>
      <c r="L1635" s="1" t="s">
        <v>29</v>
      </c>
      <c r="M1635" s="1" t="s">
        <v>43</v>
      </c>
      <c r="N1635" s="1" t="s">
        <v>776</v>
      </c>
      <c r="O1635">
        <v>1568.61</v>
      </c>
      <c r="P1635">
        <v>9</v>
      </c>
      <c r="Q1635">
        <v>329.40809999999999</v>
      </c>
      <c r="R1635" s="1" t="s">
        <v>4424</v>
      </c>
      <c r="S1635">
        <v>2016</v>
      </c>
      <c r="T1635" s="1" t="s">
        <v>32</v>
      </c>
    </row>
    <row r="1636" spans="1:20" x14ac:dyDescent="0.25">
      <c r="A1636" s="1" t="s">
        <v>3820</v>
      </c>
      <c r="B1636" s="2">
        <v>42931</v>
      </c>
      <c r="C1636" s="2">
        <v>42933</v>
      </c>
      <c r="D1636" s="1" t="s">
        <v>81</v>
      </c>
      <c r="E1636" s="1" t="s">
        <v>1800</v>
      </c>
      <c r="F1636" s="1" t="s">
        <v>1801</v>
      </c>
      <c r="G1636" s="1" t="s">
        <v>84</v>
      </c>
      <c r="H1636" s="1" t="s">
        <v>1472</v>
      </c>
      <c r="I1636" s="1" t="s">
        <v>707</v>
      </c>
      <c r="J1636" s="1" t="s">
        <v>27</v>
      </c>
      <c r="K1636" s="1" t="s">
        <v>402</v>
      </c>
      <c r="L1636" s="1" t="s">
        <v>29</v>
      </c>
      <c r="M1636" s="1" t="s">
        <v>43</v>
      </c>
      <c r="N1636" s="1" t="s">
        <v>403</v>
      </c>
      <c r="O1636">
        <v>872.94</v>
      </c>
      <c r="P1636">
        <v>3</v>
      </c>
      <c r="Q1636">
        <v>157.1292</v>
      </c>
      <c r="R1636" s="1" t="s">
        <v>4423</v>
      </c>
      <c r="S1636">
        <v>2017</v>
      </c>
      <c r="T1636" s="1" t="s">
        <v>66</v>
      </c>
    </row>
    <row r="1637" spans="1:20" x14ac:dyDescent="0.25">
      <c r="A1637" s="1" t="s">
        <v>3821</v>
      </c>
      <c r="B1637" s="2">
        <v>42451</v>
      </c>
      <c r="C1637" s="2">
        <v>42451</v>
      </c>
      <c r="D1637" s="1" t="s">
        <v>417</v>
      </c>
      <c r="E1637" s="1" t="s">
        <v>1394</v>
      </c>
      <c r="F1637" s="1" t="s">
        <v>1395</v>
      </c>
      <c r="G1637" s="1" t="s">
        <v>24</v>
      </c>
      <c r="H1637" s="1" t="s">
        <v>183</v>
      </c>
      <c r="I1637" s="1" t="s">
        <v>184</v>
      </c>
      <c r="J1637" s="1" t="s">
        <v>51</v>
      </c>
      <c r="K1637" s="1" t="s">
        <v>1504</v>
      </c>
      <c r="L1637" s="1" t="s">
        <v>29</v>
      </c>
      <c r="M1637" s="1" t="s">
        <v>34</v>
      </c>
      <c r="N1637" s="1" t="s">
        <v>1505</v>
      </c>
      <c r="O1637">
        <v>167.88800000000001</v>
      </c>
      <c r="P1637">
        <v>7</v>
      </c>
      <c r="Q1637">
        <v>14.690200000000001</v>
      </c>
      <c r="R1637" s="1" t="s">
        <v>4427</v>
      </c>
      <c r="S1637">
        <v>2016</v>
      </c>
      <c r="T1637" s="1" t="s">
        <v>187</v>
      </c>
    </row>
    <row r="1638" spans="1:20" x14ac:dyDescent="0.25">
      <c r="A1638" s="1" t="s">
        <v>3822</v>
      </c>
      <c r="B1638" s="2">
        <v>43083</v>
      </c>
      <c r="C1638" s="2">
        <v>43087</v>
      </c>
      <c r="D1638" s="1" t="s">
        <v>37</v>
      </c>
      <c r="E1638" s="1" t="s">
        <v>1728</v>
      </c>
      <c r="F1638" s="1" t="s">
        <v>1729</v>
      </c>
      <c r="G1638" s="1" t="s">
        <v>94</v>
      </c>
      <c r="H1638" s="1" t="s">
        <v>462</v>
      </c>
      <c r="I1638" s="1" t="s">
        <v>425</v>
      </c>
      <c r="J1638" s="1" t="s">
        <v>63</v>
      </c>
      <c r="K1638" s="1" t="s">
        <v>298</v>
      </c>
      <c r="L1638" s="1" t="s">
        <v>29</v>
      </c>
      <c r="M1638" s="1" t="s">
        <v>43</v>
      </c>
      <c r="N1638" s="1" t="s">
        <v>299</v>
      </c>
      <c r="O1638">
        <v>526.58199999999999</v>
      </c>
      <c r="P1638">
        <v>2</v>
      </c>
      <c r="Q1638">
        <v>-52.658200000000001</v>
      </c>
      <c r="R1638" s="1" t="s">
        <v>4424</v>
      </c>
      <c r="S1638">
        <v>2017</v>
      </c>
      <c r="T1638" s="1" t="s">
        <v>90</v>
      </c>
    </row>
    <row r="1639" spans="1:20" x14ac:dyDescent="0.25">
      <c r="A1639" s="1" t="s">
        <v>3823</v>
      </c>
      <c r="B1639" s="2">
        <v>42608</v>
      </c>
      <c r="C1639" s="2">
        <v>42615</v>
      </c>
      <c r="D1639" s="1" t="s">
        <v>37</v>
      </c>
      <c r="E1639" s="1" t="s">
        <v>1278</v>
      </c>
      <c r="F1639" s="1" t="s">
        <v>1279</v>
      </c>
      <c r="G1639" s="1" t="s">
        <v>24</v>
      </c>
      <c r="H1639" s="1" t="s">
        <v>280</v>
      </c>
      <c r="I1639" s="1" t="s">
        <v>281</v>
      </c>
      <c r="J1639" s="1" t="s">
        <v>87</v>
      </c>
      <c r="K1639" s="1" t="s">
        <v>1031</v>
      </c>
      <c r="L1639" s="1" t="s">
        <v>29</v>
      </c>
      <c r="M1639" s="1" t="s">
        <v>43</v>
      </c>
      <c r="N1639" s="1" t="s">
        <v>1032</v>
      </c>
      <c r="O1639">
        <v>447.84</v>
      </c>
      <c r="P1639">
        <v>4</v>
      </c>
      <c r="Q1639">
        <v>98.524799999999999</v>
      </c>
      <c r="R1639" s="1" t="s">
        <v>4421</v>
      </c>
      <c r="S1639">
        <v>2016</v>
      </c>
      <c r="T1639" s="1" t="s">
        <v>245</v>
      </c>
    </row>
    <row r="1640" spans="1:20" x14ac:dyDescent="0.25">
      <c r="A1640" s="1" t="s">
        <v>3824</v>
      </c>
      <c r="B1640" s="2">
        <v>43036</v>
      </c>
      <c r="C1640" s="2">
        <v>43038</v>
      </c>
      <c r="D1640" s="1" t="s">
        <v>21</v>
      </c>
      <c r="E1640" s="1" t="s">
        <v>2645</v>
      </c>
      <c r="F1640" s="1" t="s">
        <v>2646</v>
      </c>
      <c r="G1640" s="1" t="s">
        <v>24</v>
      </c>
      <c r="H1640" s="1" t="s">
        <v>1902</v>
      </c>
      <c r="I1640" s="1" t="s">
        <v>1027</v>
      </c>
      <c r="J1640" s="1" t="s">
        <v>27</v>
      </c>
      <c r="K1640" s="1" t="s">
        <v>2046</v>
      </c>
      <c r="L1640" s="1" t="s">
        <v>29</v>
      </c>
      <c r="M1640" s="1" t="s">
        <v>53</v>
      </c>
      <c r="N1640" s="1" t="s">
        <v>2047</v>
      </c>
      <c r="O1640">
        <v>77.951999999999998</v>
      </c>
      <c r="P1640">
        <v>3</v>
      </c>
      <c r="Q1640">
        <v>15.590400000000001</v>
      </c>
      <c r="R1640" s="1" t="s">
        <v>4423</v>
      </c>
      <c r="S1640">
        <v>2017</v>
      </c>
      <c r="T1640" s="1" t="s">
        <v>45</v>
      </c>
    </row>
    <row r="1641" spans="1:20" x14ac:dyDescent="0.25">
      <c r="A1641" s="1" t="s">
        <v>3825</v>
      </c>
      <c r="B1641" s="2">
        <v>42257</v>
      </c>
      <c r="C1641" s="2">
        <v>42261</v>
      </c>
      <c r="D1641" s="1" t="s">
        <v>37</v>
      </c>
      <c r="E1641" s="1" t="s">
        <v>3724</v>
      </c>
      <c r="F1641" s="1" t="s">
        <v>3725</v>
      </c>
      <c r="G1641" s="1" t="s">
        <v>84</v>
      </c>
      <c r="H1641" s="1" t="s">
        <v>2321</v>
      </c>
      <c r="I1641" s="1" t="s">
        <v>86</v>
      </c>
      <c r="J1641" s="1" t="s">
        <v>87</v>
      </c>
      <c r="K1641" s="1" t="s">
        <v>1591</v>
      </c>
      <c r="L1641" s="1" t="s">
        <v>29</v>
      </c>
      <c r="M1641" s="1" t="s">
        <v>34</v>
      </c>
      <c r="N1641" s="1" t="s">
        <v>1592</v>
      </c>
      <c r="O1641">
        <v>179.886</v>
      </c>
      <c r="P1641">
        <v>1</v>
      </c>
      <c r="Q1641">
        <v>-2.5697999999999999</v>
      </c>
      <c r="R1641" s="1" t="s">
        <v>4424</v>
      </c>
      <c r="S1641">
        <v>2015</v>
      </c>
      <c r="T1641" s="1" t="s">
        <v>72</v>
      </c>
    </row>
    <row r="1642" spans="1:20" x14ac:dyDescent="0.25">
      <c r="A1642" s="1" t="s">
        <v>3826</v>
      </c>
      <c r="B1642" s="2">
        <v>42899</v>
      </c>
      <c r="C1642" s="2">
        <v>42905</v>
      </c>
      <c r="D1642" s="1" t="s">
        <v>37</v>
      </c>
      <c r="E1642" s="1" t="s">
        <v>3533</v>
      </c>
      <c r="F1642" s="1" t="s">
        <v>3534</v>
      </c>
      <c r="G1642" s="1" t="s">
        <v>94</v>
      </c>
      <c r="H1642" s="1" t="s">
        <v>183</v>
      </c>
      <c r="I1642" s="1" t="s">
        <v>184</v>
      </c>
      <c r="J1642" s="1" t="s">
        <v>51</v>
      </c>
      <c r="K1642" s="1" t="s">
        <v>1608</v>
      </c>
      <c r="L1642" s="1" t="s">
        <v>29</v>
      </c>
      <c r="M1642" s="1" t="s">
        <v>34</v>
      </c>
      <c r="N1642" s="1" t="s">
        <v>1609</v>
      </c>
      <c r="O1642">
        <v>291.13600000000002</v>
      </c>
      <c r="P1642">
        <v>4</v>
      </c>
      <c r="Q1642">
        <v>-25.474399999999999</v>
      </c>
      <c r="R1642" s="1" t="s">
        <v>4426</v>
      </c>
      <c r="S1642">
        <v>2017</v>
      </c>
      <c r="T1642" s="1" t="s">
        <v>55</v>
      </c>
    </row>
    <row r="1643" spans="1:20" x14ac:dyDescent="0.25">
      <c r="A1643" s="1" t="s">
        <v>3827</v>
      </c>
      <c r="B1643" s="2">
        <v>42173</v>
      </c>
      <c r="C1643" s="2">
        <v>42179</v>
      </c>
      <c r="D1643" s="1" t="s">
        <v>37</v>
      </c>
      <c r="E1643" s="1" t="s">
        <v>443</v>
      </c>
      <c r="F1643" s="1" t="s">
        <v>444</v>
      </c>
      <c r="G1643" s="1" t="s">
        <v>24</v>
      </c>
      <c r="H1643" s="1" t="s">
        <v>680</v>
      </c>
      <c r="I1643" s="1" t="s">
        <v>707</v>
      </c>
      <c r="J1643" s="1" t="s">
        <v>27</v>
      </c>
      <c r="K1643" s="1" t="s">
        <v>2309</v>
      </c>
      <c r="L1643" s="1" t="s">
        <v>29</v>
      </c>
      <c r="M1643" s="1" t="s">
        <v>53</v>
      </c>
      <c r="N1643" s="1" t="s">
        <v>2310</v>
      </c>
      <c r="O1643">
        <v>60.84</v>
      </c>
      <c r="P1643">
        <v>3</v>
      </c>
      <c r="Q1643">
        <v>19.468800000000002</v>
      </c>
      <c r="R1643" s="1" t="s">
        <v>4426</v>
      </c>
      <c r="S1643">
        <v>2015</v>
      </c>
      <c r="T1643" s="1" t="s">
        <v>55</v>
      </c>
    </row>
    <row r="1644" spans="1:20" x14ac:dyDescent="0.25">
      <c r="A1644" s="1" t="s">
        <v>3828</v>
      </c>
      <c r="B1644" s="2">
        <v>42338</v>
      </c>
      <c r="C1644" s="2">
        <v>42341</v>
      </c>
      <c r="D1644" s="1" t="s">
        <v>81</v>
      </c>
      <c r="E1644" s="1" t="s">
        <v>1211</v>
      </c>
      <c r="F1644" s="1" t="s">
        <v>1212</v>
      </c>
      <c r="G1644" s="1" t="s">
        <v>84</v>
      </c>
      <c r="H1644" s="1" t="s">
        <v>597</v>
      </c>
      <c r="I1644" s="1" t="s">
        <v>1027</v>
      </c>
      <c r="J1644" s="1" t="s">
        <v>27</v>
      </c>
      <c r="K1644" s="1" t="s">
        <v>2131</v>
      </c>
      <c r="L1644" s="1" t="s">
        <v>29</v>
      </c>
      <c r="M1644" s="1" t="s">
        <v>53</v>
      </c>
      <c r="N1644" s="1" t="s">
        <v>2132</v>
      </c>
      <c r="O1644">
        <v>17.088000000000001</v>
      </c>
      <c r="P1644">
        <v>2</v>
      </c>
      <c r="Q1644">
        <v>1.0680000000000001</v>
      </c>
      <c r="R1644" s="1" t="s">
        <v>4420</v>
      </c>
      <c r="S1644">
        <v>2015</v>
      </c>
      <c r="T1644" s="1" t="s">
        <v>32</v>
      </c>
    </row>
    <row r="1645" spans="1:20" x14ac:dyDescent="0.25">
      <c r="A1645" s="1" t="s">
        <v>3829</v>
      </c>
      <c r="B1645" s="2">
        <v>43052</v>
      </c>
      <c r="C1645" s="2">
        <v>43055</v>
      </c>
      <c r="D1645" s="1" t="s">
        <v>21</v>
      </c>
      <c r="E1645" s="1" t="s">
        <v>1102</v>
      </c>
      <c r="F1645" s="1" t="s">
        <v>1103</v>
      </c>
      <c r="G1645" s="1" t="s">
        <v>84</v>
      </c>
      <c r="H1645" s="1" t="s">
        <v>2945</v>
      </c>
      <c r="I1645" s="1" t="s">
        <v>114</v>
      </c>
      <c r="J1645" s="1" t="s">
        <v>63</v>
      </c>
      <c r="K1645" s="1" t="s">
        <v>2964</v>
      </c>
      <c r="L1645" s="1" t="s">
        <v>29</v>
      </c>
      <c r="M1645" s="1" t="s">
        <v>53</v>
      </c>
      <c r="N1645" s="1" t="s">
        <v>2965</v>
      </c>
      <c r="O1645">
        <v>154.94999999999999</v>
      </c>
      <c r="P1645">
        <v>3</v>
      </c>
      <c r="Q1645">
        <v>30.99</v>
      </c>
      <c r="R1645" s="1" t="s">
        <v>4420</v>
      </c>
      <c r="S1645">
        <v>2017</v>
      </c>
      <c r="T1645" s="1" t="s">
        <v>32</v>
      </c>
    </row>
    <row r="1646" spans="1:20" x14ac:dyDescent="0.25">
      <c r="A1646" s="1" t="s">
        <v>3830</v>
      </c>
      <c r="B1646" s="2">
        <v>42959</v>
      </c>
      <c r="C1646" s="2">
        <v>42959</v>
      </c>
      <c r="D1646" s="1" t="s">
        <v>417</v>
      </c>
      <c r="E1646" s="1" t="s">
        <v>1926</v>
      </c>
      <c r="F1646" s="1" t="s">
        <v>1927</v>
      </c>
      <c r="G1646" s="1" t="s">
        <v>84</v>
      </c>
      <c r="H1646" s="1" t="s">
        <v>149</v>
      </c>
      <c r="I1646" s="1" t="s">
        <v>1080</v>
      </c>
      <c r="J1646" s="1" t="s">
        <v>63</v>
      </c>
      <c r="K1646" s="1" t="s">
        <v>505</v>
      </c>
      <c r="L1646" s="1" t="s">
        <v>29</v>
      </c>
      <c r="M1646" s="1" t="s">
        <v>34</v>
      </c>
      <c r="N1646" s="1" t="s">
        <v>506</v>
      </c>
      <c r="O1646">
        <v>1779.9</v>
      </c>
      <c r="P1646">
        <v>5</v>
      </c>
      <c r="Q1646">
        <v>373.779</v>
      </c>
      <c r="R1646" s="1" t="s">
        <v>4427</v>
      </c>
      <c r="S1646">
        <v>2017</v>
      </c>
      <c r="T1646" s="1" t="s">
        <v>245</v>
      </c>
    </row>
    <row r="1647" spans="1:20" x14ac:dyDescent="0.25">
      <c r="A1647" s="1" t="s">
        <v>3831</v>
      </c>
      <c r="B1647" s="2">
        <v>42678</v>
      </c>
      <c r="C1647" s="2">
        <v>42680</v>
      </c>
      <c r="D1647" s="1" t="s">
        <v>21</v>
      </c>
      <c r="E1647" s="1" t="s">
        <v>3832</v>
      </c>
      <c r="F1647" s="1" t="s">
        <v>3833</v>
      </c>
      <c r="G1647" s="1" t="s">
        <v>84</v>
      </c>
      <c r="H1647" s="1" t="s">
        <v>1518</v>
      </c>
      <c r="I1647" s="1" t="s">
        <v>1027</v>
      </c>
      <c r="J1647" s="1" t="s">
        <v>27</v>
      </c>
      <c r="K1647" s="1" t="s">
        <v>360</v>
      </c>
      <c r="L1647" s="1" t="s">
        <v>29</v>
      </c>
      <c r="M1647" s="1" t="s">
        <v>43</v>
      </c>
      <c r="N1647" s="1" t="s">
        <v>361</v>
      </c>
      <c r="O1647">
        <v>876.3</v>
      </c>
      <c r="P1647">
        <v>10</v>
      </c>
      <c r="Q1647">
        <v>-292.10000000000002</v>
      </c>
      <c r="R1647" s="1" t="s">
        <v>4423</v>
      </c>
      <c r="S1647">
        <v>2016</v>
      </c>
      <c r="T1647" s="1" t="s">
        <v>32</v>
      </c>
    </row>
    <row r="1648" spans="1:20" x14ac:dyDescent="0.25">
      <c r="A1648" s="1" t="s">
        <v>3834</v>
      </c>
      <c r="B1648" s="2">
        <v>42507</v>
      </c>
      <c r="C1648" s="2">
        <v>42510</v>
      </c>
      <c r="D1648" s="1" t="s">
        <v>81</v>
      </c>
      <c r="E1648" s="1" t="s">
        <v>3835</v>
      </c>
      <c r="F1648" s="1" t="s">
        <v>3836</v>
      </c>
      <c r="G1648" s="1" t="s">
        <v>24</v>
      </c>
      <c r="H1648" s="1" t="s">
        <v>125</v>
      </c>
      <c r="I1648" s="1" t="s">
        <v>126</v>
      </c>
      <c r="J1648" s="1" t="s">
        <v>87</v>
      </c>
      <c r="K1648" s="1" t="s">
        <v>1533</v>
      </c>
      <c r="L1648" s="1" t="s">
        <v>29</v>
      </c>
      <c r="M1648" s="1" t="s">
        <v>53</v>
      </c>
      <c r="N1648" s="1" t="s">
        <v>1534</v>
      </c>
      <c r="O1648">
        <v>22.608000000000001</v>
      </c>
      <c r="P1648">
        <v>3</v>
      </c>
      <c r="Q1648">
        <v>-10.1736</v>
      </c>
      <c r="R1648" s="1" t="s">
        <v>4420</v>
      </c>
      <c r="S1648">
        <v>2016</v>
      </c>
      <c r="T1648" s="1" t="s">
        <v>153</v>
      </c>
    </row>
    <row r="1649" spans="1:20" x14ac:dyDescent="0.25">
      <c r="A1649" s="1" t="s">
        <v>3837</v>
      </c>
      <c r="B1649" s="2">
        <v>42818</v>
      </c>
      <c r="C1649" s="2">
        <v>42821</v>
      </c>
      <c r="D1649" s="1" t="s">
        <v>81</v>
      </c>
      <c r="E1649" s="1" t="s">
        <v>2022</v>
      </c>
      <c r="F1649" s="1" t="s">
        <v>2023</v>
      </c>
      <c r="G1649" s="1" t="s">
        <v>84</v>
      </c>
      <c r="H1649" s="1" t="s">
        <v>165</v>
      </c>
      <c r="I1649" s="1" t="s">
        <v>114</v>
      </c>
      <c r="J1649" s="1" t="s">
        <v>63</v>
      </c>
      <c r="K1649" s="1" t="s">
        <v>479</v>
      </c>
      <c r="L1649" s="1" t="s">
        <v>29</v>
      </c>
      <c r="M1649" s="1" t="s">
        <v>34</v>
      </c>
      <c r="N1649" s="1" t="s">
        <v>480</v>
      </c>
      <c r="O1649">
        <v>207.846</v>
      </c>
      <c r="P1649">
        <v>3</v>
      </c>
      <c r="Q1649">
        <v>2.3094000000000001</v>
      </c>
      <c r="R1649" s="1" t="s">
        <v>4420</v>
      </c>
      <c r="S1649">
        <v>2017</v>
      </c>
      <c r="T1649" s="1" t="s">
        <v>187</v>
      </c>
    </row>
    <row r="1650" spans="1:20" x14ac:dyDescent="0.25">
      <c r="A1650" s="1" t="s">
        <v>3838</v>
      </c>
      <c r="B1650" s="2">
        <v>41722</v>
      </c>
      <c r="C1650" s="2">
        <v>41727</v>
      </c>
      <c r="D1650" s="1" t="s">
        <v>21</v>
      </c>
      <c r="E1650" s="1" t="s">
        <v>1153</v>
      </c>
      <c r="F1650" s="1" t="s">
        <v>1154</v>
      </c>
      <c r="G1650" s="1" t="s">
        <v>24</v>
      </c>
      <c r="H1650" s="1" t="s">
        <v>1124</v>
      </c>
      <c r="I1650" s="1" t="s">
        <v>50</v>
      </c>
      <c r="J1650" s="1" t="s">
        <v>51</v>
      </c>
      <c r="K1650" s="1" t="s">
        <v>2956</v>
      </c>
      <c r="L1650" s="1" t="s">
        <v>29</v>
      </c>
      <c r="M1650" s="1" t="s">
        <v>53</v>
      </c>
      <c r="N1650" s="1" t="s">
        <v>2957</v>
      </c>
      <c r="O1650">
        <v>40.479999999999997</v>
      </c>
      <c r="P1650">
        <v>2</v>
      </c>
      <c r="Q1650">
        <v>14.572800000000001</v>
      </c>
      <c r="R1650" s="1" t="s">
        <v>4422</v>
      </c>
      <c r="S1650">
        <v>2014</v>
      </c>
      <c r="T1650" s="1" t="s">
        <v>187</v>
      </c>
    </row>
    <row r="1651" spans="1:20" x14ac:dyDescent="0.25">
      <c r="A1651" s="1" t="s">
        <v>3839</v>
      </c>
      <c r="B1651" s="2">
        <v>42414</v>
      </c>
      <c r="C1651" s="2">
        <v>42415</v>
      </c>
      <c r="D1651" s="1" t="s">
        <v>81</v>
      </c>
      <c r="E1651" s="1" t="s">
        <v>181</v>
      </c>
      <c r="F1651" s="1" t="s">
        <v>182</v>
      </c>
      <c r="G1651" s="1" t="s">
        <v>24</v>
      </c>
      <c r="H1651" s="1" t="s">
        <v>2513</v>
      </c>
      <c r="I1651" s="1" t="s">
        <v>1080</v>
      </c>
      <c r="J1651" s="1" t="s">
        <v>63</v>
      </c>
      <c r="K1651" s="1" t="s">
        <v>906</v>
      </c>
      <c r="L1651" s="1" t="s">
        <v>29</v>
      </c>
      <c r="M1651" s="1" t="s">
        <v>43</v>
      </c>
      <c r="N1651" s="1" t="s">
        <v>907</v>
      </c>
      <c r="O1651">
        <v>550.43100000000004</v>
      </c>
      <c r="P1651">
        <v>3</v>
      </c>
      <c r="Q1651">
        <v>-47.1798</v>
      </c>
      <c r="R1651" s="1" t="s">
        <v>4425</v>
      </c>
      <c r="S1651">
        <v>2016</v>
      </c>
      <c r="T1651" s="1" t="s">
        <v>289</v>
      </c>
    </row>
    <row r="1652" spans="1:20" x14ac:dyDescent="0.25">
      <c r="A1652" s="1" t="s">
        <v>3839</v>
      </c>
      <c r="B1652" s="2">
        <v>42414</v>
      </c>
      <c r="C1652" s="2">
        <v>42415</v>
      </c>
      <c r="D1652" s="1" t="s">
        <v>81</v>
      </c>
      <c r="E1652" s="1" t="s">
        <v>181</v>
      </c>
      <c r="F1652" s="1" t="s">
        <v>182</v>
      </c>
      <c r="G1652" s="1" t="s">
        <v>24</v>
      </c>
      <c r="H1652" s="1" t="s">
        <v>2513</v>
      </c>
      <c r="I1652" s="1" t="s">
        <v>1080</v>
      </c>
      <c r="J1652" s="1" t="s">
        <v>63</v>
      </c>
      <c r="K1652" s="1" t="s">
        <v>329</v>
      </c>
      <c r="L1652" s="1" t="s">
        <v>29</v>
      </c>
      <c r="M1652" s="1" t="s">
        <v>53</v>
      </c>
      <c r="N1652" s="1" t="s">
        <v>330</v>
      </c>
      <c r="O1652">
        <v>10.56</v>
      </c>
      <c r="P1652">
        <v>6</v>
      </c>
      <c r="Q1652">
        <v>4.6463999999999999</v>
      </c>
      <c r="R1652" s="1" t="s">
        <v>4425</v>
      </c>
      <c r="S1652">
        <v>2016</v>
      </c>
      <c r="T1652" s="1" t="s">
        <v>289</v>
      </c>
    </row>
    <row r="1653" spans="1:20" x14ac:dyDescent="0.25">
      <c r="A1653" s="1" t="s">
        <v>3840</v>
      </c>
      <c r="B1653" s="2">
        <v>42894</v>
      </c>
      <c r="C1653" s="2">
        <v>42896</v>
      </c>
      <c r="D1653" s="1" t="s">
        <v>81</v>
      </c>
      <c r="E1653" s="1" t="s">
        <v>220</v>
      </c>
      <c r="F1653" s="1" t="s">
        <v>221</v>
      </c>
      <c r="G1653" s="1" t="s">
        <v>94</v>
      </c>
      <c r="H1653" s="1" t="s">
        <v>49</v>
      </c>
      <c r="I1653" s="1" t="s">
        <v>50</v>
      </c>
      <c r="J1653" s="1" t="s">
        <v>51</v>
      </c>
      <c r="K1653" s="1" t="s">
        <v>76</v>
      </c>
      <c r="L1653" s="1" t="s">
        <v>29</v>
      </c>
      <c r="M1653" s="1" t="s">
        <v>30</v>
      </c>
      <c r="N1653" s="1" t="s">
        <v>77</v>
      </c>
      <c r="O1653">
        <v>1497.6659999999999</v>
      </c>
      <c r="P1653">
        <v>2</v>
      </c>
      <c r="Q1653">
        <v>140.95679999999999</v>
      </c>
      <c r="R1653" s="1" t="s">
        <v>4423</v>
      </c>
      <c r="S1653">
        <v>2017</v>
      </c>
      <c r="T1653" s="1" t="s">
        <v>55</v>
      </c>
    </row>
    <row r="1654" spans="1:20" x14ac:dyDescent="0.25">
      <c r="A1654" s="1" t="s">
        <v>3841</v>
      </c>
      <c r="B1654" s="2">
        <v>41775</v>
      </c>
      <c r="C1654" s="2">
        <v>41782</v>
      </c>
      <c r="D1654" s="1" t="s">
        <v>37</v>
      </c>
      <c r="E1654" s="1" t="s">
        <v>3842</v>
      </c>
      <c r="F1654" s="1" t="s">
        <v>3843</v>
      </c>
      <c r="G1654" s="1" t="s">
        <v>84</v>
      </c>
      <c r="H1654" s="1" t="s">
        <v>49</v>
      </c>
      <c r="I1654" s="1" t="s">
        <v>50</v>
      </c>
      <c r="J1654" s="1" t="s">
        <v>51</v>
      </c>
      <c r="K1654" s="1" t="s">
        <v>1883</v>
      </c>
      <c r="L1654" s="1" t="s">
        <v>29</v>
      </c>
      <c r="M1654" s="1" t="s">
        <v>34</v>
      </c>
      <c r="N1654" s="1" t="s">
        <v>1884</v>
      </c>
      <c r="O1654">
        <v>232.88</v>
      </c>
      <c r="P1654">
        <v>5</v>
      </c>
      <c r="Q1654">
        <v>17.466000000000001</v>
      </c>
      <c r="R1654" s="1" t="s">
        <v>4421</v>
      </c>
      <c r="S1654">
        <v>2014</v>
      </c>
      <c r="T1654" s="1" t="s">
        <v>153</v>
      </c>
    </row>
    <row r="1655" spans="1:20" x14ac:dyDescent="0.25">
      <c r="A1655" s="1" t="s">
        <v>3844</v>
      </c>
      <c r="B1655" s="2">
        <v>42038</v>
      </c>
      <c r="C1655" s="2">
        <v>42042</v>
      </c>
      <c r="D1655" s="1" t="s">
        <v>37</v>
      </c>
      <c r="E1655" s="1" t="s">
        <v>3842</v>
      </c>
      <c r="F1655" s="1" t="s">
        <v>3843</v>
      </c>
      <c r="G1655" s="1" t="s">
        <v>84</v>
      </c>
      <c r="H1655" s="1" t="s">
        <v>2847</v>
      </c>
      <c r="I1655" s="1" t="s">
        <v>114</v>
      </c>
      <c r="J1655" s="1" t="s">
        <v>63</v>
      </c>
      <c r="K1655" s="1" t="s">
        <v>98</v>
      </c>
      <c r="L1655" s="1" t="s">
        <v>29</v>
      </c>
      <c r="M1655" s="1" t="s">
        <v>34</v>
      </c>
      <c r="N1655" s="1" t="s">
        <v>99</v>
      </c>
      <c r="O1655">
        <v>90.882000000000005</v>
      </c>
      <c r="P1655">
        <v>1</v>
      </c>
      <c r="Q1655">
        <v>15.147</v>
      </c>
      <c r="R1655" s="1" t="s">
        <v>4424</v>
      </c>
      <c r="S1655">
        <v>2015</v>
      </c>
      <c r="T1655" s="1" t="s">
        <v>289</v>
      </c>
    </row>
    <row r="1656" spans="1:20" x14ac:dyDescent="0.25">
      <c r="A1656" s="1" t="s">
        <v>3845</v>
      </c>
      <c r="B1656" s="2">
        <v>42120</v>
      </c>
      <c r="C1656" s="2">
        <v>42125</v>
      </c>
      <c r="D1656" s="1" t="s">
        <v>37</v>
      </c>
      <c r="E1656" s="1" t="s">
        <v>1951</v>
      </c>
      <c r="F1656" s="1" t="s">
        <v>1952</v>
      </c>
      <c r="G1656" s="1" t="s">
        <v>84</v>
      </c>
      <c r="H1656" s="1" t="s">
        <v>630</v>
      </c>
      <c r="I1656" s="1" t="s">
        <v>50</v>
      </c>
      <c r="J1656" s="1" t="s">
        <v>51</v>
      </c>
      <c r="K1656" s="1" t="s">
        <v>1999</v>
      </c>
      <c r="L1656" s="1" t="s">
        <v>29</v>
      </c>
      <c r="M1656" s="1" t="s">
        <v>34</v>
      </c>
      <c r="N1656" s="1" t="s">
        <v>2000</v>
      </c>
      <c r="O1656">
        <v>63.936</v>
      </c>
      <c r="P1656">
        <v>3</v>
      </c>
      <c r="Q1656">
        <v>6.3936000000000002</v>
      </c>
      <c r="R1656" s="1" t="s">
        <v>4422</v>
      </c>
      <c r="S1656">
        <v>2015</v>
      </c>
      <c r="T1656" s="1" t="s">
        <v>107</v>
      </c>
    </row>
    <row r="1657" spans="1:20" x14ac:dyDescent="0.25">
      <c r="A1657" s="1" t="s">
        <v>3846</v>
      </c>
      <c r="B1657" s="2">
        <v>42107</v>
      </c>
      <c r="C1657" s="2">
        <v>42111</v>
      </c>
      <c r="D1657" s="1" t="s">
        <v>21</v>
      </c>
      <c r="E1657" s="1" t="s">
        <v>2954</v>
      </c>
      <c r="F1657" s="1" t="s">
        <v>2955</v>
      </c>
      <c r="G1657" s="1" t="s">
        <v>24</v>
      </c>
      <c r="H1657" s="1" t="s">
        <v>49</v>
      </c>
      <c r="I1657" s="1" t="s">
        <v>50</v>
      </c>
      <c r="J1657" s="1" t="s">
        <v>51</v>
      </c>
      <c r="K1657" s="1" t="s">
        <v>1275</v>
      </c>
      <c r="L1657" s="1" t="s">
        <v>29</v>
      </c>
      <c r="M1657" s="1" t="s">
        <v>43</v>
      </c>
      <c r="N1657" s="1" t="s">
        <v>1276</v>
      </c>
      <c r="O1657">
        <v>241.56800000000001</v>
      </c>
      <c r="P1657">
        <v>2</v>
      </c>
      <c r="Q1657">
        <v>-15.098000000000001</v>
      </c>
      <c r="R1657" s="1" t="s">
        <v>4424</v>
      </c>
      <c r="S1657">
        <v>2015</v>
      </c>
      <c r="T1657" s="1" t="s">
        <v>107</v>
      </c>
    </row>
    <row r="1658" spans="1:20" x14ac:dyDescent="0.25">
      <c r="A1658" s="1" t="s">
        <v>3847</v>
      </c>
      <c r="B1658" s="2">
        <v>42272</v>
      </c>
      <c r="C1658" s="2">
        <v>42277</v>
      </c>
      <c r="D1658" s="1" t="s">
        <v>37</v>
      </c>
      <c r="E1658" s="1" t="s">
        <v>2015</v>
      </c>
      <c r="F1658" s="1" t="s">
        <v>2016</v>
      </c>
      <c r="G1658" s="1" t="s">
        <v>84</v>
      </c>
      <c r="H1658" s="1" t="s">
        <v>183</v>
      </c>
      <c r="I1658" s="1" t="s">
        <v>184</v>
      </c>
      <c r="J1658" s="1" t="s">
        <v>51</v>
      </c>
      <c r="K1658" s="1" t="s">
        <v>1270</v>
      </c>
      <c r="L1658" s="1" t="s">
        <v>29</v>
      </c>
      <c r="M1658" s="1" t="s">
        <v>34</v>
      </c>
      <c r="N1658" s="1" t="s">
        <v>1271</v>
      </c>
      <c r="O1658">
        <v>307.13600000000002</v>
      </c>
      <c r="P1658">
        <v>4</v>
      </c>
      <c r="Q1658">
        <v>-11.5176</v>
      </c>
      <c r="R1658" s="1" t="s">
        <v>4422</v>
      </c>
      <c r="S1658">
        <v>2015</v>
      </c>
      <c r="T1658" s="1" t="s">
        <v>72</v>
      </c>
    </row>
    <row r="1659" spans="1:20" x14ac:dyDescent="0.25">
      <c r="A1659" s="1" t="s">
        <v>3848</v>
      </c>
      <c r="B1659" s="2">
        <v>41726</v>
      </c>
      <c r="C1659" s="2">
        <v>41731</v>
      </c>
      <c r="D1659" s="1" t="s">
        <v>37</v>
      </c>
      <c r="E1659" s="1" t="s">
        <v>3119</v>
      </c>
      <c r="F1659" s="1" t="s">
        <v>3120</v>
      </c>
      <c r="G1659" s="1" t="s">
        <v>24</v>
      </c>
      <c r="H1659" s="1" t="s">
        <v>791</v>
      </c>
      <c r="I1659" s="1" t="s">
        <v>792</v>
      </c>
      <c r="J1659" s="1" t="s">
        <v>87</v>
      </c>
      <c r="K1659" s="1" t="s">
        <v>1662</v>
      </c>
      <c r="L1659" s="1" t="s">
        <v>29</v>
      </c>
      <c r="M1659" s="1" t="s">
        <v>43</v>
      </c>
      <c r="N1659" s="1" t="s">
        <v>1663</v>
      </c>
      <c r="O1659">
        <v>1184.72</v>
      </c>
      <c r="P1659">
        <v>4</v>
      </c>
      <c r="Q1659">
        <v>106.62479999999999</v>
      </c>
      <c r="R1659" s="1" t="s">
        <v>4422</v>
      </c>
      <c r="S1659">
        <v>2014</v>
      </c>
      <c r="T1659" s="1" t="s">
        <v>187</v>
      </c>
    </row>
    <row r="1660" spans="1:20" x14ac:dyDescent="0.25">
      <c r="A1660" s="1" t="s">
        <v>3849</v>
      </c>
      <c r="B1660" s="2">
        <v>42937</v>
      </c>
      <c r="C1660" s="2">
        <v>42941</v>
      </c>
      <c r="D1660" s="1" t="s">
        <v>37</v>
      </c>
      <c r="E1660" s="1" t="s">
        <v>3850</v>
      </c>
      <c r="F1660" s="1" t="s">
        <v>3851</v>
      </c>
      <c r="G1660" s="1" t="s">
        <v>24</v>
      </c>
      <c r="H1660" s="1" t="s">
        <v>2234</v>
      </c>
      <c r="I1660" s="1" t="s">
        <v>86</v>
      </c>
      <c r="J1660" s="1" t="s">
        <v>87</v>
      </c>
      <c r="K1660" s="1" t="s">
        <v>1240</v>
      </c>
      <c r="L1660" s="1" t="s">
        <v>29</v>
      </c>
      <c r="M1660" s="1" t="s">
        <v>43</v>
      </c>
      <c r="N1660" s="1" t="s">
        <v>1241</v>
      </c>
      <c r="O1660">
        <v>124.404</v>
      </c>
      <c r="P1660">
        <v>4</v>
      </c>
      <c r="Q1660">
        <v>-21.3264</v>
      </c>
      <c r="R1660" s="1" t="s">
        <v>4424</v>
      </c>
      <c r="S1660">
        <v>2017</v>
      </c>
      <c r="T1660" s="1" t="s">
        <v>66</v>
      </c>
    </row>
    <row r="1661" spans="1:20" x14ac:dyDescent="0.25">
      <c r="A1661" s="1" t="s">
        <v>3852</v>
      </c>
      <c r="B1661" s="2">
        <v>42427</v>
      </c>
      <c r="C1661" s="2">
        <v>42431</v>
      </c>
      <c r="D1661" s="1" t="s">
        <v>37</v>
      </c>
      <c r="E1661" s="1" t="s">
        <v>3853</v>
      </c>
      <c r="F1661" s="1" t="s">
        <v>3854</v>
      </c>
      <c r="G1661" s="1" t="s">
        <v>24</v>
      </c>
      <c r="H1661" s="1" t="s">
        <v>95</v>
      </c>
      <c r="I1661" s="1" t="s">
        <v>86</v>
      </c>
      <c r="J1661" s="1" t="s">
        <v>87</v>
      </c>
      <c r="K1661" s="1" t="s">
        <v>2786</v>
      </c>
      <c r="L1661" s="1" t="s">
        <v>29</v>
      </c>
      <c r="M1661" s="1" t="s">
        <v>53</v>
      </c>
      <c r="N1661" s="1" t="s">
        <v>2787</v>
      </c>
      <c r="O1661">
        <v>16.192</v>
      </c>
      <c r="P1661">
        <v>2</v>
      </c>
      <c r="Q1661">
        <v>-6.8815999999999997</v>
      </c>
      <c r="R1661" s="1" t="s">
        <v>4424</v>
      </c>
      <c r="S1661">
        <v>2016</v>
      </c>
      <c r="T1661" s="1" t="s">
        <v>289</v>
      </c>
    </row>
    <row r="1662" spans="1:20" x14ac:dyDescent="0.25">
      <c r="A1662" s="1" t="s">
        <v>3855</v>
      </c>
      <c r="B1662" s="2">
        <v>42199</v>
      </c>
      <c r="C1662" s="2">
        <v>42204</v>
      </c>
      <c r="D1662" s="1" t="s">
        <v>21</v>
      </c>
      <c r="E1662" s="1" t="s">
        <v>3856</v>
      </c>
      <c r="F1662" s="1" t="s">
        <v>3857</v>
      </c>
      <c r="G1662" s="1" t="s">
        <v>24</v>
      </c>
      <c r="H1662" s="1" t="s">
        <v>905</v>
      </c>
      <c r="I1662" s="1" t="s">
        <v>511</v>
      </c>
      <c r="J1662" s="1" t="s">
        <v>51</v>
      </c>
      <c r="K1662" s="1" t="s">
        <v>238</v>
      </c>
      <c r="L1662" s="1" t="s">
        <v>29</v>
      </c>
      <c r="M1662" s="1" t="s">
        <v>34</v>
      </c>
      <c r="N1662" s="1" t="s">
        <v>239</v>
      </c>
      <c r="O1662">
        <v>441.92</v>
      </c>
      <c r="P1662">
        <v>2</v>
      </c>
      <c r="Q1662">
        <v>49.716000000000001</v>
      </c>
      <c r="R1662" s="1" t="s">
        <v>4422</v>
      </c>
      <c r="S1662">
        <v>2015</v>
      </c>
      <c r="T1662" s="1" t="s">
        <v>66</v>
      </c>
    </row>
    <row r="1663" spans="1:20" x14ac:dyDescent="0.25">
      <c r="A1663" s="1" t="s">
        <v>3855</v>
      </c>
      <c r="B1663" s="2">
        <v>42199</v>
      </c>
      <c r="C1663" s="2">
        <v>42204</v>
      </c>
      <c r="D1663" s="1" t="s">
        <v>21</v>
      </c>
      <c r="E1663" s="1" t="s">
        <v>3856</v>
      </c>
      <c r="F1663" s="1" t="s">
        <v>3857</v>
      </c>
      <c r="G1663" s="1" t="s">
        <v>24</v>
      </c>
      <c r="H1663" s="1" t="s">
        <v>905</v>
      </c>
      <c r="I1663" s="1" t="s">
        <v>511</v>
      </c>
      <c r="J1663" s="1" t="s">
        <v>51</v>
      </c>
      <c r="K1663" s="1" t="s">
        <v>2470</v>
      </c>
      <c r="L1663" s="1" t="s">
        <v>29</v>
      </c>
      <c r="M1663" s="1" t="s">
        <v>30</v>
      </c>
      <c r="N1663" s="1" t="s">
        <v>2471</v>
      </c>
      <c r="O1663">
        <v>127.764</v>
      </c>
      <c r="P1663">
        <v>6</v>
      </c>
      <c r="Q1663">
        <v>-191.64599999999999</v>
      </c>
      <c r="R1663" s="1" t="s">
        <v>4422</v>
      </c>
      <c r="S1663">
        <v>2015</v>
      </c>
      <c r="T1663" s="1" t="s">
        <v>66</v>
      </c>
    </row>
    <row r="1664" spans="1:20" x14ac:dyDescent="0.25">
      <c r="A1664" s="1" t="s">
        <v>3858</v>
      </c>
      <c r="B1664" s="2">
        <v>42646</v>
      </c>
      <c r="C1664" s="2">
        <v>42650</v>
      </c>
      <c r="D1664" s="1" t="s">
        <v>37</v>
      </c>
      <c r="E1664" s="1" t="s">
        <v>2292</v>
      </c>
      <c r="F1664" s="1" t="s">
        <v>2293</v>
      </c>
      <c r="G1664" s="1" t="s">
        <v>94</v>
      </c>
      <c r="H1664" s="1" t="s">
        <v>3256</v>
      </c>
      <c r="I1664" s="1" t="s">
        <v>50</v>
      </c>
      <c r="J1664" s="1" t="s">
        <v>51</v>
      </c>
      <c r="K1664" s="1" t="s">
        <v>198</v>
      </c>
      <c r="L1664" s="1" t="s">
        <v>29</v>
      </c>
      <c r="M1664" s="1" t="s">
        <v>34</v>
      </c>
      <c r="N1664" s="1" t="s">
        <v>199</v>
      </c>
      <c r="O1664">
        <v>915.13599999999997</v>
      </c>
      <c r="P1664">
        <v>4</v>
      </c>
      <c r="Q1664">
        <v>102.9528</v>
      </c>
      <c r="R1664" s="1" t="s">
        <v>4424</v>
      </c>
      <c r="S1664">
        <v>2016</v>
      </c>
      <c r="T1664" s="1" t="s">
        <v>45</v>
      </c>
    </row>
    <row r="1665" spans="1:20" x14ac:dyDescent="0.25">
      <c r="A1665" s="1" t="s">
        <v>3859</v>
      </c>
      <c r="B1665" s="2">
        <v>42703</v>
      </c>
      <c r="C1665" s="2">
        <v>42708</v>
      </c>
      <c r="D1665" s="1" t="s">
        <v>21</v>
      </c>
      <c r="E1665" s="1" t="s">
        <v>2104</v>
      </c>
      <c r="F1665" s="1" t="s">
        <v>2105</v>
      </c>
      <c r="G1665" s="1" t="s">
        <v>94</v>
      </c>
      <c r="H1665" s="1" t="s">
        <v>171</v>
      </c>
      <c r="I1665" s="1" t="s">
        <v>126</v>
      </c>
      <c r="J1665" s="1" t="s">
        <v>87</v>
      </c>
      <c r="K1665" s="1" t="s">
        <v>3667</v>
      </c>
      <c r="L1665" s="1" t="s">
        <v>29</v>
      </c>
      <c r="M1665" s="1" t="s">
        <v>53</v>
      </c>
      <c r="N1665" s="1" t="s">
        <v>3668</v>
      </c>
      <c r="O1665">
        <v>242.17599999999999</v>
      </c>
      <c r="P1665">
        <v>4</v>
      </c>
      <c r="Q1665">
        <v>-302.72000000000003</v>
      </c>
      <c r="R1665" s="1" t="s">
        <v>4422</v>
      </c>
      <c r="S1665">
        <v>2016</v>
      </c>
      <c r="T1665" s="1" t="s">
        <v>32</v>
      </c>
    </row>
    <row r="1666" spans="1:20" x14ac:dyDescent="0.25">
      <c r="A1666" s="1" t="s">
        <v>3860</v>
      </c>
      <c r="B1666" s="2">
        <v>42535</v>
      </c>
      <c r="C1666" s="2">
        <v>42542</v>
      </c>
      <c r="D1666" s="1" t="s">
        <v>37</v>
      </c>
      <c r="E1666" s="1" t="s">
        <v>3861</v>
      </c>
      <c r="F1666" s="1" t="s">
        <v>3862</v>
      </c>
      <c r="G1666" s="1" t="s">
        <v>84</v>
      </c>
      <c r="H1666" s="1" t="s">
        <v>61</v>
      </c>
      <c r="I1666" s="1" t="s">
        <v>62</v>
      </c>
      <c r="J1666" s="1" t="s">
        <v>63</v>
      </c>
      <c r="K1666" s="1" t="s">
        <v>2810</v>
      </c>
      <c r="L1666" s="1" t="s">
        <v>29</v>
      </c>
      <c r="M1666" s="1" t="s">
        <v>43</v>
      </c>
      <c r="N1666" s="1" t="s">
        <v>2811</v>
      </c>
      <c r="O1666">
        <v>337.17599999999999</v>
      </c>
      <c r="P1666">
        <v>2</v>
      </c>
      <c r="Q1666">
        <v>-118.0116</v>
      </c>
      <c r="R1666" s="1" t="s">
        <v>4421</v>
      </c>
      <c r="S1666">
        <v>2016</v>
      </c>
      <c r="T1666" s="1" t="s">
        <v>55</v>
      </c>
    </row>
    <row r="1667" spans="1:20" x14ac:dyDescent="0.25">
      <c r="A1667" s="1" t="s">
        <v>3863</v>
      </c>
      <c r="B1667" s="2">
        <v>43072</v>
      </c>
      <c r="C1667" s="2">
        <v>43075</v>
      </c>
      <c r="D1667" s="1" t="s">
        <v>21</v>
      </c>
      <c r="E1667" s="1" t="s">
        <v>169</v>
      </c>
      <c r="F1667" s="1" t="s">
        <v>170</v>
      </c>
      <c r="G1667" s="1" t="s">
        <v>24</v>
      </c>
      <c r="H1667" s="1" t="s">
        <v>3864</v>
      </c>
      <c r="I1667" s="1" t="s">
        <v>172</v>
      </c>
      <c r="J1667" s="1" t="s">
        <v>51</v>
      </c>
      <c r="K1667" s="1" t="s">
        <v>307</v>
      </c>
      <c r="L1667" s="1" t="s">
        <v>29</v>
      </c>
      <c r="M1667" s="1" t="s">
        <v>53</v>
      </c>
      <c r="N1667" s="1" t="s">
        <v>308</v>
      </c>
      <c r="O1667">
        <v>23.376000000000001</v>
      </c>
      <c r="P1667">
        <v>3</v>
      </c>
      <c r="Q1667">
        <v>7.0128000000000004</v>
      </c>
      <c r="R1667" s="1" t="s">
        <v>4420</v>
      </c>
      <c r="S1667">
        <v>2017</v>
      </c>
      <c r="T1667" s="1" t="s">
        <v>90</v>
      </c>
    </row>
    <row r="1668" spans="1:20" x14ac:dyDescent="0.25">
      <c r="A1668" s="1" t="s">
        <v>3863</v>
      </c>
      <c r="B1668" s="2">
        <v>43072</v>
      </c>
      <c r="C1668" s="2">
        <v>43075</v>
      </c>
      <c r="D1668" s="1" t="s">
        <v>21</v>
      </c>
      <c r="E1668" s="1" t="s">
        <v>169</v>
      </c>
      <c r="F1668" s="1" t="s">
        <v>170</v>
      </c>
      <c r="G1668" s="1" t="s">
        <v>24</v>
      </c>
      <c r="H1668" s="1" t="s">
        <v>3864</v>
      </c>
      <c r="I1668" s="1" t="s">
        <v>172</v>
      </c>
      <c r="J1668" s="1" t="s">
        <v>51</v>
      </c>
      <c r="K1668" s="1" t="s">
        <v>1302</v>
      </c>
      <c r="L1668" s="1" t="s">
        <v>29</v>
      </c>
      <c r="M1668" s="1" t="s">
        <v>53</v>
      </c>
      <c r="N1668" s="1" t="s">
        <v>1303</v>
      </c>
      <c r="O1668">
        <v>16.72</v>
      </c>
      <c r="P1668">
        <v>5</v>
      </c>
      <c r="Q1668">
        <v>3.3439999999999999</v>
      </c>
      <c r="R1668" s="1" t="s">
        <v>4420</v>
      </c>
      <c r="S1668">
        <v>2017</v>
      </c>
      <c r="T1668" s="1" t="s">
        <v>90</v>
      </c>
    </row>
    <row r="1669" spans="1:20" x14ac:dyDescent="0.25">
      <c r="A1669" s="1" t="s">
        <v>3863</v>
      </c>
      <c r="B1669" s="2">
        <v>43072</v>
      </c>
      <c r="C1669" s="2">
        <v>43075</v>
      </c>
      <c r="D1669" s="1" t="s">
        <v>21</v>
      </c>
      <c r="E1669" s="1" t="s">
        <v>169</v>
      </c>
      <c r="F1669" s="1" t="s">
        <v>170</v>
      </c>
      <c r="G1669" s="1" t="s">
        <v>24</v>
      </c>
      <c r="H1669" s="1" t="s">
        <v>3864</v>
      </c>
      <c r="I1669" s="1" t="s">
        <v>172</v>
      </c>
      <c r="J1669" s="1" t="s">
        <v>51</v>
      </c>
      <c r="K1669" s="1" t="s">
        <v>2786</v>
      </c>
      <c r="L1669" s="1" t="s">
        <v>29</v>
      </c>
      <c r="M1669" s="1" t="s">
        <v>53</v>
      </c>
      <c r="N1669" s="1" t="s">
        <v>2787</v>
      </c>
      <c r="O1669">
        <v>16.192</v>
      </c>
      <c r="P1669">
        <v>1</v>
      </c>
      <c r="Q1669">
        <v>4.6551999999999998</v>
      </c>
      <c r="R1669" s="1" t="s">
        <v>4420</v>
      </c>
      <c r="S1669">
        <v>2017</v>
      </c>
      <c r="T1669" s="1" t="s">
        <v>90</v>
      </c>
    </row>
    <row r="1670" spans="1:20" x14ac:dyDescent="0.25">
      <c r="A1670" s="1" t="s">
        <v>3865</v>
      </c>
      <c r="B1670" s="2">
        <v>42729</v>
      </c>
      <c r="C1670" s="2">
        <v>42733</v>
      </c>
      <c r="D1670" s="1" t="s">
        <v>37</v>
      </c>
      <c r="E1670" s="1" t="s">
        <v>3866</v>
      </c>
      <c r="F1670" s="1" t="s">
        <v>3867</v>
      </c>
      <c r="G1670" s="1" t="s">
        <v>24</v>
      </c>
      <c r="H1670" s="1" t="s">
        <v>1902</v>
      </c>
      <c r="I1670" s="1" t="s">
        <v>1049</v>
      </c>
      <c r="J1670" s="1" t="s">
        <v>27</v>
      </c>
      <c r="K1670" s="1" t="s">
        <v>696</v>
      </c>
      <c r="L1670" s="1" t="s">
        <v>29</v>
      </c>
      <c r="M1670" s="1" t="s">
        <v>53</v>
      </c>
      <c r="N1670" s="1" t="s">
        <v>697</v>
      </c>
      <c r="O1670">
        <v>343.85</v>
      </c>
      <c r="P1670">
        <v>5</v>
      </c>
      <c r="Q1670">
        <v>137.54</v>
      </c>
      <c r="R1670" s="1" t="s">
        <v>4424</v>
      </c>
      <c r="S1670">
        <v>2016</v>
      </c>
      <c r="T1670" s="1" t="s">
        <v>90</v>
      </c>
    </row>
    <row r="1671" spans="1:20" x14ac:dyDescent="0.25">
      <c r="A1671" s="1" t="s">
        <v>3868</v>
      </c>
      <c r="B1671" s="2">
        <v>42960</v>
      </c>
      <c r="C1671" s="2">
        <v>42965</v>
      </c>
      <c r="D1671" s="1" t="s">
        <v>37</v>
      </c>
      <c r="E1671" s="1" t="s">
        <v>3869</v>
      </c>
      <c r="F1671" s="1" t="s">
        <v>3870</v>
      </c>
      <c r="G1671" s="1" t="s">
        <v>24</v>
      </c>
      <c r="H1671" s="1" t="s">
        <v>132</v>
      </c>
      <c r="I1671" s="1" t="s">
        <v>133</v>
      </c>
      <c r="J1671" s="1" t="s">
        <v>27</v>
      </c>
      <c r="K1671" s="1" t="s">
        <v>1114</v>
      </c>
      <c r="L1671" s="1" t="s">
        <v>29</v>
      </c>
      <c r="M1671" s="1" t="s">
        <v>53</v>
      </c>
      <c r="N1671" s="1" t="s">
        <v>1115</v>
      </c>
      <c r="O1671">
        <v>31.984000000000002</v>
      </c>
      <c r="P1671">
        <v>1</v>
      </c>
      <c r="Q1671">
        <v>0</v>
      </c>
      <c r="R1671" s="1" t="s">
        <v>4422</v>
      </c>
      <c r="S1671">
        <v>2017</v>
      </c>
      <c r="T1671" s="1" t="s">
        <v>245</v>
      </c>
    </row>
    <row r="1672" spans="1:20" x14ac:dyDescent="0.25">
      <c r="A1672" s="1" t="s">
        <v>3868</v>
      </c>
      <c r="B1672" s="2">
        <v>42960</v>
      </c>
      <c r="C1672" s="2">
        <v>42965</v>
      </c>
      <c r="D1672" s="1" t="s">
        <v>37</v>
      </c>
      <c r="E1672" s="1" t="s">
        <v>3869</v>
      </c>
      <c r="F1672" s="1" t="s">
        <v>3870</v>
      </c>
      <c r="G1672" s="1" t="s">
        <v>24</v>
      </c>
      <c r="H1672" s="1" t="s">
        <v>132</v>
      </c>
      <c r="I1672" s="1" t="s">
        <v>133</v>
      </c>
      <c r="J1672" s="1" t="s">
        <v>27</v>
      </c>
      <c r="K1672" s="1" t="s">
        <v>3582</v>
      </c>
      <c r="L1672" s="1" t="s">
        <v>29</v>
      </c>
      <c r="M1672" s="1" t="s">
        <v>34</v>
      </c>
      <c r="N1672" s="1" t="s">
        <v>3583</v>
      </c>
      <c r="O1672">
        <v>423.64800000000002</v>
      </c>
      <c r="P1672">
        <v>2</v>
      </c>
      <c r="Q1672">
        <v>47.660400000000003</v>
      </c>
      <c r="R1672" s="1" t="s">
        <v>4422</v>
      </c>
      <c r="S1672">
        <v>2017</v>
      </c>
      <c r="T1672" s="1" t="s">
        <v>245</v>
      </c>
    </row>
    <row r="1673" spans="1:20" x14ac:dyDescent="0.25">
      <c r="A1673" s="1" t="s">
        <v>3871</v>
      </c>
      <c r="B1673" s="2">
        <v>42707</v>
      </c>
      <c r="C1673" s="2">
        <v>42711</v>
      </c>
      <c r="D1673" s="1" t="s">
        <v>37</v>
      </c>
      <c r="E1673" s="1" t="s">
        <v>2844</v>
      </c>
      <c r="F1673" s="1" t="s">
        <v>2845</v>
      </c>
      <c r="G1673" s="1" t="s">
        <v>24</v>
      </c>
      <c r="H1673" s="1" t="s">
        <v>3872</v>
      </c>
      <c r="I1673" s="1" t="s">
        <v>50</v>
      </c>
      <c r="J1673" s="1" t="s">
        <v>51</v>
      </c>
      <c r="K1673" s="1" t="s">
        <v>1031</v>
      </c>
      <c r="L1673" s="1" t="s">
        <v>29</v>
      </c>
      <c r="M1673" s="1" t="s">
        <v>43</v>
      </c>
      <c r="N1673" s="1" t="s">
        <v>1032</v>
      </c>
      <c r="O1673">
        <v>268.70400000000001</v>
      </c>
      <c r="P1673">
        <v>3</v>
      </c>
      <c r="Q1673">
        <v>6.7176</v>
      </c>
      <c r="R1673" s="1" t="s">
        <v>4424</v>
      </c>
      <c r="S1673">
        <v>2016</v>
      </c>
      <c r="T1673" s="1" t="s">
        <v>90</v>
      </c>
    </row>
    <row r="1674" spans="1:20" x14ac:dyDescent="0.25">
      <c r="A1674" s="1" t="s">
        <v>3871</v>
      </c>
      <c r="B1674" s="2">
        <v>42707</v>
      </c>
      <c r="C1674" s="2">
        <v>42711</v>
      </c>
      <c r="D1674" s="1" t="s">
        <v>37</v>
      </c>
      <c r="E1674" s="1" t="s">
        <v>2844</v>
      </c>
      <c r="F1674" s="1" t="s">
        <v>2845</v>
      </c>
      <c r="G1674" s="1" t="s">
        <v>24</v>
      </c>
      <c r="H1674" s="1" t="s">
        <v>3872</v>
      </c>
      <c r="I1674" s="1" t="s">
        <v>50</v>
      </c>
      <c r="J1674" s="1" t="s">
        <v>51</v>
      </c>
      <c r="K1674" s="1" t="s">
        <v>533</v>
      </c>
      <c r="L1674" s="1" t="s">
        <v>29</v>
      </c>
      <c r="M1674" s="1" t="s">
        <v>30</v>
      </c>
      <c r="N1674" s="1" t="s">
        <v>534</v>
      </c>
      <c r="O1674">
        <v>205.666</v>
      </c>
      <c r="P1674">
        <v>2</v>
      </c>
      <c r="Q1674">
        <v>-12.098000000000001</v>
      </c>
      <c r="R1674" s="1" t="s">
        <v>4424</v>
      </c>
      <c r="S1674">
        <v>2016</v>
      </c>
      <c r="T1674" s="1" t="s">
        <v>90</v>
      </c>
    </row>
    <row r="1675" spans="1:20" x14ac:dyDescent="0.25">
      <c r="A1675" s="1" t="s">
        <v>3873</v>
      </c>
      <c r="B1675" s="2">
        <v>42488</v>
      </c>
      <c r="C1675" s="2">
        <v>42490</v>
      </c>
      <c r="D1675" s="1" t="s">
        <v>21</v>
      </c>
      <c r="E1675" s="1" t="s">
        <v>3780</v>
      </c>
      <c r="F1675" s="1" t="s">
        <v>3781</v>
      </c>
      <c r="G1675" s="1" t="s">
        <v>24</v>
      </c>
      <c r="H1675" s="1" t="s">
        <v>3648</v>
      </c>
      <c r="I1675" s="1" t="s">
        <v>126</v>
      </c>
      <c r="J1675" s="1" t="s">
        <v>87</v>
      </c>
      <c r="K1675" s="1" t="s">
        <v>958</v>
      </c>
      <c r="L1675" s="1" t="s">
        <v>29</v>
      </c>
      <c r="M1675" s="1" t="s">
        <v>53</v>
      </c>
      <c r="N1675" s="1" t="s">
        <v>959</v>
      </c>
      <c r="O1675">
        <v>30.344000000000001</v>
      </c>
      <c r="P1675">
        <v>2</v>
      </c>
      <c r="Q1675">
        <v>-31.8612</v>
      </c>
      <c r="R1675" s="1" t="s">
        <v>4423</v>
      </c>
      <c r="S1675">
        <v>2016</v>
      </c>
      <c r="T1675" s="1" t="s">
        <v>107</v>
      </c>
    </row>
    <row r="1676" spans="1:20" x14ac:dyDescent="0.25">
      <c r="A1676" s="1" t="s">
        <v>3874</v>
      </c>
      <c r="B1676" s="2">
        <v>42328</v>
      </c>
      <c r="C1676" s="2">
        <v>42332</v>
      </c>
      <c r="D1676" s="1" t="s">
        <v>37</v>
      </c>
      <c r="E1676" s="1" t="s">
        <v>3875</v>
      </c>
      <c r="F1676" s="1" t="s">
        <v>3876</v>
      </c>
      <c r="G1676" s="1" t="s">
        <v>94</v>
      </c>
      <c r="H1676" s="1" t="s">
        <v>61</v>
      </c>
      <c r="I1676" s="1" t="s">
        <v>62</v>
      </c>
      <c r="J1676" s="1" t="s">
        <v>63</v>
      </c>
      <c r="K1676" s="1" t="s">
        <v>1019</v>
      </c>
      <c r="L1676" s="1" t="s">
        <v>29</v>
      </c>
      <c r="M1676" s="1" t="s">
        <v>34</v>
      </c>
      <c r="N1676" s="1" t="s">
        <v>1020</v>
      </c>
      <c r="O1676">
        <v>344.37200000000001</v>
      </c>
      <c r="P1676">
        <v>4</v>
      </c>
      <c r="Q1676">
        <v>-93.472399999999993</v>
      </c>
      <c r="R1676" s="1" t="s">
        <v>4424</v>
      </c>
      <c r="S1676">
        <v>2015</v>
      </c>
      <c r="T1676" s="1" t="s">
        <v>32</v>
      </c>
    </row>
    <row r="1677" spans="1:20" x14ac:dyDescent="0.25">
      <c r="A1677" s="1" t="s">
        <v>3877</v>
      </c>
      <c r="B1677" s="2">
        <v>43059</v>
      </c>
      <c r="C1677" s="2">
        <v>43063</v>
      </c>
      <c r="D1677" s="1" t="s">
        <v>21</v>
      </c>
      <c r="E1677" s="1" t="s">
        <v>1520</v>
      </c>
      <c r="F1677" s="1" t="s">
        <v>1521</v>
      </c>
      <c r="G1677" s="1" t="s">
        <v>84</v>
      </c>
      <c r="H1677" s="1" t="s">
        <v>165</v>
      </c>
      <c r="I1677" s="1" t="s">
        <v>114</v>
      </c>
      <c r="J1677" s="1" t="s">
        <v>63</v>
      </c>
      <c r="K1677" s="1" t="s">
        <v>3536</v>
      </c>
      <c r="L1677" s="1" t="s">
        <v>29</v>
      </c>
      <c r="M1677" s="1" t="s">
        <v>53</v>
      </c>
      <c r="N1677" s="1" t="s">
        <v>3537</v>
      </c>
      <c r="O1677">
        <v>50.97</v>
      </c>
      <c r="P1677">
        <v>3</v>
      </c>
      <c r="Q1677">
        <v>9.1745999999999999</v>
      </c>
      <c r="R1677" s="1" t="s">
        <v>4424</v>
      </c>
      <c r="S1677">
        <v>2017</v>
      </c>
      <c r="T1677" s="1" t="s">
        <v>32</v>
      </c>
    </row>
    <row r="1678" spans="1:20" x14ac:dyDescent="0.25">
      <c r="A1678" s="1" t="s">
        <v>3878</v>
      </c>
      <c r="B1678" s="2">
        <v>42941</v>
      </c>
      <c r="C1678" s="2">
        <v>42943</v>
      </c>
      <c r="D1678" s="1" t="s">
        <v>81</v>
      </c>
      <c r="E1678" s="1" t="s">
        <v>3879</v>
      </c>
      <c r="F1678" s="1" t="s">
        <v>3880</v>
      </c>
      <c r="G1678" s="1" t="s">
        <v>94</v>
      </c>
      <c r="H1678" s="1" t="s">
        <v>1730</v>
      </c>
      <c r="I1678" s="1" t="s">
        <v>86</v>
      </c>
      <c r="J1678" s="1" t="s">
        <v>87</v>
      </c>
      <c r="K1678" s="1" t="s">
        <v>1558</v>
      </c>
      <c r="L1678" s="1" t="s">
        <v>29</v>
      </c>
      <c r="M1678" s="1" t="s">
        <v>43</v>
      </c>
      <c r="N1678" s="1" t="s">
        <v>1559</v>
      </c>
      <c r="O1678">
        <v>298.11599999999999</v>
      </c>
      <c r="P1678">
        <v>6</v>
      </c>
      <c r="Q1678">
        <v>-4.2587999999999999</v>
      </c>
      <c r="R1678" s="1" t="s">
        <v>4423</v>
      </c>
      <c r="S1678">
        <v>2017</v>
      </c>
      <c r="T1678" s="1" t="s">
        <v>66</v>
      </c>
    </row>
    <row r="1679" spans="1:20" x14ac:dyDescent="0.25">
      <c r="A1679" s="1" t="s">
        <v>3881</v>
      </c>
      <c r="B1679" s="2">
        <v>42566</v>
      </c>
      <c r="C1679" s="2">
        <v>42571</v>
      </c>
      <c r="D1679" s="1" t="s">
        <v>37</v>
      </c>
      <c r="E1679" s="1" t="s">
        <v>2403</v>
      </c>
      <c r="F1679" s="1" t="s">
        <v>2404</v>
      </c>
      <c r="G1679" s="1" t="s">
        <v>84</v>
      </c>
      <c r="H1679" s="1" t="s">
        <v>3389</v>
      </c>
      <c r="I1679" s="1" t="s">
        <v>1508</v>
      </c>
      <c r="J1679" s="1" t="s">
        <v>51</v>
      </c>
      <c r="K1679" s="1" t="s">
        <v>457</v>
      </c>
      <c r="L1679" s="1" t="s">
        <v>29</v>
      </c>
      <c r="M1679" s="1" t="s">
        <v>34</v>
      </c>
      <c r="N1679" s="1" t="s">
        <v>458</v>
      </c>
      <c r="O1679">
        <v>230.28</v>
      </c>
      <c r="P1679">
        <v>3</v>
      </c>
      <c r="Q1679">
        <v>23.027999999999999</v>
      </c>
      <c r="R1679" s="1" t="s">
        <v>4422</v>
      </c>
      <c r="S1679">
        <v>2016</v>
      </c>
      <c r="T1679" s="1" t="s">
        <v>66</v>
      </c>
    </row>
    <row r="1680" spans="1:20" x14ac:dyDescent="0.25">
      <c r="A1680" s="1" t="s">
        <v>3882</v>
      </c>
      <c r="B1680" s="2">
        <v>42718</v>
      </c>
      <c r="C1680" s="2">
        <v>42721</v>
      </c>
      <c r="D1680" s="1" t="s">
        <v>81</v>
      </c>
      <c r="E1680" s="1" t="s">
        <v>278</v>
      </c>
      <c r="F1680" s="1" t="s">
        <v>279</v>
      </c>
      <c r="G1680" s="1" t="s">
        <v>84</v>
      </c>
      <c r="H1680" s="1" t="s">
        <v>630</v>
      </c>
      <c r="I1680" s="1" t="s">
        <v>50</v>
      </c>
      <c r="J1680" s="1" t="s">
        <v>51</v>
      </c>
      <c r="K1680" s="1" t="s">
        <v>127</v>
      </c>
      <c r="L1680" s="1" t="s">
        <v>29</v>
      </c>
      <c r="M1680" s="1" t="s">
        <v>34</v>
      </c>
      <c r="N1680" s="1" t="s">
        <v>209</v>
      </c>
      <c r="O1680">
        <v>81.424000000000007</v>
      </c>
      <c r="P1680">
        <v>2</v>
      </c>
      <c r="Q1680">
        <v>-9.1601999999999997</v>
      </c>
      <c r="R1680" s="1" t="s">
        <v>4420</v>
      </c>
      <c r="S1680">
        <v>2016</v>
      </c>
      <c r="T1680" s="1" t="s">
        <v>90</v>
      </c>
    </row>
    <row r="1681" spans="1:20" x14ac:dyDescent="0.25">
      <c r="A1681" s="1" t="s">
        <v>3883</v>
      </c>
      <c r="B1681" s="2">
        <v>41699</v>
      </c>
      <c r="C1681" s="2">
        <v>41703</v>
      </c>
      <c r="D1681" s="1" t="s">
        <v>37</v>
      </c>
      <c r="E1681" s="1" t="s">
        <v>2127</v>
      </c>
      <c r="F1681" s="1" t="s">
        <v>2128</v>
      </c>
      <c r="G1681" s="1" t="s">
        <v>24</v>
      </c>
      <c r="H1681" s="1" t="s">
        <v>1365</v>
      </c>
      <c r="I1681" s="1" t="s">
        <v>86</v>
      </c>
      <c r="J1681" s="1" t="s">
        <v>87</v>
      </c>
      <c r="K1681" s="1" t="s">
        <v>1081</v>
      </c>
      <c r="L1681" s="1" t="s">
        <v>29</v>
      </c>
      <c r="M1681" s="1" t="s">
        <v>34</v>
      </c>
      <c r="N1681" s="1" t="s">
        <v>1082</v>
      </c>
      <c r="O1681">
        <v>362.25</v>
      </c>
      <c r="P1681">
        <v>6</v>
      </c>
      <c r="Q1681">
        <v>0</v>
      </c>
      <c r="R1681" s="1" t="s">
        <v>4424</v>
      </c>
      <c r="S1681">
        <v>2014</v>
      </c>
      <c r="T1681" s="1" t="s">
        <v>187</v>
      </c>
    </row>
    <row r="1682" spans="1:20" x14ac:dyDescent="0.25">
      <c r="A1682" s="1" t="s">
        <v>3883</v>
      </c>
      <c r="B1682" s="2">
        <v>41699</v>
      </c>
      <c r="C1682" s="2">
        <v>41703</v>
      </c>
      <c r="D1682" s="1" t="s">
        <v>37</v>
      </c>
      <c r="E1682" s="1" t="s">
        <v>2127</v>
      </c>
      <c r="F1682" s="1" t="s">
        <v>2128</v>
      </c>
      <c r="G1682" s="1" t="s">
        <v>24</v>
      </c>
      <c r="H1682" s="1" t="s">
        <v>1365</v>
      </c>
      <c r="I1682" s="1" t="s">
        <v>86</v>
      </c>
      <c r="J1682" s="1" t="s">
        <v>87</v>
      </c>
      <c r="K1682" s="1" t="s">
        <v>934</v>
      </c>
      <c r="L1682" s="1" t="s">
        <v>29</v>
      </c>
      <c r="M1682" s="1" t="s">
        <v>53</v>
      </c>
      <c r="N1682" s="1" t="s">
        <v>935</v>
      </c>
      <c r="O1682">
        <v>63.552</v>
      </c>
      <c r="P1682">
        <v>6</v>
      </c>
      <c r="Q1682">
        <v>-34.953600000000002</v>
      </c>
      <c r="R1682" s="1" t="s">
        <v>4424</v>
      </c>
      <c r="S1682">
        <v>2014</v>
      </c>
      <c r="T1682" s="1" t="s">
        <v>187</v>
      </c>
    </row>
    <row r="1683" spans="1:20" x14ac:dyDescent="0.25">
      <c r="A1683" s="1" t="s">
        <v>3884</v>
      </c>
      <c r="B1683" s="2">
        <v>43013</v>
      </c>
      <c r="C1683" s="2">
        <v>43018</v>
      </c>
      <c r="D1683" s="1" t="s">
        <v>37</v>
      </c>
      <c r="E1683" s="1" t="s">
        <v>1658</v>
      </c>
      <c r="F1683" s="1" t="s">
        <v>1659</v>
      </c>
      <c r="G1683" s="1" t="s">
        <v>84</v>
      </c>
      <c r="H1683" s="1" t="s">
        <v>3422</v>
      </c>
      <c r="I1683" s="1" t="s">
        <v>50</v>
      </c>
      <c r="J1683" s="1" t="s">
        <v>51</v>
      </c>
      <c r="K1683" s="1" t="s">
        <v>1909</v>
      </c>
      <c r="L1683" s="1" t="s">
        <v>29</v>
      </c>
      <c r="M1683" s="1" t="s">
        <v>34</v>
      </c>
      <c r="N1683" s="1" t="s">
        <v>1910</v>
      </c>
      <c r="O1683">
        <v>435.16800000000001</v>
      </c>
      <c r="P1683">
        <v>4</v>
      </c>
      <c r="Q1683">
        <v>-59.835599999999999</v>
      </c>
      <c r="R1683" s="1" t="s">
        <v>4422</v>
      </c>
      <c r="S1683">
        <v>2017</v>
      </c>
      <c r="T1683" s="1" t="s">
        <v>45</v>
      </c>
    </row>
    <row r="1684" spans="1:20" x14ac:dyDescent="0.25">
      <c r="A1684" s="1" t="s">
        <v>3884</v>
      </c>
      <c r="B1684" s="2">
        <v>43013</v>
      </c>
      <c r="C1684" s="2">
        <v>43018</v>
      </c>
      <c r="D1684" s="1" t="s">
        <v>37</v>
      </c>
      <c r="E1684" s="1" t="s">
        <v>1658</v>
      </c>
      <c r="F1684" s="1" t="s">
        <v>1659</v>
      </c>
      <c r="G1684" s="1" t="s">
        <v>84</v>
      </c>
      <c r="H1684" s="1" t="s">
        <v>3422</v>
      </c>
      <c r="I1684" s="1" t="s">
        <v>50</v>
      </c>
      <c r="J1684" s="1" t="s">
        <v>51</v>
      </c>
      <c r="K1684" s="1" t="s">
        <v>2252</v>
      </c>
      <c r="L1684" s="1" t="s">
        <v>29</v>
      </c>
      <c r="M1684" s="1" t="s">
        <v>53</v>
      </c>
      <c r="N1684" s="1" t="s">
        <v>2253</v>
      </c>
      <c r="O1684">
        <v>72.900000000000006</v>
      </c>
      <c r="P1684">
        <v>5</v>
      </c>
      <c r="Q1684">
        <v>26.972999999999999</v>
      </c>
      <c r="R1684" s="1" t="s">
        <v>4422</v>
      </c>
      <c r="S1684">
        <v>2017</v>
      </c>
      <c r="T1684" s="1" t="s">
        <v>45</v>
      </c>
    </row>
    <row r="1685" spans="1:20" x14ac:dyDescent="0.25">
      <c r="A1685" s="1" t="s">
        <v>3884</v>
      </c>
      <c r="B1685" s="2">
        <v>43013</v>
      </c>
      <c r="C1685" s="2">
        <v>43018</v>
      </c>
      <c r="D1685" s="1" t="s">
        <v>37</v>
      </c>
      <c r="E1685" s="1" t="s">
        <v>1658</v>
      </c>
      <c r="F1685" s="1" t="s">
        <v>1659</v>
      </c>
      <c r="G1685" s="1" t="s">
        <v>84</v>
      </c>
      <c r="H1685" s="1" t="s">
        <v>3422</v>
      </c>
      <c r="I1685" s="1" t="s">
        <v>50</v>
      </c>
      <c r="J1685" s="1" t="s">
        <v>51</v>
      </c>
      <c r="K1685" s="1" t="s">
        <v>1053</v>
      </c>
      <c r="L1685" s="1" t="s">
        <v>29</v>
      </c>
      <c r="M1685" s="1" t="s">
        <v>43</v>
      </c>
      <c r="N1685" s="1" t="s">
        <v>1054</v>
      </c>
      <c r="O1685">
        <v>206.352</v>
      </c>
      <c r="P1685">
        <v>3</v>
      </c>
      <c r="Q1685">
        <v>5.1588000000000003</v>
      </c>
      <c r="R1685" s="1" t="s">
        <v>4422</v>
      </c>
      <c r="S1685">
        <v>2017</v>
      </c>
      <c r="T1685" s="1" t="s">
        <v>45</v>
      </c>
    </row>
    <row r="1686" spans="1:20" x14ac:dyDescent="0.25">
      <c r="A1686" s="1" t="s">
        <v>3885</v>
      </c>
      <c r="B1686" s="2">
        <v>42653</v>
      </c>
      <c r="C1686" s="2">
        <v>42655</v>
      </c>
      <c r="D1686" s="1" t="s">
        <v>81</v>
      </c>
      <c r="E1686" s="1" t="s">
        <v>2455</v>
      </c>
      <c r="F1686" s="1" t="s">
        <v>2456</v>
      </c>
      <c r="G1686" s="1" t="s">
        <v>84</v>
      </c>
      <c r="H1686" s="1" t="s">
        <v>257</v>
      </c>
      <c r="I1686" s="1" t="s">
        <v>172</v>
      </c>
      <c r="J1686" s="1" t="s">
        <v>51</v>
      </c>
      <c r="K1686" s="1" t="s">
        <v>3886</v>
      </c>
      <c r="L1686" s="1" t="s">
        <v>29</v>
      </c>
      <c r="M1686" s="1" t="s">
        <v>30</v>
      </c>
      <c r="N1686" s="1" t="s">
        <v>3887</v>
      </c>
      <c r="O1686">
        <v>90.882000000000005</v>
      </c>
      <c r="P1686">
        <v>3</v>
      </c>
      <c r="Q1686">
        <v>-190.85220000000001</v>
      </c>
      <c r="R1686" s="1" t="s">
        <v>4423</v>
      </c>
      <c r="S1686">
        <v>2016</v>
      </c>
      <c r="T1686" s="1" t="s">
        <v>45</v>
      </c>
    </row>
    <row r="1687" spans="1:20" x14ac:dyDescent="0.25">
      <c r="A1687" s="1" t="s">
        <v>3885</v>
      </c>
      <c r="B1687" s="2">
        <v>42653</v>
      </c>
      <c r="C1687" s="2">
        <v>42655</v>
      </c>
      <c r="D1687" s="1" t="s">
        <v>81</v>
      </c>
      <c r="E1687" s="1" t="s">
        <v>2455</v>
      </c>
      <c r="F1687" s="1" t="s">
        <v>2456</v>
      </c>
      <c r="G1687" s="1" t="s">
        <v>84</v>
      </c>
      <c r="H1687" s="1" t="s">
        <v>257</v>
      </c>
      <c r="I1687" s="1" t="s">
        <v>172</v>
      </c>
      <c r="J1687" s="1" t="s">
        <v>51</v>
      </c>
      <c r="K1687" s="1" t="s">
        <v>647</v>
      </c>
      <c r="L1687" s="1" t="s">
        <v>29</v>
      </c>
      <c r="M1687" s="1" t="s">
        <v>34</v>
      </c>
      <c r="N1687" s="1" t="s">
        <v>648</v>
      </c>
      <c r="O1687">
        <v>120.78400000000001</v>
      </c>
      <c r="P1687">
        <v>1</v>
      </c>
      <c r="Q1687">
        <v>13.588200000000001</v>
      </c>
      <c r="R1687" s="1" t="s">
        <v>4423</v>
      </c>
      <c r="S1687">
        <v>2016</v>
      </c>
      <c r="T1687" s="1" t="s">
        <v>45</v>
      </c>
    </row>
    <row r="1688" spans="1:20" x14ac:dyDescent="0.25">
      <c r="A1688" s="1" t="s">
        <v>3888</v>
      </c>
      <c r="B1688" s="2">
        <v>42232</v>
      </c>
      <c r="C1688" s="2">
        <v>42236</v>
      </c>
      <c r="D1688" s="1" t="s">
        <v>37</v>
      </c>
      <c r="E1688" s="1" t="s">
        <v>2608</v>
      </c>
      <c r="F1688" s="1" t="s">
        <v>2609</v>
      </c>
      <c r="G1688" s="1" t="s">
        <v>84</v>
      </c>
      <c r="H1688" s="1" t="s">
        <v>61</v>
      </c>
      <c r="I1688" s="1" t="s">
        <v>62</v>
      </c>
      <c r="J1688" s="1" t="s">
        <v>63</v>
      </c>
      <c r="K1688" s="1" t="s">
        <v>1382</v>
      </c>
      <c r="L1688" s="1" t="s">
        <v>29</v>
      </c>
      <c r="M1688" s="1" t="s">
        <v>53</v>
      </c>
      <c r="N1688" s="1" t="s">
        <v>1383</v>
      </c>
      <c r="O1688">
        <v>254.352</v>
      </c>
      <c r="P1688">
        <v>3</v>
      </c>
      <c r="Q1688">
        <v>0</v>
      </c>
      <c r="R1688" s="1" t="s">
        <v>4424</v>
      </c>
      <c r="S1688">
        <v>2015</v>
      </c>
      <c r="T1688" s="1" t="s">
        <v>245</v>
      </c>
    </row>
    <row r="1689" spans="1:20" x14ac:dyDescent="0.25">
      <c r="A1689" s="1" t="s">
        <v>3889</v>
      </c>
      <c r="B1689" s="2">
        <v>41892</v>
      </c>
      <c r="C1689" s="2">
        <v>41895</v>
      </c>
      <c r="D1689" s="1" t="s">
        <v>81</v>
      </c>
      <c r="E1689" s="1" t="s">
        <v>59</v>
      </c>
      <c r="F1689" s="1" t="s">
        <v>60</v>
      </c>
      <c r="G1689" s="1" t="s">
        <v>24</v>
      </c>
      <c r="H1689" s="1" t="s">
        <v>3890</v>
      </c>
      <c r="I1689" s="1" t="s">
        <v>354</v>
      </c>
      <c r="J1689" s="1" t="s">
        <v>63</v>
      </c>
      <c r="K1689" s="1" t="s">
        <v>1528</v>
      </c>
      <c r="L1689" s="1" t="s">
        <v>29</v>
      </c>
      <c r="M1689" s="1" t="s">
        <v>53</v>
      </c>
      <c r="N1689" s="1" t="s">
        <v>1529</v>
      </c>
      <c r="O1689">
        <v>254.9</v>
      </c>
      <c r="P1689">
        <v>5</v>
      </c>
      <c r="Q1689">
        <v>76.47</v>
      </c>
      <c r="R1689" s="1" t="s">
        <v>4420</v>
      </c>
      <c r="S1689">
        <v>2014</v>
      </c>
      <c r="T1689" s="1" t="s">
        <v>72</v>
      </c>
    </row>
    <row r="1690" spans="1:20" x14ac:dyDescent="0.25">
      <c r="A1690" s="1" t="s">
        <v>3891</v>
      </c>
      <c r="B1690" s="2">
        <v>42328</v>
      </c>
      <c r="C1690" s="2">
        <v>42331</v>
      </c>
      <c r="D1690" s="1" t="s">
        <v>21</v>
      </c>
      <c r="E1690" s="1" t="s">
        <v>1432</v>
      </c>
      <c r="F1690" s="1" t="s">
        <v>1433</v>
      </c>
      <c r="G1690" s="1" t="s">
        <v>24</v>
      </c>
      <c r="H1690" s="1" t="s">
        <v>171</v>
      </c>
      <c r="I1690" s="1" t="s">
        <v>172</v>
      </c>
      <c r="J1690" s="1" t="s">
        <v>51</v>
      </c>
      <c r="K1690" s="1" t="s">
        <v>407</v>
      </c>
      <c r="L1690" s="1" t="s">
        <v>29</v>
      </c>
      <c r="M1690" s="1" t="s">
        <v>30</v>
      </c>
      <c r="N1690" s="1" t="s">
        <v>408</v>
      </c>
      <c r="O1690">
        <v>145.76400000000001</v>
      </c>
      <c r="P1690">
        <v>6</v>
      </c>
      <c r="Q1690">
        <v>-247.7988</v>
      </c>
      <c r="R1690" s="1" t="s">
        <v>4420</v>
      </c>
      <c r="S1690">
        <v>2015</v>
      </c>
      <c r="T1690" s="1" t="s">
        <v>32</v>
      </c>
    </row>
    <row r="1691" spans="1:20" x14ac:dyDescent="0.25">
      <c r="A1691" s="1" t="s">
        <v>3892</v>
      </c>
      <c r="B1691" s="2">
        <v>43042</v>
      </c>
      <c r="C1691" s="2">
        <v>43044</v>
      </c>
      <c r="D1691" s="1" t="s">
        <v>81</v>
      </c>
      <c r="E1691" s="1" t="s">
        <v>3893</v>
      </c>
      <c r="F1691" s="1" t="s">
        <v>3894</v>
      </c>
      <c r="G1691" s="1" t="s">
        <v>94</v>
      </c>
      <c r="H1691" s="1" t="s">
        <v>630</v>
      </c>
      <c r="I1691" s="1" t="s">
        <v>50</v>
      </c>
      <c r="J1691" s="1" t="s">
        <v>51</v>
      </c>
      <c r="K1691" s="1" t="s">
        <v>775</v>
      </c>
      <c r="L1691" s="1" t="s">
        <v>29</v>
      </c>
      <c r="M1691" s="1" t="s">
        <v>43</v>
      </c>
      <c r="N1691" s="1" t="s">
        <v>776</v>
      </c>
      <c r="O1691">
        <v>1673.184</v>
      </c>
      <c r="P1691">
        <v>12</v>
      </c>
      <c r="Q1691">
        <v>20.9148</v>
      </c>
      <c r="R1691" s="1" t="s">
        <v>4423</v>
      </c>
      <c r="S1691">
        <v>2017</v>
      </c>
      <c r="T1691" s="1" t="s">
        <v>32</v>
      </c>
    </row>
    <row r="1692" spans="1:20" x14ac:dyDescent="0.25">
      <c r="A1692" s="1" t="s">
        <v>3895</v>
      </c>
      <c r="B1692" s="2">
        <v>41763</v>
      </c>
      <c r="C1692" s="2">
        <v>41766</v>
      </c>
      <c r="D1692" s="1" t="s">
        <v>81</v>
      </c>
      <c r="E1692" s="1" t="s">
        <v>2750</v>
      </c>
      <c r="F1692" s="1" t="s">
        <v>2751</v>
      </c>
      <c r="G1692" s="1" t="s">
        <v>84</v>
      </c>
      <c r="H1692" s="1" t="s">
        <v>183</v>
      </c>
      <c r="I1692" s="1" t="s">
        <v>184</v>
      </c>
      <c r="J1692" s="1" t="s">
        <v>51</v>
      </c>
      <c r="K1692" s="1" t="s">
        <v>1062</v>
      </c>
      <c r="L1692" s="1" t="s">
        <v>29</v>
      </c>
      <c r="M1692" s="1" t="s">
        <v>53</v>
      </c>
      <c r="N1692" s="1" t="s">
        <v>1063</v>
      </c>
      <c r="O1692">
        <v>12.18</v>
      </c>
      <c r="P1692">
        <v>7</v>
      </c>
      <c r="Q1692">
        <v>3.8976000000000002</v>
      </c>
      <c r="R1692" s="1" t="s">
        <v>4420</v>
      </c>
      <c r="S1692">
        <v>2014</v>
      </c>
      <c r="T1692" s="1" t="s">
        <v>153</v>
      </c>
    </row>
    <row r="1693" spans="1:20" x14ac:dyDescent="0.25">
      <c r="A1693" s="1" t="s">
        <v>3896</v>
      </c>
      <c r="B1693" s="2">
        <v>41974</v>
      </c>
      <c r="C1693" s="2">
        <v>41976</v>
      </c>
      <c r="D1693" s="1" t="s">
        <v>81</v>
      </c>
      <c r="E1693" s="1" t="s">
        <v>2684</v>
      </c>
      <c r="F1693" s="1" t="s">
        <v>2685</v>
      </c>
      <c r="G1693" s="1" t="s">
        <v>24</v>
      </c>
      <c r="H1693" s="1" t="s">
        <v>2034</v>
      </c>
      <c r="I1693" s="1" t="s">
        <v>425</v>
      </c>
      <c r="J1693" s="1" t="s">
        <v>63</v>
      </c>
      <c r="K1693" s="1" t="s">
        <v>861</v>
      </c>
      <c r="L1693" s="1" t="s">
        <v>29</v>
      </c>
      <c r="M1693" s="1" t="s">
        <v>53</v>
      </c>
      <c r="N1693" s="1" t="s">
        <v>862</v>
      </c>
      <c r="O1693">
        <v>45.84</v>
      </c>
      <c r="P1693">
        <v>3</v>
      </c>
      <c r="Q1693">
        <v>15.585599999999999</v>
      </c>
      <c r="R1693" s="1" t="s">
        <v>4423</v>
      </c>
      <c r="S1693">
        <v>2014</v>
      </c>
      <c r="T1693" s="1" t="s">
        <v>90</v>
      </c>
    </row>
    <row r="1694" spans="1:20" x14ac:dyDescent="0.25">
      <c r="A1694" s="1" t="s">
        <v>3896</v>
      </c>
      <c r="B1694" s="2">
        <v>41974</v>
      </c>
      <c r="C1694" s="2">
        <v>41976</v>
      </c>
      <c r="D1694" s="1" t="s">
        <v>81</v>
      </c>
      <c r="E1694" s="1" t="s">
        <v>2684</v>
      </c>
      <c r="F1694" s="1" t="s">
        <v>2685</v>
      </c>
      <c r="G1694" s="1" t="s">
        <v>24</v>
      </c>
      <c r="H1694" s="1" t="s">
        <v>2034</v>
      </c>
      <c r="I1694" s="1" t="s">
        <v>425</v>
      </c>
      <c r="J1694" s="1" t="s">
        <v>63</v>
      </c>
      <c r="K1694" s="1" t="s">
        <v>1090</v>
      </c>
      <c r="L1694" s="1" t="s">
        <v>29</v>
      </c>
      <c r="M1694" s="1" t="s">
        <v>53</v>
      </c>
      <c r="N1694" s="1" t="s">
        <v>1091</v>
      </c>
      <c r="O1694">
        <v>9.82</v>
      </c>
      <c r="P1694">
        <v>2</v>
      </c>
      <c r="Q1694">
        <v>3.2406000000000001</v>
      </c>
      <c r="R1694" s="1" t="s">
        <v>4423</v>
      </c>
      <c r="S1694">
        <v>2014</v>
      </c>
      <c r="T1694" s="1" t="s">
        <v>90</v>
      </c>
    </row>
    <row r="1695" spans="1:20" x14ac:dyDescent="0.25">
      <c r="A1695" s="1" t="s">
        <v>3897</v>
      </c>
      <c r="B1695" s="2">
        <v>42325</v>
      </c>
      <c r="C1695" s="2">
        <v>42332</v>
      </c>
      <c r="D1695" s="1" t="s">
        <v>37</v>
      </c>
      <c r="E1695" s="1" t="s">
        <v>2684</v>
      </c>
      <c r="F1695" s="1" t="s">
        <v>2685</v>
      </c>
      <c r="G1695" s="1" t="s">
        <v>24</v>
      </c>
      <c r="H1695" s="1" t="s">
        <v>3007</v>
      </c>
      <c r="I1695" s="1" t="s">
        <v>1513</v>
      </c>
      <c r="J1695" s="1" t="s">
        <v>87</v>
      </c>
      <c r="K1695" s="1" t="s">
        <v>3582</v>
      </c>
      <c r="L1695" s="1" t="s">
        <v>29</v>
      </c>
      <c r="M1695" s="1" t="s">
        <v>34</v>
      </c>
      <c r="N1695" s="1" t="s">
        <v>3583</v>
      </c>
      <c r="O1695">
        <v>1323.9</v>
      </c>
      <c r="P1695">
        <v>5</v>
      </c>
      <c r="Q1695">
        <v>383.93099999999998</v>
      </c>
      <c r="R1695" s="1" t="s">
        <v>4421</v>
      </c>
      <c r="S1695">
        <v>2015</v>
      </c>
      <c r="T1695" s="1" t="s">
        <v>32</v>
      </c>
    </row>
    <row r="1696" spans="1:20" x14ac:dyDescent="0.25">
      <c r="A1696" s="1" t="s">
        <v>3898</v>
      </c>
      <c r="B1696" s="2">
        <v>42880</v>
      </c>
      <c r="C1696" s="2">
        <v>42880</v>
      </c>
      <c r="D1696" s="1" t="s">
        <v>417</v>
      </c>
      <c r="E1696" s="1" t="s">
        <v>1706</v>
      </c>
      <c r="F1696" s="1" t="s">
        <v>1707</v>
      </c>
      <c r="G1696" s="1" t="s">
        <v>24</v>
      </c>
      <c r="H1696" s="1" t="s">
        <v>165</v>
      </c>
      <c r="I1696" s="1" t="s">
        <v>114</v>
      </c>
      <c r="J1696" s="1" t="s">
        <v>63</v>
      </c>
      <c r="K1696" s="1" t="s">
        <v>668</v>
      </c>
      <c r="L1696" s="1" t="s">
        <v>29</v>
      </c>
      <c r="M1696" s="1" t="s">
        <v>53</v>
      </c>
      <c r="N1696" s="1" t="s">
        <v>669</v>
      </c>
      <c r="O1696">
        <v>18.84</v>
      </c>
      <c r="P1696">
        <v>3</v>
      </c>
      <c r="Q1696">
        <v>6.0288000000000004</v>
      </c>
      <c r="R1696" s="1" t="s">
        <v>4427</v>
      </c>
      <c r="S1696">
        <v>2017</v>
      </c>
      <c r="T1696" s="1" t="s">
        <v>153</v>
      </c>
    </row>
    <row r="1697" spans="1:20" x14ac:dyDescent="0.25">
      <c r="A1697" s="1" t="s">
        <v>3899</v>
      </c>
      <c r="B1697" s="2">
        <v>41891</v>
      </c>
      <c r="C1697" s="2">
        <v>41893</v>
      </c>
      <c r="D1697" s="1" t="s">
        <v>81</v>
      </c>
      <c r="E1697" s="1" t="s">
        <v>1006</v>
      </c>
      <c r="F1697" s="1" t="s">
        <v>1007</v>
      </c>
      <c r="G1697" s="1" t="s">
        <v>94</v>
      </c>
      <c r="H1697" s="1" t="s">
        <v>806</v>
      </c>
      <c r="I1697" s="1" t="s">
        <v>223</v>
      </c>
      <c r="J1697" s="1" t="s">
        <v>63</v>
      </c>
      <c r="K1697" s="1" t="s">
        <v>1825</v>
      </c>
      <c r="L1697" s="1" t="s">
        <v>29</v>
      </c>
      <c r="M1697" s="1" t="s">
        <v>53</v>
      </c>
      <c r="N1697" s="1" t="s">
        <v>1826</v>
      </c>
      <c r="O1697">
        <v>60.671999999999997</v>
      </c>
      <c r="P1697">
        <v>6</v>
      </c>
      <c r="Q1697">
        <v>12.892799999999999</v>
      </c>
      <c r="R1697" s="1" t="s">
        <v>4423</v>
      </c>
      <c r="S1697">
        <v>2014</v>
      </c>
      <c r="T1697" s="1" t="s">
        <v>72</v>
      </c>
    </row>
    <row r="1698" spans="1:20" x14ac:dyDescent="0.25">
      <c r="A1698" s="1" t="s">
        <v>3900</v>
      </c>
      <c r="B1698" s="2">
        <v>41841</v>
      </c>
      <c r="C1698" s="2">
        <v>41845</v>
      </c>
      <c r="D1698" s="1" t="s">
        <v>37</v>
      </c>
      <c r="E1698" s="1" t="s">
        <v>1857</v>
      </c>
      <c r="F1698" s="1" t="s">
        <v>1858</v>
      </c>
      <c r="G1698" s="1" t="s">
        <v>84</v>
      </c>
      <c r="H1698" s="1" t="s">
        <v>1730</v>
      </c>
      <c r="I1698" s="1" t="s">
        <v>86</v>
      </c>
      <c r="J1698" s="1" t="s">
        <v>87</v>
      </c>
      <c r="K1698" s="1" t="s">
        <v>616</v>
      </c>
      <c r="L1698" s="1" t="s">
        <v>29</v>
      </c>
      <c r="M1698" s="1" t="s">
        <v>34</v>
      </c>
      <c r="N1698" s="1" t="s">
        <v>617</v>
      </c>
      <c r="O1698">
        <v>657.93</v>
      </c>
      <c r="P1698">
        <v>5</v>
      </c>
      <c r="Q1698">
        <v>-93.99</v>
      </c>
      <c r="R1698" s="1" t="s">
        <v>4424</v>
      </c>
      <c r="S1698">
        <v>2014</v>
      </c>
      <c r="T1698" s="1" t="s">
        <v>66</v>
      </c>
    </row>
    <row r="1699" spans="1:20" x14ac:dyDescent="0.25">
      <c r="A1699" s="1" t="s">
        <v>3901</v>
      </c>
      <c r="B1699" s="2">
        <v>42258</v>
      </c>
      <c r="C1699" s="2">
        <v>42262</v>
      </c>
      <c r="D1699" s="1" t="s">
        <v>21</v>
      </c>
      <c r="E1699" s="1" t="s">
        <v>3145</v>
      </c>
      <c r="F1699" s="1" t="s">
        <v>3146</v>
      </c>
      <c r="G1699" s="1" t="s">
        <v>84</v>
      </c>
      <c r="H1699" s="1" t="s">
        <v>165</v>
      </c>
      <c r="I1699" s="1" t="s">
        <v>114</v>
      </c>
      <c r="J1699" s="1" t="s">
        <v>63</v>
      </c>
      <c r="K1699" s="1" t="s">
        <v>3608</v>
      </c>
      <c r="L1699" s="1" t="s">
        <v>29</v>
      </c>
      <c r="M1699" s="1" t="s">
        <v>53</v>
      </c>
      <c r="N1699" s="1" t="s">
        <v>3609</v>
      </c>
      <c r="O1699">
        <v>210.68</v>
      </c>
      <c r="P1699">
        <v>2</v>
      </c>
      <c r="Q1699">
        <v>50.563200000000002</v>
      </c>
      <c r="R1699" s="1" t="s">
        <v>4424</v>
      </c>
      <c r="S1699">
        <v>2015</v>
      </c>
      <c r="T1699" s="1" t="s">
        <v>72</v>
      </c>
    </row>
    <row r="1700" spans="1:20" x14ac:dyDescent="0.25">
      <c r="A1700" s="1" t="s">
        <v>3902</v>
      </c>
      <c r="B1700" s="2">
        <v>42376</v>
      </c>
      <c r="C1700" s="2">
        <v>42380</v>
      </c>
      <c r="D1700" s="1" t="s">
        <v>37</v>
      </c>
      <c r="E1700" s="1" t="s">
        <v>1300</v>
      </c>
      <c r="F1700" s="1" t="s">
        <v>1301</v>
      </c>
      <c r="G1700" s="1" t="s">
        <v>24</v>
      </c>
      <c r="H1700" s="1" t="s">
        <v>519</v>
      </c>
      <c r="I1700" s="1" t="s">
        <v>86</v>
      </c>
      <c r="J1700" s="1" t="s">
        <v>87</v>
      </c>
      <c r="K1700" s="1" t="s">
        <v>1302</v>
      </c>
      <c r="L1700" s="1" t="s">
        <v>29</v>
      </c>
      <c r="M1700" s="1" t="s">
        <v>53</v>
      </c>
      <c r="N1700" s="1" t="s">
        <v>2013</v>
      </c>
      <c r="O1700">
        <v>23.076000000000001</v>
      </c>
      <c r="P1700">
        <v>3</v>
      </c>
      <c r="Q1700">
        <v>-10.9611</v>
      </c>
      <c r="R1700" s="1" t="s">
        <v>4424</v>
      </c>
      <c r="S1700">
        <v>2016</v>
      </c>
      <c r="T1700" s="1" t="s">
        <v>161</v>
      </c>
    </row>
    <row r="1701" spans="1:20" x14ac:dyDescent="0.25">
      <c r="A1701" s="1" t="s">
        <v>3903</v>
      </c>
      <c r="B1701" s="2">
        <v>42180</v>
      </c>
      <c r="C1701" s="2">
        <v>42183</v>
      </c>
      <c r="D1701" s="1" t="s">
        <v>81</v>
      </c>
      <c r="E1701" s="1" t="s">
        <v>1782</v>
      </c>
      <c r="F1701" s="1" t="s">
        <v>1783</v>
      </c>
      <c r="G1701" s="1" t="s">
        <v>24</v>
      </c>
      <c r="H1701" s="1" t="s">
        <v>95</v>
      </c>
      <c r="I1701" s="1" t="s">
        <v>86</v>
      </c>
      <c r="J1701" s="1" t="s">
        <v>87</v>
      </c>
      <c r="K1701" s="1" t="s">
        <v>1969</v>
      </c>
      <c r="L1701" s="1" t="s">
        <v>29</v>
      </c>
      <c r="M1701" s="1" t="s">
        <v>53</v>
      </c>
      <c r="N1701" s="1" t="s">
        <v>1970</v>
      </c>
      <c r="O1701">
        <v>75.384</v>
      </c>
      <c r="P1701">
        <v>9</v>
      </c>
      <c r="Q1701">
        <v>-20.730599999999999</v>
      </c>
      <c r="R1701" s="1" t="s">
        <v>4420</v>
      </c>
      <c r="S1701">
        <v>2015</v>
      </c>
      <c r="T1701" s="1" t="s">
        <v>55</v>
      </c>
    </row>
    <row r="1702" spans="1:20" x14ac:dyDescent="0.25">
      <c r="A1702" s="1" t="s">
        <v>3904</v>
      </c>
      <c r="B1702" s="2">
        <v>42916</v>
      </c>
      <c r="C1702" s="2">
        <v>42918</v>
      </c>
      <c r="D1702" s="1" t="s">
        <v>21</v>
      </c>
      <c r="E1702" s="1" t="s">
        <v>2497</v>
      </c>
      <c r="F1702" s="1" t="s">
        <v>2498</v>
      </c>
      <c r="G1702" s="1" t="s">
        <v>24</v>
      </c>
      <c r="H1702" s="1" t="s">
        <v>49</v>
      </c>
      <c r="I1702" s="1" t="s">
        <v>50</v>
      </c>
      <c r="J1702" s="1" t="s">
        <v>51</v>
      </c>
      <c r="K1702" s="1" t="s">
        <v>1447</v>
      </c>
      <c r="L1702" s="1" t="s">
        <v>29</v>
      </c>
      <c r="M1702" s="1" t="s">
        <v>30</v>
      </c>
      <c r="N1702" s="1" t="s">
        <v>1448</v>
      </c>
      <c r="O1702">
        <v>435.99900000000002</v>
      </c>
      <c r="P1702">
        <v>3</v>
      </c>
      <c r="Q1702">
        <v>5.1294000000000004</v>
      </c>
      <c r="R1702" s="1" t="s">
        <v>4423</v>
      </c>
      <c r="S1702">
        <v>2017</v>
      </c>
      <c r="T1702" s="1" t="s">
        <v>55</v>
      </c>
    </row>
    <row r="1703" spans="1:20" x14ac:dyDescent="0.25">
      <c r="A1703" s="1" t="s">
        <v>3905</v>
      </c>
      <c r="B1703" s="2">
        <v>42968</v>
      </c>
      <c r="C1703" s="2">
        <v>42972</v>
      </c>
      <c r="D1703" s="1" t="s">
        <v>21</v>
      </c>
      <c r="E1703" s="1" t="s">
        <v>3906</v>
      </c>
      <c r="F1703" s="1" t="s">
        <v>3907</v>
      </c>
      <c r="G1703" s="1" t="s">
        <v>84</v>
      </c>
      <c r="H1703" s="1" t="s">
        <v>183</v>
      </c>
      <c r="I1703" s="1" t="s">
        <v>184</v>
      </c>
      <c r="J1703" s="1" t="s">
        <v>51</v>
      </c>
      <c r="K1703" s="1" t="s">
        <v>247</v>
      </c>
      <c r="L1703" s="1" t="s">
        <v>29</v>
      </c>
      <c r="M1703" s="1" t="s">
        <v>34</v>
      </c>
      <c r="N1703" s="1" t="s">
        <v>248</v>
      </c>
      <c r="O1703">
        <v>388.70400000000001</v>
      </c>
      <c r="P1703">
        <v>6</v>
      </c>
      <c r="Q1703">
        <v>38.870399999999997</v>
      </c>
      <c r="R1703" s="1" t="s">
        <v>4424</v>
      </c>
      <c r="S1703">
        <v>2017</v>
      </c>
      <c r="T1703" s="1" t="s">
        <v>245</v>
      </c>
    </row>
    <row r="1704" spans="1:20" x14ac:dyDescent="0.25">
      <c r="A1704" s="1" t="s">
        <v>3908</v>
      </c>
      <c r="B1704" s="2">
        <v>42805</v>
      </c>
      <c r="C1704" s="2">
        <v>42809</v>
      </c>
      <c r="D1704" s="1" t="s">
        <v>37</v>
      </c>
      <c r="E1704" s="1" t="s">
        <v>1034</v>
      </c>
      <c r="F1704" s="1" t="s">
        <v>1035</v>
      </c>
      <c r="G1704" s="1" t="s">
        <v>94</v>
      </c>
      <c r="H1704" s="1" t="s">
        <v>3909</v>
      </c>
      <c r="I1704" s="1" t="s">
        <v>425</v>
      </c>
      <c r="J1704" s="1" t="s">
        <v>63</v>
      </c>
      <c r="K1704" s="1" t="s">
        <v>3910</v>
      </c>
      <c r="L1704" s="1" t="s">
        <v>29</v>
      </c>
      <c r="M1704" s="1" t="s">
        <v>53</v>
      </c>
      <c r="N1704" s="1" t="s">
        <v>3911</v>
      </c>
      <c r="O1704">
        <v>26.72</v>
      </c>
      <c r="P1704">
        <v>1</v>
      </c>
      <c r="Q1704">
        <v>11.7568</v>
      </c>
      <c r="R1704" s="1" t="s">
        <v>4424</v>
      </c>
      <c r="S1704">
        <v>2017</v>
      </c>
      <c r="T1704" s="1" t="s">
        <v>187</v>
      </c>
    </row>
    <row r="1705" spans="1:20" x14ac:dyDescent="0.25">
      <c r="A1705" s="1" t="s">
        <v>3912</v>
      </c>
      <c r="B1705" s="2">
        <v>41908</v>
      </c>
      <c r="C1705" s="2">
        <v>41912</v>
      </c>
      <c r="D1705" s="1" t="s">
        <v>37</v>
      </c>
      <c r="E1705" s="1" t="s">
        <v>3913</v>
      </c>
      <c r="F1705" s="1" t="s">
        <v>3914</v>
      </c>
      <c r="G1705" s="1" t="s">
        <v>84</v>
      </c>
      <c r="H1705" s="1" t="s">
        <v>61</v>
      </c>
      <c r="I1705" s="1" t="s">
        <v>62</v>
      </c>
      <c r="J1705" s="1" t="s">
        <v>63</v>
      </c>
      <c r="K1705" s="1" t="s">
        <v>934</v>
      </c>
      <c r="L1705" s="1" t="s">
        <v>29</v>
      </c>
      <c r="M1705" s="1" t="s">
        <v>53</v>
      </c>
      <c r="N1705" s="1" t="s">
        <v>935</v>
      </c>
      <c r="O1705">
        <v>21.184000000000001</v>
      </c>
      <c r="P1705">
        <v>1</v>
      </c>
      <c r="Q1705">
        <v>4.7664</v>
      </c>
      <c r="R1705" s="1" t="s">
        <v>4424</v>
      </c>
      <c r="S1705">
        <v>2014</v>
      </c>
      <c r="T1705" s="1" t="s">
        <v>72</v>
      </c>
    </row>
    <row r="1706" spans="1:20" x14ac:dyDescent="0.25">
      <c r="A1706" s="1" t="s">
        <v>3915</v>
      </c>
      <c r="B1706" s="2">
        <v>42244</v>
      </c>
      <c r="C1706" s="2">
        <v>42251</v>
      </c>
      <c r="D1706" s="1" t="s">
        <v>37</v>
      </c>
      <c r="E1706" s="1" t="s">
        <v>678</v>
      </c>
      <c r="F1706" s="1" t="s">
        <v>679</v>
      </c>
      <c r="G1706" s="1" t="s">
        <v>24</v>
      </c>
      <c r="H1706" s="1" t="s">
        <v>49</v>
      </c>
      <c r="I1706" s="1" t="s">
        <v>50</v>
      </c>
      <c r="J1706" s="1" t="s">
        <v>51</v>
      </c>
      <c r="K1706" s="1" t="s">
        <v>269</v>
      </c>
      <c r="L1706" s="1" t="s">
        <v>29</v>
      </c>
      <c r="M1706" s="1" t="s">
        <v>30</v>
      </c>
      <c r="N1706" s="1" t="s">
        <v>270</v>
      </c>
      <c r="O1706">
        <v>307.666</v>
      </c>
      <c r="P1706">
        <v>2</v>
      </c>
      <c r="Q1706">
        <v>28.956800000000001</v>
      </c>
      <c r="R1706" s="1" t="s">
        <v>4421</v>
      </c>
      <c r="S1706">
        <v>2015</v>
      </c>
      <c r="T1706" s="1" t="s">
        <v>245</v>
      </c>
    </row>
    <row r="1707" spans="1:20" x14ac:dyDescent="0.25">
      <c r="A1707" s="1" t="s">
        <v>3915</v>
      </c>
      <c r="B1707" s="2">
        <v>42244</v>
      </c>
      <c r="C1707" s="2">
        <v>42251</v>
      </c>
      <c r="D1707" s="1" t="s">
        <v>37</v>
      </c>
      <c r="E1707" s="1" t="s">
        <v>678</v>
      </c>
      <c r="F1707" s="1" t="s">
        <v>679</v>
      </c>
      <c r="G1707" s="1" t="s">
        <v>24</v>
      </c>
      <c r="H1707" s="1" t="s">
        <v>49</v>
      </c>
      <c r="I1707" s="1" t="s">
        <v>50</v>
      </c>
      <c r="J1707" s="1" t="s">
        <v>51</v>
      </c>
      <c r="K1707" s="1" t="s">
        <v>1352</v>
      </c>
      <c r="L1707" s="1" t="s">
        <v>29</v>
      </c>
      <c r="M1707" s="1" t="s">
        <v>53</v>
      </c>
      <c r="N1707" s="1" t="s">
        <v>415</v>
      </c>
      <c r="O1707">
        <v>4.16</v>
      </c>
      <c r="P1707">
        <v>2</v>
      </c>
      <c r="Q1707">
        <v>1.7472000000000001</v>
      </c>
      <c r="R1707" s="1" t="s">
        <v>4421</v>
      </c>
      <c r="S1707">
        <v>2015</v>
      </c>
      <c r="T1707" s="1" t="s">
        <v>245</v>
      </c>
    </row>
    <row r="1708" spans="1:20" x14ac:dyDescent="0.25">
      <c r="A1708" s="1" t="s">
        <v>3916</v>
      </c>
      <c r="B1708" s="2">
        <v>42297</v>
      </c>
      <c r="C1708" s="2">
        <v>42301</v>
      </c>
      <c r="D1708" s="1" t="s">
        <v>37</v>
      </c>
      <c r="E1708" s="1" t="s">
        <v>1029</v>
      </c>
      <c r="F1708" s="1" t="s">
        <v>1030</v>
      </c>
      <c r="G1708" s="1" t="s">
        <v>84</v>
      </c>
      <c r="H1708" s="1" t="s">
        <v>320</v>
      </c>
      <c r="I1708" s="1" t="s">
        <v>50</v>
      </c>
      <c r="J1708" s="1" t="s">
        <v>51</v>
      </c>
      <c r="K1708" s="1" t="s">
        <v>2504</v>
      </c>
      <c r="L1708" s="1" t="s">
        <v>29</v>
      </c>
      <c r="M1708" s="1" t="s">
        <v>53</v>
      </c>
      <c r="N1708" s="1" t="s">
        <v>2505</v>
      </c>
      <c r="O1708">
        <v>16.02</v>
      </c>
      <c r="P1708">
        <v>6</v>
      </c>
      <c r="Q1708">
        <v>6.0876000000000001</v>
      </c>
      <c r="R1708" s="1" t="s">
        <v>4424</v>
      </c>
      <c r="S1708">
        <v>2015</v>
      </c>
      <c r="T1708" s="1" t="s">
        <v>45</v>
      </c>
    </row>
    <row r="1709" spans="1:20" x14ac:dyDescent="0.25">
      <c r="A1709" s="1" t="s">
        <v>3917</v>
      </c>
      <c r="B1709" s="2">
        <v>42736</v>
      </c>
      <c r="C1709" s="2">
        <v>42740</v>
      </c>
      <c r="D1709" s="1" t="s">
        <v>37</v>
      </c>
      <c r="E1709" s="1" t="s">
        <v>2645</v>
      </c>
      <c r="F1709" s="1" t="s">
        <v>2646</v>
      </c>
      <c r="G1709" s="1" t="s">
        <v>24</v>
      </c>
      <c r="H1709" s="1" t="s">
        <v>1859</v>
      </c>
      <c r="I1709" s="1" t="s">
        <v>86</v>
      </c>
      <c r="J1709" s="1" t="s">
        <v>87</v>
      </c>
      <c r="K1709" s="1" t="s">
        <v>2160</v>
      </c>
      <c r="L1709" s="1" t="s">
        <v>29</v>
      </c>
      <c r="M1709" s="1" t="s">
        <v>53</v>
      </c>
      <c r="N1709" s="1" t="s">
        <v>2161</v>
      </c>
      <c r="O1709">
        <v>141.41999999999999</v>
      </c>
      <c r="P1709">
        <v>5</v>
      </c>
      <c r="Q1709">
        <v>-187.38149999999999</v>
      </c>
      <c r="R1709" s="1" t="s">
        <v>4424</v>
      </c>
      <c r="S1709">
        <v>2017</v>
      </c>
      <c r="T1709" s="1" t="s">
        <v>161</v>
      </c>
    </row>
    <row r="1710" spans="1:20" x14ac:dyDescent="0.25">
      <c r="A1710" s="1" t="s">
        <v>3917</v>
      </c>
      <c r="B1710" s="2">
        <v>42736</v>
      </c>
      <c r="C1710" s="2">
        <v>42740</v>
      </c>
      <c r="D1710" s="1" t="s">
        <v>37</v>
      </c>
      <c r="E1710" s="1" t="s">
        <v>2645</v>
      </c>
      <c r="F1710" s="1" t="s">
        <v>2646</v>
      </c>
      <c r="G1710" s="1" t="s">
        <v>24</v>
      </c>
      <c r="H1710" s="1" t="s">
        <v>1859</v>
      </c>
      <c r="I1710" s="1" t="s">
        <v>86</v>
      </c>
      <c r="J1710" s="1" t="s">
        <v>87</v>
      </c>
      <c r="K1710" s="1" t="s">
        <v>812</v>
      </c>
      <c r="L1710" s="1" t="s">
        <v>29</v>
      </c>
      <c r="M1710" s="1" t="s">
        <v>34</v>
      </c>
      <c r="N1710" s="1" t="s">
        <v>813</v>
      </c>
      <c r="O1710">
        <v>310.74400000000003</v>
      </c>
      <c r="P1710">
        <v>4</v>
      </c>
      <c r="Q1710">
        <v>-26.635200000000001</v>
      </c>
      <c r="R1710" s="1" t="s">
        <v>4424</v>
      </c>
      <c r="S1710">
        <v>2017</v>
      </c>
      <c r="T1710" s="1" t="s">
        <v>161</v>
      </c>
    </row>
    <row r="1711" spans="1:20" x14ac:dyDescent="0.25">
      <c r="A1711" s="1" t="s">
        <v>3918</v>
      </c>
      <c r="B1711" s="2">
        <v>42178</v>
      </c>
      <c r="C1711" s="2">
        <v>42184</v>
      </c>
      <c r="D1711" s="1" t="s">
        <v>37</v>
      </c>
      <c r="E1711" s="1" t="s">
        <v>1703</v>
      </c>
      <c r="F1711" s="1" t="s">
        <v>1704</v>
      </c>
      <c r="G1711" s="1" t="s">
        <v>84</v>
      </c>
      <c r="H1711" s="1" t="s">
        <v>3919</v>
      </c>
      <c r="I1711" s="1" t="s">
        <v>658</v>
      </c>
      <c r="J1711" s="1" t="s">
        <v>27</v>
      </c>
      <c r="K1711" s="1" t="s">
        <v>826</v>
      </c>
      <c r="L1711" s="1" t="s">
        <v>29</v>
      </c>
      <c r="M1711" s="1" t="s">
        <v>53</v>
      </c>
      <c r="N1711" s="1" t="s">
        <v>827</v>
      </c>
      <c r="O1711">
        <v>27.42</v>
      </c>
      <c r="P1711">
        <v>3</v>
      </c>
      <c r="Q1711">
        <v>9.3228000000000009</v>
      </c>
      <c r="R1711" s="1" t="s">
        <v>4426</v>
      </c>
      <c r="S1711">
        <v>2015</v>
      </c>
      <c r="T1711" s="1" t="s">
        <v>55</v>
      </c>
    </row>
    <row r="1712" spans="1:20" x14ac:dyDescent="0.25">
      <c r="A1712" s="1" t="s">
        <v>3920</v>
      </c>
      <c r="B1712" s="2">
        <v>42663</v>
      </c>
      <c r="C1712" s="2">
        <v>42669</v>
      </c>
      <c r="D1712" s="1" t="s">
        <v>37</v>
      </c>
      <c r="E1712" s="1" t="s">
        <v>3921</v>
      </c>
      <c r="F1712" s="1" t="s">
        <v>3922</v>
      </c>
      <c r="G1712" s="1" t="s">
        <v>94</v>
      </c>
      <c r="H1712" s="1" t="s">
        <v>680</v>
      </c>
      <c r="I1712" s="1" t="s">
        <v>707</v>
      </c>
      <c r="J1712" s="1" t="s">
        <v>27</v>
      </c>
      <c r="K1712" s="1" t="s">
        <v>484</v>
      </c>
      <c r="L1712" s="1" t="s">
        <v>29</v>
      </c>
      <c r="M1712" s="1" t="s">
        <v>53</v>
      </c>
      <c r="N1712" s="1" t="s">
        <v>485</v>
      </c>
      <c r="O1712">
        <v>61.1</v>
      </c>
      <c r="P1712">
        <v>5</v>
      </c>
      <c r="Q1712">
        <v>18.329999999999998</v>
      </c>
      <c r="R1712" s="1" t="s">
        <v>4426</v>
      </c>
      <c r="S1712">
        <v>2016</v>
      </c>
      <c r="T1712" s="1" t="s">
        <v>45</v>
      </c>
    </row>
    <row r="1713" spans="1:20" x14ac:dyDescent="0.25">
      <c r="A1713" s="1" t="s">
        <v>3923</v>
      </c>
      <c r="B1713" s="2">
        <v>42943</v>
      </c>
      <c r="C1713" s="2">
        <v>42948</v>
      </c>
      <c r="D1713" s="1" t="s">
        <v>21</v>
      </c>
      <c r="E1713" s="1" t="s">
        <v>1759</v>
      </c>
      <c r="F1713" s="1" t="s">
        <v>1760</v>
      </c>
      <c r="G1713" s="1" t="s">
        <v>24</v>
      </c>
      <c r="H1713" s="1" t="s">
        <v>183</v>
      </c>
      <c r="I1713" s="1" t="s">
        <v>184</v>
      </c>
      <c r="J1713" s="1" t="s">
        <v>51</v>
      </c>
      <c r="K1713" s="1" t="s">
        <v>918</v>
      </c>
      <c r="L1713" s="1" t="s">
        <v>29</v>
      </c>
      <c r="M1713" s="1" t="s">
        <v>53</v>
      </c>
      <c r="N1713" s="1" t="s">
        <v>308</v>
      </c>
      <c r="O1713">
        <v>23.88</v>
      </c>
      <c r="P1713">
        <v>3</v>
      </c>
      <c r="Q1713">
        <v>10.507199999999999</v>
      </c>
      <c r="R1713" s="1" t="s">
        <v>4422</v>
      </c>
      <c r="S1713">
        <v>2017</v>
      </c>
      <c r="T1713" s="1" t="s">
        <v>66</v>
      </c>
    </row>
    <row r="1714" spans="1:20" x14ac:dyDescent="0.25">
      <c r="A1714" s="1" t="s">
        <v>3924</v>
      </c>
      <c r="B1714" s="2">
        <v>42783</v>
      </c>
      <c r="C1714" s="2">
        <v>42785</v>
      </c>
      <c r="D1714" s="1" t="s">
        <v>81</v>
      </c>
      <c r="E1714" s="1" t="s">
        <v>3925</v>
      </c>
      <c r="F1714" s="1" t="s">
        <v>3926</v>
      </c>
      <c r="G1714" s="1" t="s">
        <v>94</v>
      </c>
      <c r="H1714" s="1" t="s">
        <v>95</v>
      </c>
      <c r="I1714" s="1" t="s">
        <v>86</v>
      </c>
      <c r="J1714" s="1" t="s">
        <v>87</v>
      </c>
      <c r="K1714" s="1" t="s">
        <v>525</v>
      </c>
      <c r="L1714" s="1" t="s">
        <v>29</v>
      </c>
      <c r="M1714" s="1" t="s">
        <v>30</v>
      </c>
      <c r="N1714" s="1" t="s">
        <v>526</v>
      </c>
      <c r="O1714">
        <v>89.066400000000002</v>
      </c>
      <c r="P1714">
        <v>1</v>
      </c>
      <c r="Q1714">
        <v>-17.0274</v>
      </c>
      <c r="R1714" s="1" t="s">
        <v>4423</v>
      </c>
      <c r="S1714">
        <v>2017</v>
      </c>
      <c r="T1714" s="1" t="s">
        <v>289</v>
      </c>
    </row>
    <row r="1715" spans="1:20" x14ac:dyDescent="0.25">
      <c r="A1715" s="1" t="s">
        <v>3927</v>
      </c>
      <c r="B1715" s="2">
        <v>43077</v>
      </c>
      <c r="C1715" s="2">
        <v>43084</v>
      </c>
      <c r="D1715" s="1" t="s">
        <v>37</v>
      </c>
      <c r="E1715" s="1" t="s">
        <v>750</v>
      </c>
      <c r="F1715" s="1" t="s">
        <v>751</v>
      </c>
      <c r="G1715" s="1" t="s">
        <v>24</v>
      </c>
      <c r="H1715" s="1" t="s">
        <v>61</v>
      </c>
      <c r="I1715" s="1" t="s">
        <v>62</v>
      </c>
      <c r="J1715" s="1" t="s">
        <v>63</v>
      </c>
      <c r="K1715" s="1" t="s">
        <v>479</v>
      </c>
      <c r="L1715" s="1" t="s">
        <v>29</v>
      </c>
      <c r="M1715" s="1" t="s">
        <v>34</v>
      </c>
      <c r="N1715" s="1" t="s">
        <v>480</v>
      </c>
      <c r="O1715">
        <v>215.54400000000001</v>
      </c>
      <c r="P1715">
        <v>4</v>
      </c>
      <c r="Q1715">
        <v>-58.504800000000003</v>
      </c>
      <c r="R1715" s="1" t="s">
        <v>4421</v>
      </c>
      <c r="S1715">
        <v>2017</v>
      </c>
      <c r="T1715" s="1" t="s">
        <v>90</v>
      </c>
    </row>
    <row r="1716" spans="1:20" x14ac:dyDescent="0.25">
      <c r="A1716" s="1" t="s">
        <v>3928</v>
      </c>
      <c r="B1716" s="2">
        <v>43057</v>
      </c>
      <c r="C1716" s="2">
        <v>43062</v>
      </c>
      <c r="D1716" s="1" t="s">
        <v>37</v>
      </c>
      <c r="E1716" s="1" t="s">
        <v>3929</v>
      </c>
      <c r="F1716" s="1" t="s">
        <v>3930</v>
      </c>
      <c r="G1716" s="1" t="s">
        <v>24</v>
      </c>
      <c r="H1716" s="1" t="s">
        <v>125</v>
      </c>
      <c r="I1716" s="1" t="s">
        <v>126</v>
      </c>
      <c r="J1716" s="1" t="s">
        <v>87</v>
      </c>
      <c r="K1716" s="1" t="s">
        <v>2171</v>
      </c>
      <c r="L1716" s="1" t="s">
        <v>29</v>
      </c>
      <c r="M1716" s="1" t="s">
        <v>34</v>
      </c>
      <c r="N1716" s="1" t="s">
        <v>2172</v>
      </c>
      <c r="O1716">
        <v>127.386</v>
      </c>
      <c r="P1716">
        <v>2</v>
      </c>
      <c r="Q1716">
        <v>-25.4772</v>
      </c>
      <c r="R1716" s="1" t="s">
        <v>4422</v>
      </c>
      <c r="S1716">
        <v>2017</v>
      </c>
      <c r="T1716" s="1" t="s">
        <v>32</v>
      </c>
    </row>
    <row r="1717" spans="1:20" x14ac:dyDescent="0.25">
      <c r="A1717" s="1" t="s">
        <v>3931</v>
      </c>
      <c r="B1717" s="2">
        <v>42705</v>
      </c>
      <c r="C1717" s="2">
        <v>42707</v>
      </c>
      <c r="D1717" s="1" t="s">
        <v>21</v>
      </c>
      <c r="E1717" s="1" t="s">
        <v>3807</v>
      </c>
      <c r="F1717" s="1" t="s">
        <v>3808</v>
      </c>
      <c r="G1717" s="1" t="s">
        <v>24</v>
      </c>
      <c r="H1717" s="1" t="s">
        <v>1736</v>
      </c>
      <c r="I1717" s="1" t="s">
        <v>86</v>
      </c>
      <c r="J1717" s="1" t="s">
        <v>87</v>
      </c>
      <c r="K1717" s="1" t="s">
        <v>581</v>
      </c>
      <c r="L1717" s="1" t="s">
        <v>29</v>
      </c>
      <c r="M1717" s="1" t="s">
        <v>34</v>
      </c>
      <c r="N1717" s="1" t="s">
        <v>582</v>
      </c>
      <c r="O1717">
        <v>248.43</v>
      </c>
      <c r="P1717">
        <v>5</v>
      </c>
      <c r="Q1717">
        <v>-17.745000000000001</v>
      </c>
      <c r="R1717" s="1" t="s">
        <v>4423</v>
      </c>
      <c r="S1717">
        <v>2016</v>
      </c>
      <c r="T1717" s="1" t="s">
        <v>90</v>
      </c>
    </row>
    <row r="1718" spans="1:20" x14ac:dyDescent="0.25">
      <c r="A1718" s="1" t="s">
        <v>3931</v>
      </c>
      <c r="B1718" s="2">
        <v>42705</v>
      </c>
      <c r="C1718" s="2">
        <v>42707</v>
      </c>
      <c r="D1718" s="1" t="s">
        <v>21</v>
      </c>
      <c r="E1718" s="1" t="s">
        <v>3807</v>
      </c>
      <c r="F1718" s="1" t="s">
        <v>3808</v>
      </c>
      <c r="G1718" s="1" t="s">
        <v>24</v>
      </c>
      <c r="H1718" s="1" t="s">
        <v>1736</v>
      </c>
      <c r="I1718" s="1" t="s">
        <v>86</v>
      </c>
      <c r="J1718" s="1" t="s">
        <v>87</v>
      </c>
      <c r="K1718" s="1" t="s">
        <v>290</v>
      </c>
      <c r="L1718" s="1" t="s">
        <v>29</v>
      </c>
      <c r="M1718" s="1" t="s">
        <v>34</v>
      </c>
      <c r="N1718" s="1" t="s">
        <v>291</v>
      </c>
      <c r="O1718">
        <v>85.245999999999995</v>
      </c>
      <c r="P1718">
        <v>2</v>
      </c>
      <c r="Q1718">
        <v>-1.2178</v>
      </c>
      <c r="R1718" s="1" t="s">
        <v>4423</v>
      </c>
      <c r="S1718">
        <v>2016</v>
      </c>
      <c r="T1718" s="1" t="s">
        <v>90</v>
      </c>
    </row>
    <row r="1719" spans="1:20" x14ac:dyDescent="0.25">
      <c r="A1719" s="1" t="s">
        <v>3932</v>
      </c>
      <c r="B1719" s="2">
        <v>42976</v>
      </c>
      <c r="C1719" s="2">
        <v>42982</v>
      </c>
      <c r="D1719" s="1" t="s">
        <v>37</v>
      </c>
      <c r="E1719" s="1" t="s">
        <v>1579</v>
      </c>
      <c r="F1719" s="1" t="s">
        <v>1580</v>
      </c>
      <c r="G1719" s="1" t="s">
        <v>84</v>
      </c>
      <c r="H1719" s="1" t="s">
        <v>49</v>
      </c>
      <c r="I1719" s="1" t="s">
        <v>50</v>
      </c>
      <c r="J1719" s="1" t="s">
        <v>51</v>
      </c>
      <c r="K1719" s="1" t="s">
        <v>3685</v>
      </c>
      <c r="L1719" s="1" t="s">
        <v>29</v>
      </c>
      <c r="M1719" s="1" t="s">
        <v>53</v>
      </c>
      <c r="N1719" s="1" t="s">
        <v>3686</v>
      </c>
      <c r="O1719">
        <v>148.02000000000001</v>
      </c>
      <c r="P1719">
        <v>3</v>
      </c>
      <c r="Q1719">
        <v>41.445599999999999</v>
      </c>
      <c r="R1719" s="1" t="s">
        <v>4426</v>
      </c>
      <c r="S1719">
        <v>2017</v>
      </c>
      <c r="T1719" s="1" t="s">
        <v>245</v>
      </c>
    </row>
    <row r="1720" spans="1:20" x14ac:dyDescent="0.25">
      <c r="A1720" s="1" t="s">
        <v>3933</v>
      </c>
      <c r="B1720" s="2">
        <v>42938</v>
      </c>
      <c r="C1720" s="2">
        <v>42943</v>
      </c>
      <c r="D1720" s="1" t="s">
        <v>37</v>
      </c>
      <c r="E1720" s="1" t="s">
        <v>2648</v>
      </c>
      <c r="F1720" s="1" t="s">
        <v>2649</v>
      </c>
      <c r="G1720" s="1" t="s">
        <v>24</v>
      </c>
      <c r="H1720" s="1" t="s">
        <v>125</v>
      </c>
      <c r="I1720" s="1" t="s">
        <v>126</v>
      </c>
      <c r="J1720" s="1" t="s">
        <v>87</v>
      </c>
      <c r="K1720" s="1" t="s">
        <v>616</v>
      </c>
      <c r="L1720" s="1" t="s">
        <v>29</v>
      </c>
      <c r="M1720" s="1" t="s">
        <v>34</v>
      </c>
      <c r="N1720" s="1" t="s">
        <v>617</v>
      </c>
      <c r="O1720">
        <v>526.34400000000005</v>
      </c>
      <c r="P1720">
        <v>4</v>
      </c>
      <c r="Q1720">
        <v>-75.191999999999993</v>
      </c>
      <c r="R1720" s="1" t="s">
        <v>4422</v>
      </c>
      <c r="S1720">
        <v>2017</v>
      </c>
      <c r="T1720" s="1" t="s">
        <v>66</v>
      </c>
    </row>
    <row r="1721" spans="1:20" x14ac:dyDescent="0.25">
      <c r="A1721" s="1" t="s">
        <v>3934</v>
      </c>
      <c r="B1721" s="2">
        <v>42685</v>
      </c>
      <c r="C1721" s="2">
        <v>42690</v>
      </c>
      <c r="D1721" s="1" t="s">
        <v>37</v>
      </c>
      <c r="E1721" s="1" t="s">
        <v>606</v>
      </c>
      <c r="F1721" s="1" t="s">
        <v>607</v>
      </c>
      <c r="G1721" s="1" t="s">
        <v>24</v>
      </c>
      <c r="H1721" s="1" t="s">
        <v>320</v>
      </c>
      <c r="I1721" s="1" t="s">
        <v>50</v>
      </c>
      <c r="J1721" s="1" t="s">
        <v>51</v>
      </c>
      <c r="K1721" s="1" t="s">
        <v>178</v>
      </c>
      <c r="L1721" s="1" t="s">
        <v>29</v>
      </c>
      <c r="M1721" s="1" t="s">
        <v>53</v>
      </c>
      <c r="N1721" s="1" t="s">
        <v>179</v>
      </c>
      <c r="O1721">
        <v>41.96</v>
      </c>
      <c r="P1721">
        <v>2</v>
      </c>
      <c r="Q1721">
        <v>10.909599999999999</v>
      </c>
      <c r="R1721" s="1" t="s">
        <v>4422</v>
      </c>
      <c r="S1721">
        <v>2016</v>
      </c>
      <c r="T1721" s="1" t="s">
        <v>32</v>
      </c>
    </row>
    <row r="1722" spans="1:20" x14ac:dyDescent="0.25">
      <c r="A1722" s="1" t="s">
        <v>3934</v>
      </c>
      <c r="B1722" s="2">
        <v>42685</v>
      </c>
      <c r="C1722" s="2">
        <v>42690</v>
      </c>
      <c r="D1722" s="1" t="s">
        <v>37</v>
      </c>
      <c r="E1722" s="1" t="s">
        <v>606</v>
      </c>
      <c r="F1722" s="1" t="s">
        <v>607</v>
      </c>
      <c r="G1722" s="1" t="s">
        <v>24</v>
      </c>
      <c r="H1722" s="1" t="s">
        <v>320</v>
      </c>
      <c r="I1722" s="1" t="s">
        <v>50</v>
      </c>
      <c r="J1722" s="1" t="s">
        <v>51</v>
      </c>
      <c r="K1722" s="1" t="s">
        <v>616</v>
      </c>
      <c r="L1722" s="1" t="s">
        <v>29</v>
      </c>
      <c r="M1722" s="1" t="s">
        <v>34</v>
      </c>
      <c r="N1722" s="1" t="s">
        <v>617</v>
      </c>
      <c r="O1722">
        <v>451.15199999999999</v>
      </c>
      <c r="P1722">
        <v>3</v>
      </c>
      <c r="Q1722">
        <v>0</v>
      </c>
      <c r="R1722" s="1" t="s">
        <v>4422</v>
      </c>
      <c r="S1722">
        <v>2016</v>
      </c>
      <c r="T1722" s="1" t="s">
        <v>32</v>
      </c>
    </row>
    <row r="1723" spans="1:20" x14ac:dyDescent="0.25">
      <c r="A1723" s="1" t="s">
        <v>3935</v>
      </c>
      <c r="B1723" s="2">
        <v>42985</v>
      </c>
      <c r="C1723" s="2">
        <v>42990</v>
      </c>
      <c r="D1723" s="1" t="s">
        <v>37</v>
      </c>
      <c r="E1723" s="1" t="s">
        <v>1866</v>
      </c>
      <c r="F1723" s="1" t="s">
        <v>1867</v>
      </c>
      <c r="G1723" s="1" t="s">
        <v>24</v>
      </c>
      <c r="H1723" s="1" t="s">
        <v>3936</v>
      </c>
      <c r="I1723" s="1" t="s">
        <v>50</v>
      </c>
      <c r="J1723" s="1" t="s">
        <v>51</v>
      </c>
      <c r="K1723" s="1" t="s">
        <v>287</v>
      </c>
      <c r="L1723" s="1" t="s">
        <v>29</v>
      </c>
      <c r="M1723" s="1" t="s">
        <v>34</v>
      </c>
      <c r="N1723" s="1" t="s">
        <v>288</v>
      </c>
      <c r="O1723">
        <v>161.56800000000001</v>
      </c>
      <c r="P1723">
        <v>2</v>
      </c>
      <c r="Q1723">
        <v>-28.2744</v>
      </c>
      <c r="R1723" s="1" t="s">
        <v>4422</v>
      </c>
      <c r="S1723">
        <v>2017</v>
      </c>
      <c r="T1723" s="1" t="s">
        <v>72</v>
      </c>
    </row>
    <row r="1724" spans="1:20" x14ac:dyDescent="0.25">
      <c r="A1724" s="1" t="s">
        <v>3937</v>
      </c>
      <c r="B1724" s="2">
        <v>42973</v>
      </c>
      <c r="C1724" s="2">
        <v>42979</v>
      </c>
      <c r="D1724" s="1" t="s">
        <v>37</v>
      </c>
      <c r="E1724" s="1" t="s">
        <v>101</v>
      </c>
      <c r="F1724" s="1" t="s">
        <v>102</v>
      </c>
      <c r="G1724" s="1" t="s">
        <v>24</v>
      </c>
      <c r="H1724" s="1" t="s">
        <v>125</v>
      </c>
      <c r="I1724" s="1" t="s">
        <v>126</v>
      </c>
      <c r="J1724" s="1" t="s">
        <v>87</v>
      </c>
      <c r="K1724" s="1" t="s">
        <v>747</v>
      </c>
      <c r="L1724" s="1" t="s">
        <v>29</v>
      </c>
      <c r="M1724" s="1" t="s">
        <v>53</v>
      </c>
      <c r="N1724" s="1" t="s">
        <v>748</v>
      </c>
      <c r="O1724">
        <v>64.959999999999994</v>
      </c>
      <c r="P1724">
        <v>5</v>
      </c>
      <c r="Q1724">
        <v>-43.847999999999999</v>
      </c>
      <c r="R1724" s="1" t="s">
        <v>4426</v>
      </c>
      <c r="S1724">
        <v>2017</v>
      </c>
      <c r="T1724" s="1" t="s">
        <v>245</v>
      </c>
    </row>
    <row r="1725" spans="1:20" x14ac:dyDescent="0.25">
      <c r="A1725" s="1" t="s">
        <v>3938</v>
      </c>
      <c r="B1725" s="2">
        <v>42285</v>
      </c>
      <c r="C1725" s="2">
        <v>42290</v>
      </c>
      <c r="D1725" s="1" t="s">
        <v>37</v>
      </c>
      <c r="E1725" s="1" t="s">
        <v>82</v>
      </c>
      <c r="F1725" s="1" t="s">
        <v>83</v>
      </c>
      <c r="G1725" s="1" t="s">
        <v>84</v>
      </c>
      <c r="H1725" s="1" t="s">
        <v>1730</v>
      </c>
      <c r="I1725" s="1" t="s">
        <v>86</v>
      </c>
      <c r="J1725" s="1" t="s">
        <v>87</v>
      </c>
      <c r="K1725" s="1" t="s">
        <v>136</v>
      </c>
      <c r="L1725" s="1" t="s">
        <v>29</v>
      </c>
      <c r="M1725" s="1" t="s">
        <v>53</v>
      </c>
      <c r="N1725" s="1" t="s">
        <v>137</v>
      </c>
      <c r="O1725">
        <v>72.78</v>
      </c>
      <c r="P1725">
        <v>3</v>
      </c>
      <c r="Q1725">
        <v>-70.960499999999996</v>
      </c>
      <c r="R1725" s="1" t="s">
        <v>4422</v>
      </c>
      <c r="S1725">
        <v>2015</v>
      </c>
      <c r="T1725" s="1" t="s">
        <v>45</v>
      </c>
    </row>
    <row r="1726" spans="1:20" x14ac:dyDescent="0.25">
      <c r="A1726" s="1" t="s">
        <v>3939</v>
      </c>
      <c r="B1726" s="2">
        <v>42594</v>
      </c>
      <c r="C1726" s="2">
        <v>42598</v>
      </c>
      <c r="D1726" s="1" t="s">
        <v>37</v>
      </c>
      <c r="E1726" s="1" t="s">
        <v>3940</v>
      </c>
      <c r="F1726" s="1" t="s">
        <v>3941</v>
      </c>
      <c r="G1726" s="1" t="s">
        <v>84</v>
      </c>
      <c r="H1726" s="1" t="s">
        <v>565</v>
      </c>
      <c r="I1726" s="1" t="s">
        <v>41</v>
      </c>
      <c r="J1726" s="1" t="s">
        <v>27</v>
      </c>
      <c r="K1726" s="1" t="s">
        <v>360</v>
      </c>
      <c r="L1726" s="1" t="s">
        <v>29</v>
      </c>
      <c r="M1726" s="1" t="s">
        <v>43</v>
      </c>
      <c r="N1726" s="1" t="s">
        <v>361</v>
      </c>
      <c r="O1726">
        <v>562.29250000000002</v>
      </c>
      <c r="P1726">
        <v>7</v>
      </c>
      <c r="Q1726">
        <v>-255.58750000000001</v>
      </c>
      <c r="R1726" s="1" t="s">
        <v>4424</v>
      </c>
      <c r="S1726">
        <v>2016</v>
      </c>
      <c r="T1726" s="1" t="s">
        <v>245</v>
      </c>
    </row>
    <row r="1727" spans="1:20" x14ac:dyDescent="0.25">
      <c r="A1727" s="1" t="s">
        <v>3942</v>
      </c>
      <c r="B1727" s="2">
        <v>41952</v>
      </c>
      <c r="C1727" s="2">
        <v>41956</v>
      </c>
      <c r="D1727" s="1" t="s">
        <v>37</v>
      </c>
      <c r="E1727" s="1" t="s">
        <v>3354</v>
      </c>
      <c r="F1727" s="1" t="s">
        <v>3355</v>
      </c>
      <c r="G1727" s="1" t="s">
        <v>94</v>
      </c>
      <c r="H1727" s="1" t="s">
        <v>165</v>
      </c>
      <c r="I1727" s="1" t="s">
        <v>114</v>
      </c>
      <c r="J1727" s="1" t="s">
        <v>63</v>
      </c>
      <c r="K1727" s="1" t="s">
        <v>346</v>
      </c>
      <c r="L1727" s="1" t="s">
        <v>29</v>
      </c>
      <c r="M1727" s="1" t="s">
        <v>53</v>
      </c>
      <c r="N1727" s="1" t="s">
        <v>1234</v>
      </c>
      <c r="O1727">
        <v>56.52</v>
      </c>
      <c r="P1727">
        <v>9</v>
      </c>
      <c r="Q1727">
        <v>21.477599999999999</v>
      </c>
      <c r="R1727" s="1" t="s">
        <v>4424</v>
      </c>
      <c r="S1727">
        <v>2014</v>
      </c>
      <c r="T1727" s="1" t="s">
        <v>32</v>
      </c>
    </row>
    <row r="1728" spans="1:20" x14ac:dyDescent="0.25">
      <c r="A1728" s="1" t="s">
        <v>3943</v>
      </c>
      <c r="B1728" s="2">
        <v>42405</v>
      </c>
      <c r="C1728" s="2">
        <v>42410</v>
      </c>
      <c r="D1728" s="1" t="s">
        <v>37</v>
      </c>
      <c r="E1728" s="1" t="s">
        <v>1881</v>
      </c>
      <c r="F1728" s="1" t="s">
        <v>1882</v>
      </c>
      <c r="G1728" s="1" t="s">
        <v>24</v>
      </c>
      <c r="H1728" s="1" t="s">
        <v>630</v>
      </c>
      <c r="I1728" s="1" t="s">
        <v>50</v>
      </c>
      <c r="J1728" s="1" t="s">
        <v>51</v>
      </c>
      <c r="K1728" s="1" t="s">
        <v>775</v>
      </c>
      <c r="L1728" s="1" t="s">
        <v>29</v>
      </c>
      <c r="M1728" s="1" t="s">
        <v>43</v>
      </c>
      <c r="N1728" s="1" t="s">
        <v>776</v>
      </c>
      <c r="O1728">
        <v>557.72799999999995</v>
      </c>
      <c r="P1728">
        <v>4</v>
      </c>
      <c r="Q1728">
        <v>6.9715999999999996</v>
      </c>
      <c r="R1728" s="1" t="s">
        <v>4422</v>
      </c>
      <c r="S1728">
        <v>2016</v>
      </c>
      <c r="T1728" s="1" t="s">
        <v>289</v>
      </c>
    </row>
    <row r="1729" spans="1:20" x14ac:dyDescent="0.25">
      <c r="A1729" s="1" t="s">
        <v>3944</v>
      </c>
      <c r="B1729" s="2">
        <v>41665</v>
      </c>
      <c r="C1729" s="2">
        <v>41668</v>
      </c>
      <c r="D1729" s="1" t="s">
        <v>81</v>
      </c>
      <c r="E1729" s="1" t="s">
        <v>2765</v>
      </c>
      <c r="F1729" s="1" t="s">
        <v>2766</v>
      </c>
      <c r="G1729" s="1" t="s">
        <v>84</v>
      </c>
      <c r="H1729" s="1" t="s">
        <v>3945</v>
      </c>
      <c r="I1729" s="1" t="s">
        <v>1817</v>
      </c>
      <c r="J1729" s="1" t="s">
        <v>87</v>
      </c>
      <c r="K1729" s="1" t="s">
        <v>801</v>
      </c>
      <c r="L1729" s="1" t="s">
        <v>29</v>
      </c>
      <c r="M1729" s="1" t="s">
        <v>30</v>
      </c>
      <c r="N1729" s="1" t="s">
        <v>802</v>
      </c>
      <c r="O1729">
        <v>141.96</v>
      </c>
      <c r="P1729">
        <v>2</v>
      </c>
      <c r="Q1729">
        <v>39.748800000000003</v>
      </c>
      <c r="R1729" s="1" t="s">
        <v>4420</v>
      </c>
      <c r="S1729">
        <v>2014</v>
      </c>
      <c r="T1729" s="1" t="s">
        <v>161</v>
      </c>
    </row>
    <row r="1730" spans="1:20" x14ac:dyDescent="0.25">
      <c r="A1730" s="1" t="s">
        <v>3946</v>
      </c>
      <c r="B1730" s="2">
        <v>42647</v>
      </c>
      <c r="C1730" s="2">
        <v>42652</v>
      </c>
      <c r="D1730" s="1" t="s">
        <v>37</v>
      </c>
      <c r="E1730" s="1" t="s">
        <v>770</v>
      </c>
      <c r="F1730" s="1" t="s">
        <v>771</v>
      </c>
      <c r="G1730" s="1" t="s">
        <v>24</v>
      </c>
      <c r="H1730" s="1" t="s">
        <v>2745</v>
      </c>
      <c r="I1730" s="1" t="s">
        <v>1080</v>
      </c>
      <c r="J1730" s="1" t="s">
        <v>63</v>
      </c>
      <c r="K1730" s="1" t="s">
        <v>1245</v>
      </c>
      <c r="L1730" s="1" t="s">
        <v>29</v>
      </c>
      <c r="M1730" s="1" t="s">
        <v>43</v>
      </c>
      <c r="N1730" s="1" t="s">
        <v>1246</v>
      </c>
      <c r="O1730">
        <v>239.37200000000001</v>
      </c>
      <c r="P1730">
        <v>2</v>
      </c>
      <c r="Q1730">
        <v>-23.937200000000001</v>
      </c>
      <c r="R1730" s="1" t="s">
        <v>4422</v>
      </c>
      <c r="S1730">
        <v>2016</v>
      </c>
      <c r="T1730" s="1" t="s">
        <v>45</v>
      </c>
    </row>
    <row r="1731" spans="1:20" x14ac:dyDescent="0.25">
      <c r="A1731" s="1" t="s">
        <v>3947</v>
      </c>
      <c r="B1731" s="2">
        <v>42416</v>
      </c>
      <c r="C1731" s="2">
        <v>42420</v>
      </c>
      <c r="D1731" s="1" t="s">
        <v>37</v>
      </c>
      <c r="E1731" s="1" t="s">
        <v>3948</v>
      </c>
      <c r="F1731" s="1" t="s">
        <v>3949</v>
      </c>
      <c r="G1731" s="1" t="s">
        <v>24</v>
      </c>
      <c r="H1731" s="1" t="s">
        <v>353</v>
      </c>
      <c r="I1731" s="1" t="s">
        <v>354</v>
      </c>
      <c r="J1731" s="1" t="s">
        <v>63</v>
      </c>
      <c r="K1731" s="1" t="s">
        <v>3207</v>
      </c>
      <c r="L1731" s="1" t="s">
        <v>29</v>
      </c>
      <c r="M1731" s="1" t="s">
        <v>34</v>
      </c>
      <c r="N1731" s="1" t="s">
        <v>3208</v>
      </c>
      <c r="O1731">
        <v>227.96</v>
      </c>
      <c r="P1731">
        <v>2</v>
      </c>
      <c r="Q1731">
        <v>36.473599999999998</v>
      </c>
      <c r="R1731" s="1" t="s">
        <v>4424</v>
      </c>
      <c r="S1731">
        <v>2016</v>
      </c>
      <c r="T1731" s="1" t="s">
        <v>289</v>
      </c>
    </row>
    <row r="1732" spans="1:20" x14ac:dyDescent="0.25">
      <c r="A1732" s="1" t="s">
        <v>3950</v>
      </c>
      <c r="B1732" s="2">
        <v>42310</v>
      </c>
      <c r="C1732" s="2">
        <v>42314</v>
      </c>
      <c r="D1732" s="1" t="s">
        <v>37</v>
      </c>
      <c r="E1732" s="1" t="s">
        <v>804</v>
      </c>
      <c r="F1732" s="1" t="s">
        <v>805</v>
      </c>
      <c r="G1732" s="1" t="s">
        <v>24</v>
      </c>
      <c r="H1732" s="1" t="s">
        <v>630</v>
      </c>
      <c r="I1732" s="1" t="s">
        <v>50</v>
      </c>
      <c r="J1732" s="1" t="s">
        <v>51</v>
      </c>
      <c r="K1732" s="1" t="s">
        <v>1953</v>
      </c>
      <c r="L1732" s="1" t="s">
        <v>29</v>
      </c>
      <c r="M1732" s="1" t="s">
        <v>53</v>
      </c>
      <c r="N1732" s="1" t="s">
        <v>1954</v>
      </c>
      <c r="O1732">
        <v>96.96</v>
      </c>
      <c r="P1732">
        <v>6</v>
      </c>
      <c r="Q1732">
        <v>33.936</v>
      </c>
      <c r="R1732" s="1" t="s">
        <v>4424</v>
      </c>
      <c r="S1732">
        <v>2015</v>
      </c>
      <c r="T1732" s="1" t="s">
        <v>32</v>
      </c>
    </row>
    <row r="1733" spans="1:20" x14ac:dyDescent="0.25">
      <c r="A1733" s="1" t="s">
        <v>3950</v>
      </c>
      <c r="B1733" s="2">
        <v>42310</v>
      </c>
      <c r="C1733" s="2">
        <v>42314</v>
      </c>
      <c r="D1733" s="1" t="s">
        <v>37</v>
      </c>
      <c r="E1733" s="1" t="s">
        <v>804</v>
      </c>
      <c r="F1733" s="1" t="s">
        <v>805</v>
      </c>
      <c r="G1733" s="1" t="s">
        <v>24</v>
      </c>
      <c r="H1733" s="1" t="s">
        <v>630</v>
      </c>
      <c r="I1733" s="1" t="s">
        <v>50</v>
      </c>
      <c r="J1733" s="1" t="s">
        <v>51</v>
      </c>
      <c r="K1733" s="1" t="s">
        <v>1958</v>
      </c>
      <c r="L1733" s="1" t="s">
        <v>29</v>
      </c>
      <c r="M1733" s="1" t="s">
        <v>30</v>
      </c>
      <c r="N1733" s="1" t="s">
        <v>1959</v>
      </c>
      <c r="O1733">
        <v>512.49900000000002</v>
      </c>
      <c r="P1733">
        <v>3</v>
      </c>
      <c r="Q1733">
        <v>-30.146999999999998</v>
      </c>
      <c r="R1733" s="1" t="s">
        <v>4424</v>
      </c>
      <c r="S1733">
        <v>2015</v>
      </c>
      <c r="T1733" s="1" t="s">
        <v>32</v>
      </c>
    </row>
    <row r="1734" spans="1:20" x14ac:dyDescent="0.25">
      <c r="A1734" s="1" t="s">
        <v>3951</v>
      </c>
      <c r="B1734" s="2">
        <v>42582</v>
      </c>
      <c r="C1734" s="2">
        <v>42587</v>
      </c>
      <c r="D1734" s="1" t="s">
        <v>37</v>
      </c>
      <c r="E1734" s="1" t="s">
        <v>2567</v>
      </c>
      <c r="F1734" s="1" t="s">
        <v>2568</v>
      </c>
      <c r="G1734" s="1" t="s">
        <v>84</v>
      </c>
      <c r="H1734" s="1" t="s">
        <v>320</v>
      </c>
      <c r="I1734" s="1" t="s">
        <v>50</v>
      </c>
      <c r="J1734" s="1" t="s">
        <v>51</v>
      </c>
      <c r="K1734" s="1" t="s">
        <v>722</v>
      </c>
      <c r="L1734" s="1" t="s">
        <v>29</v>
      </c>
      <c r="M1734" s="1" t="s">
        <v>43</v>
      </c>
      <c r="N1734" s="1" t="s">
        <v>723</v>
      </c>
      <c r="O1734">
        <v>863.12800000000004</v>
      </c>
      <c r="P1734">
        <v>7</v>
      </c>
      <c r="Q1734">
        <v>-32.3673</v>
      </c>
      <c r="R1734" s="1" t="s">
        <v>4422</v>
      </c>
      <c r="S1734">
        <v>2016</v>
      </c>
      <c r="T1734" s="1" t="s">
        <v>66</v>
      </c>
    </row>
    <row r="1735" spans="1:20" x14ac:dyDescent="0.25">
      <c r="A1735" s="1" t="s">
        <v>3952</v>
      </c>
      <c r="B1735" s="2">
        <v>43045</v>
      </c>
      <c r="C1735" s="2">
        <v>43052</v>
      </c>
      <c r="D1735" s="1" t="s">
        <v>37</v>
      </c>
      <c r="E1735" s="1" t="s">
        <v>1835</v>
      </c>
      <c r="F1735" s="1" t="s">
        <v>1836</v>
      </c>
      <c r="G1735" s="1" t="s">
        <v>94</v>
      </c>
      <c r="H1735" s="1" t="s">
        <v>183</v>
      </c>
      <c r="I1735" s="1" t="s">
        <v>184</v>
      </c>
      <c r="J1735" s="1" t="s">
        <v>51</v>
      </c>
      <c r="K1735" s="1" t="s">
        <v>402</v>
      </c>
      <c r="L1735" s="1" t="s">
        <v>29</v>
      </c>
      <c r="M1735" s="1" t="s">
        <v>43</v>
      </c>
      <c r="N1735" s="1" t="s">
        <v>403</v>
      </c>
      <c r="O1735">
        <v>2036.86</v>
      </c>
      <c r="P1735">
        <v>7</v>
      </c>
      <c r="Q1735">
        <v>366.63479999999998</v>
      </c>
      <c r="R1735" s="1" t="s">
        <v>4421</v>
      </c>
      <c r="S1735">
        <v>2017</v>
      </c>
      <c r="T1735" s="1" t="s">
        <v>32</v>
      </c>
    </row>
    <row r="1736" spans="1:20" x14ac:dyDescent="0.25">
      <c r="A1736" s="1" t="s">
        <v>3952</v>
      </c>
      <c r="B1736" s="2">
        <v>43045</v>
      </c>
      <c r="C1736" s="2">
        <v>43052</v>
      </c>
      <c r="D1736" s="1" t="s">
        <v>37</v>
      </c>
      <c r="E1736" s="1" t="s">
        <v>1835</v>
      </c>
      <c r="F1736" s="1" t="s">
        <v>1836</v>
      </c>
      <c r="G1736" s="1" t="s">
        <v>94</v>
      </c>
      <c r="H1736" s="1" t="s">
        <v>183</v>
      </c>
      <c r="I1736" s="1" t="s">
        <v>184</v>
      </c>
      <c r="J1736" s="1" t="s">
        <v>51</v>
      </c>
      <c r="K1736" s="1" t="s">
        <v>397</v>
      </c>
      <c r="L1736" s="1" t="s">
        <v>29</v>
      </c>
      <c r="M1736" s="1" t="s">
        <v>34</v>
      </c>
      <c r="N1736" s="1" t="s">
        <v>398</v>
      </c>
      <c r="O1736">
        <v>449.56799999999998</v>
      </c>
      <c r="P1736">
        <v>2</v>
      </c>
      <c r="Q1736">
        <v>-73.0548</v>
      </c>
      <c r="R1736" s="1" t="s">
        <v>4421</v>
      </c>
      <c r="S1736">
        <v>2017</v>
      </c>
      <c r="T1736" s="1" t="s">
        <v>32</v>
      </c>
    </row>
    <row r="1737" spans="1:20" x14ac:dyDescent="0.25">
      <c r="A1737" s="1" t="s">
        <v>3953</v>
      </c>
      <c r="B1737" s="2">
        <v>42218</v>
      </c>
      <c r="C1737" s="2">
        <v>42222</v>
      </c>
      <c r="D1737" s="1" t="s">
        <v>37</v>
      </c>
      <c r="E1737" s="1" t="s">
        <v>579</v>
      </c>
      <c r="F1737" s="1" t="s">
        <v>580</v>
      </c>
      <c r="G1737" s="1" t="s">
        <v>24</v>
      </c>
      <c r="H1737" s="1" t="s">
        <v>869</v>
      </c>
      <c r="I1737" s="1" t="s">
        <v>1508</v>
      </c>
      <c r="J1737" s="1" t="s">
        <v>51</v>
      </c>
      <c r="K1737" s="1" t="s">
        <v>2557</v>
      </c>
      <c r="L1737" s="1" t="s">
        <v>29</v>
      </c>
      <c r="M1737" s="1" t="s">
        <v>43</v>
      </c>
      <c r="N1737" s="1" t="s">
        <v>2558</v>
      </c>
      <c r="O1737">
        <v>277.5</v>
      </c>
      <c r="P1737">
        <v>4</v>
      </c>
      <c r="Q1737">
        <v>-188.7</v>
      </c>
      <c r="R1737" s="1" t="s">
        <v>4424</v>
      </c>
      <c r="S1737">
        <v>2015</v>
      </c>
      <c r="T1737" s="1" t="s">
        <v>245</v>
      </c>
    </row>
    <row r="1738" spans="1:20" x14ac:dyDescent="0.25">
      <c r="A1738" s="1" t="s">
        <v>3954</v>
      </c>
      <c r="B1738" s="2">
        <v>42329</v>
      </c>
      <c r="C1738" s="2">
        <v>42333</v>
      </c>
      <c r="D1738" s="1" t="s">
        <v>37</v>
      </c>
      <c r="E1738" s="1" t="s">
        <v>3003</v>
      </c>
      <c r="F1738" s="1" t="s">
        <v>3004</v>
      </c>
      <c r="G1738" s="1" t="s">
        <v>24</v>
      </c>
      <c r="H1738" s="1" t="s">
        <v>61</v>
      </c>
      <c r="I1738" s="1" t="s">
        <v>62</v>
      </c>
      <c r="J1738" s="1" t="s">
        <v>63</v>
      </c>
      <c r="K1738" s="1" t="s">
        <v>1238</v>
      </c>
      <c r="L1738" s="1" t="s">
        <v>29</v>
      </c>
      <c r="M1738" s="1" t="s">
        <v>43</v>
      </c>
      <c r="N1738" s="1" t="s">
        <v>1239</v>
      </c>
      <c r="O1738">
        <v>1252.704</v>
      </c>
      <c r="P1738">
        <v>8</v>
      </c>
      <c r="Q1738">
        <v>-480.20319999999998</v>
      </c>
      <c r="R1738" s="1" t="s">
        <v>4424</v>
      </c>
      <c r="S1738">
        <v>2015</v>
      </c>
      <c r="T1738" s="1" t="s">
        <v>32</v>
      </c>
    </row>
    <row r="1739" spans="1:20" x14ac:dyDescent="0.25">
      <c r="A1739" s="1" t="s">
        <v>3955</v>
      </c>
      <c r="B1739" s="2">
        <v>42873</v>
      </c>
      <c r="C1739" s="2">
        <v>42877</v>
      </c>
      <c r="D1739" s="1" t="s">
        <v>37</v>
      </c>
      <c r="E1739" s="1" t="s">
        <v>1819</v>
      </c>
      <c r="F1739" s="1" t="s">
        <v>1820</v>
      </c>
      <c r="G1739" s="1" t="s">
        <v>84</v>
      </c>
      <c r="H1739" s="1" t="s">
        <v>125</v>
      </c>
      <c r="I1739" s="1" t="s">
        <v>126</v>
      </c>
      <c r="J1739" s="1" t="s">
        <v>87</v>
      </c>
      <c r="K1739" s="1" t="s">
        <v>1533</v>
      </c>
      <c r="L1739" s="1" t="s">
        <v>29</v>
      </c>
      <c r="M1739" s="1" t="s">
        <v>53</v>
      </c>
      <c r="N1739" s="1" t="s">
        <v>1534</v>
      </c>
      <c r="O1739">
        <v>22.608000000000001</v>
      </c>
      <c r="P1739">
        <v>3</v>
      </c>
      <c r="Q1739">
        <v>-10.1736</v>
      </c>
      <c r="R1739" s="1" t="s">
        <v>4424</v>
      </c>
      <c r="S1739">
        <v>2017</v>
      </c>
      <c r="T1739" s="1" t="s">
        <v>153</v>
      </c>
    </row>
    <row r="1740" spans="1:20" x14ac:dyDescent="0.25">
      <c r="A1740" s="1" t="s">
        <v>3955</v>
      </c>
      <c r="B1740" s="2">
        <v>42873</v>
      </c>
      <c r="C1740" s="2">
        <v>42877</v>
      </c>
      <c r="D1740" s="1" t="s">
        <v>37</v>
      </c>
      <c r="E1740" s="1" t="s">
        <v>1819</v>
      </c>
      <c r="F1740" s="1" t="s">
        <v>1820</v>
      </c>
      <c r="G1740" s="1" t="s">
        <v>84</v>
      </c>
      <c r="H1740" s="1" t="s">
        <v>125</v>
      </c>
      <c r="I1740" s="1" t="s">
        <v>126</v>
      </c>
      <c r="J1740" s="1" t="s">
        <v>87</v>
      </c>
      <c r="K1740" s="1" t="s">
        <v>371</v>
      </c>
      <c r="L1740" s="1" t="s">
        <v>29</v>
      </c>
      <c r="M1740" s="1" t="s">
        <v>53</v>
      </c>
      <c r="N1740" s="1" t="s">
        <v>372</v>
      </c>
      <c r="O1740">
        <v>1.8919999999999999</v>
      </c>
      <c r="P1740">
        <v>1</v>
      </c>
      <c r="Q1740">
        <v>-0.99329999999999996</v>
      </c>
      <c r="R1740" s="1" t="s">
        <v>4424</v>
      </c>
      <c r="S1740">
        <v>2017</v>
      </c>
      <c r="T1740" s="1" t="s">
        <v>153</v>
      </c>
    </row>
    <row r="1741" spans="1:20" x14ac:dyDescent="0.25">
      <c r="A1741" s="1" t="s">
        <v>3956</v>
      </c>
      <c r="B1741" s="2">
        <v>42260</v>
      </c>
      <c r="C1741" s="2">
        <v>42264</v>
      </c>
      <c r="D1741" s="1" t="s">
        <v>21</v>
      </c>
      <c r="E1741" s="1" t="s">
        <v>1463</v>
      </c>
      <c r="F1741" s="1" t="s">
        <v>1464</v>
      </c>
      <c r="G1741" s="1" t="s">
        <v>24</v>
      </c>
      <c r="H1741" s="1" t="s">
        <v>125</v>
      </c>
      <c r="I1741" s="1" t="s">
        <v>126</v>
      </c>
      <c r="J1741" s="1" t="s">
        <v>87</v>
      </c>
      <c r="K1741" s="1" t="s">
        <v>243</v>
      </c>
      <c r="L1741" s="1" t="s">
        <v>29</v>
      </c>
      <c r="M1741" s="1" t="s">
        <v>34</v>
      </c>
      <c r="N1741" s="1" t="s">
        <v>244</v>
      </c>
      <c r="O1741">
        <v>170.072</v>
      </c>
      <c r="P1741">
        <v>4</v>
      </c>
      <c r="Q1741">
        <v>-12.148</v>
      </c>
      <c r="R1741" s="1" t="s">
        <v>4424</v>
      </c>
      <c r="S1741">
        <v>2015</v>
      </c>
      <c r="T1741" s="1" t="s">
        <v>72</v>
      </c>
    </row>
    <row r="1742" spans="1:20" x14ac:dyDescent="0.25">
      <c r="A1742" s="1" t="s">
        <v>3957</v>
      </c>
      <c r="B1742" s="2">
        <v>43056</v>
      </c>
      <c r="C1742" s="2">
        <v>43060</v>
      </c>
      <c r="D1742" s="1" t="s">
        <v>37</v>
      </c>
      <c r="E1742" s="1" t="s">
        <v>2124</v>
      </c>
      <c r="F1742" s="1" t="s">
        <v>2125</v>
      </c>
      <c r="G1742" s="1" t="s">
        <v>24</v>
      </c>
      <c r="H1742" s="1" t="s">
        <v>165</v>
      </c>
      <c r="I1742" s="1" t="s">
        <v>114</v>
      </c>
      <c r="J1742" s="1" t="s">
        <v>63</v>
      </c>
      <c r="K1742" s="1" t="s">
        <v>346</v>
      </c>
      <c r="L1742" s="1" t="s">
        <v>29</v>
      </c>
      <c r="M1742" s="1" t="s">
        <v>53</v>
      </c>
      <c r="N1742" s="1" t="s">
        <v>347</v>
      </c>
      <c r="O1742">
        <v>187.76</v>
      </c>
      <c r="P1742">
        <v>4</v>
      </c>
      <c r="Q1742">
        <v>76.9816</v>
      </c>
      <c r="R1742" s="1" t="s">
        <v>4424</v>
      </c>
      <c r="S1742">
        <v>2017</v>
      </c>
      <c r="T1742" s="1" t="s">
        <v>32</v>
      </c>
    </row>
    <row r="1743" spans="1:20" x14ac:dyDescent="0.25">
      <c r="A1743" s="1" t="s">
        <v>3958</v>
      </c>
      <c r="B1743" s="2">
        <v>42338</v>
      </c>
      <c r="C1743" s="2">
        <v>42341</v>
      </c>
      <c r="D1743" s="1" t="s">
        <v>81</v>
      </c>
      <c r="E1743" s="1" t="s">
        <v>628</v>
      </c>
      <c r="F1743" s="1" t="s">
        <v>629</v>
      </c>
      <c r="G1743" s="1" t="s">
        <v>24</v>
      </c>
      <c r="H1743" s="1" t="s">
        <v>3959</v>
      </c>
      <c r="I1743" s="1" t="s">
        <v>1027</v>
      </c>
      <c r="J1743" s="1" t="s">
        <v>27</v>
      </c>
      <c r="K1743" s="1" t="s">
        <v>305</v>
      </c>
      <c r="L1743" s="1" t="s">
        <v>29</v>
      </c>
      <c r="M1743" s="1" t="s">
        <v>53</v>
      </c>
      <c r="N1743" s="1" t="s">
        <v>306</v>
      </c>
      <c r="O1743">
        <v>335.74400000000003</v>
      </c>
      <c r="P1743">
        <v>2</v>
      </c>
      <c r="Q1743">
        <v>25.180800000000001</v>
      </c>
      <c r="R1743" s="1" t="s">
        <v>4420</v>
      </c>
      <c r="S1743">
        <v>2015</v>
      </c>
      <c r="T1743" s="1" t="s">
        <v>32</v>
      </c>
    </row>
    <row r="1744" spans="1:20" x14ac:dyDescent="0.25">
      <c r="A1744" s="1" t="s">
        <v>3960</v>
      </c>
      <c r="B1744" s="2">
        <v>42316</v>
      </c>
      <c r="C1744" s="2">
        <v>42316</v>
      </c>
      <c r="D1744" s="1" t="s">
        <v>417</v>
      </c>
      <c r="E1744" s="1" t="s">
        <v>2488</v>
      </c>
      <c r="F1744" s="1" t="s">
        <v>2489</v>
      </c>
      <c r="G1744" s="1" t="s">
        <v>84</v>
      </c>
      <c r="H1744" s="1" t="s">
        <v>165</v>
      </c>
      <c r="I1744" s="1" t="s">
        <v>114</v>
      </c>
      <c r="J1744" s="1" t="s">
        <v>63</v>
      </c>
      <c r="K1744" s="1" t="s">
        <v>3566</v>
      </c>
      <c r="L1744" s="1" t="s">
        <v>29</v>
      </c>
      <c r="M1744" s="1" t="s">
        <v>53</v>
      </c>
      <c r="N1744" s="1" t="s">
        <v>3567</v>
      </c>
      <c r="O1744">
        <v>11.82</v>
      </c>
      <c r="P1744">
        <v>3</v>
      </c>
      <c r="Q1744">
        <v>4.7279999999999998</v>
      </c>
      <c r="R1744" s="1" t="s">
        <v>4427</v>
      </c>
      <c r="S1744">
        <v>2015</v>
      </c>
      <c r="T1744" s="1" t="s">
        <v>32</v>
      </c>
    </row>
    <row r="1745" spans="1:20" x14ac:dyDescent="0.25">
      <c r="A1745" s="1" t="s">
        <v>3960</v>
      </c>
      <c r="B1745" s="2">
        <v>42316</v>
      </c>
      <c r="C1745" s="2">
        <v>42316</v>
      </c>
      <c r="D1745" s="1" t="s">
        <v>417</v>
      </c>
      <c r="E1745" s="1" t="s">
        <v>2488</v>
      </c>
      <c r="F1745" s="1" t="s">
        <v>2489</v>
      </c>
      <c r="G1745" s="1" t="s">
        <v>84</v>
      </c>
      <c r="H1745" s="1" t="s">
        <v>165</v>
      </c>
      <c r="I1745" s="1" t="s">
        <v>114</v>
      </c>
      <c r="J1745" s="1" t="s">
        <v>63</v>
      </c>
      <c r="K1745" s="1" t="s">
        <v>786</v>
      </c>
      <c r="L1745" s="1" t="s">
        <v>29</v>
      </c>
      <c r="M1745" s="1" t="s">
        <v>34</v>
      </c>
      <c r="N1745" s="1" t="s">
        <v>787</v>
      </c>
      <c r="O1745">
        <v>577.76400000000001</v>
      </c>
      <c r="P1745">
        <v>2</v>
      </c>
      <c r="Q1745">
        <v>115.5528</v>
      </c>
      <c r="R1745" s="1" t="s">
        <v>4427</v>
      </c>
      <c r="S1745">
        <v>2015</v>
      </c>
      <c r="T1745" s="1" t="s">
        <v>32</v>
      </c>
    </row>
    <row r="1746" spans="1:20" x14ac:dyDescent="0.25">
      <c r="A1746" s="1" t="s">
        <v>3961</v>
      </c>
      <c r="B1746" s="2">
        <v>42120</v>
      </c>
      <c r="C1746" s="2">
        <v>42124</v>
      </c>
      <c r="D1746" s="1" t="s">
        <v>37</v>
      </c>
      <c r="E1746" s="1" t="s">
        <v>810</v>
      </c>
      <c r="F1746" s="1" t="s">
        <v>811</v>
      </c>
      <c r="G1746" s="1" t="s">
        <v>24</v>
      </c>
      <c r="H1746" s="1" t="s">
        <v>3962</v>
      </c>
      <c r="I1746" s="1" t="s">
        <v>41</v>
      </c>
      <c r="J1746" s="1" t="s">
        <v>27</v>
      </c>
      <c r="K1746" s="1" t="s">
        <v>42</v>
      </c>
      <c r="L1746" s="1" t="s">
        <v>29</v>
      </c>
      <c r="M1746" s="1" t="s">
        <v>43</v>
      </c>
      <c r="N1746" s="1" t="s">
        <v>44</v>
      </c>
      <c r="O1746">
        <v>191.5155</v>
      </c>
      <c r="P1746">
        <v>1</v>
      </c>
      <c r="Q1746">
        <v>-76.606200000000001</v>
      </c>
      <c r="R1746" s="1" t="s">
        <v>4424</v>
      </c>
      <c r="S1746">
        <v>2015</v>
      </c>
      <c r="T1746" s="1" t="s">
        <v>107</v>
      </c>
    </row>
    <row r="1747" spans="1:20" x14ac:dyDescent="0.25">
      <c r="A1747" s="1" t="s">
        <v>3963</v>
      </c>
      <c r="B1747" s="2">
        <v>42681</v>
      </c>
      <c r="C1747" s="2">
        <v>42686</v>
      </c>
      <c r="D1747" s="1" t="s">
        <v>37</v>
      </c>
      <c r="E1747" s="1" t="s">
        <v>1328</v>
      </c>
      <c r="F1747" s="1" t="s">
        <v>1329</v>
      </c>
      <c r="G1747" s="1" t="s">
        <v>24</v>
      </c>
      <c r="H1747" s="1" t="s">
        <v>1730</v>
      </c>
      <c r="I1747" s="1" t="s">
        <v>86</v>
      </c>
      <c r="J1747" s="1" t="s">
        <v>87</v>
      </c>
      <c r="K1747" s="1" t="s">
        <v>3964</v>
      </c>
      <c r="L1747" s="1" t="s">
        <v>29</v>
      </c>
      <c r="M1747" s="1" t="s">
        <v>53</v>
      </c>
      <c r="N1747" s="1" t="s">
        <v>3965</v>
      </c>
      <c r="O1747">
        <v>44.46</v>
      </c>
      <c r="P1747">
        <v>5</v>
      </c>
      <c r="Q1747">
        <v>-17.783999999999999</v>
      </c>
      <c r="R1747" s="1" t="s">
        <v>4422</v>
      </c>
      <c r="S1747">
        <v>2016</v>
      </c>
      <c r="T1747" s="1" t="s">
        <v>32</v>
      </c>
    </row>
    <row r="1748" spans="1:20" x14ac:dyDescent="0.25">
      <c r="A1748" s="1" t="s">
        <v>3966</v>
      </c>
      <c r="B1748" s="2">
        <v>41915</v>
      </c>
      <c r="C1748" s="2">
        <v>41919</v>
      </c>
      <c r="D1748" s="1" t="s">
        <v>37</v>
      </c>
      <c r="E1748" s="1" t="s">
        <v>3929</v>
      </c>
      <c r="F1748" s="1" t="s">
        <v>3930</v>
      </c>
      <c r="G1748" s="1" t="s">
        <v>24</v>
      </c>
      <c r="H1748" s="1" t="s">
        <v>1730</v>
      </c>
      <c r="I1748" s="1" t="s">
        <v>86</v>
      </c>
      <c r="J1748" s="1" t="s">
        <v>87</v>
      </c>
      <c r="K1748" s="1" t="s">
        <v>1412</v>
      </c>
      <c r="L1748" s="1" t="s">
        <v>29</v>
      </c>
      <c r="M1748" s="1" t="s">
        <v>53</v>
      </c>
      <c r="N1748" s="1" t="s">
        <v>1413</v>
      </c>
      <c r="O1748">
        <v>31.776</v>
      </c>
      <c r="P1748">
        <v>3</v>
      </c>
      <c r="Q1748">
        <v>-19.0656</v>
      </c>
      <c r="R1748" s="1" t="s">
        <v>4424</v>
      </c>
      <c r="S1748">
        <v>2014</v>
      </c>
      <c r="T1748" s="1" t="s">
        <v>45</v>
      </c>
    </row>
    <row r="1749" spans="1:20" x14ac:dyDescent="0.25">
      <c r="A1749" s="1" t="s">
        <v>3967</v>
      </c>
      <c r="B1749" s="2">
        <v>42464</v>
      </c>
      <c r="C1749" s="2">
        <v>42468</v>
      </c>
      <c r="D1749" s="1" t="s">
        <v>21</v>
      </c>
      <c r="E1749" s="1" t="s">
        <v>1811</v>
      </c>
      <c r="F1749" s="1" t="s">
        <v>1812</v>
      </c>
      <c r="G1749" s="1" t="s">
        <v>94</v>
      </c>
      <c r="H1749" s="1" t="s">
        <v>113</v>
      </c>
      <c r="I1749" s="1" t="s">
        <v>114</v>
      </c>
      <c r="J1749" s="1" t="s">
        <v>63</v>
      </c>
      <c r="K1749" s="1" t="s">
        <v>587</v>
      </c>
      <c r="L1749" s="1" t="s">
        <v>29</v>
      </c>
      <c r="M1749" s="1" t="s">
        <v>53</v>
      </c>
      <c r="N1749" s="1" t="s">
        <v>588</v>
      </c>
      <c r="O1749">
        <v>82.64</v>
      </c>
      <c r="P1749">
        <v>2</v>
      </c>
      <c r="Q1749">
        <v>7.4375999999999998</v>
      </c>
      <c r="R1749" s="1" t="s">
        <v>4424</v>
      </c>
      <c r="S1749">
        <v>2016</v>
      </c>
      <c r="T1749" s="1" t="s">
        <v>107</v>
      </c>
    </row>
    <row r="1750" spans="1:20" x14ac:dyDescent="0.25">
      <c r="A1750" s="1" t="s">
        <v>3968</v>
      </c>
      <c r="B1750" s="2">
        <v>42551</v>
      </c>
      <c r="C1750" s="2">
        <v>42553</v>
      </c>
      <c r="D1750" s="1" t="s">
        <v>21</v>
      </c>
      <c r="E1750" s="1" t="s">
        <v>201</v>
      </c>
      <c r="F1750" s="1" t="s">
        <v>202</v>
      </c>
      <c r="G1750" s="1" t="s">
        <v>24</v>
      </c>
      <c r="H1750" s="1" t="s">
        <v>2805</v>
      </c>
      <c r="I1750" s="1" t="s">
        <v>658</v>
      </c>
      <c r="J1750" s="1" t="s">
        <v>27</v>
      </c>
      <c r="K1750" s="1" t="s">
        <v>269</v>
      </c>
      <c r="L1750" s="1" t="s">
        <v>29</v>
      </c>
      <c r="M1750" s="1" t="s">
        <v>30</v>
      </c>
      <c r="N1750" s="1" t="s">
        <v>270</v>
      </c>
      <c r="O1750">
        <v>1266.8599999999999</v>
      </c>
      <c r="P1750">
        <v>7</v>
      </c>
      <c r="Q1750">
        <v>291.37779999999998</v>
      </c>
      <c r="R1750" s="1" t="s">
        <v>4423</v>
      </c>
      <c r="S1750">
        <v>2016</v>
      </c>
      <c r="T1750" s="1" t="s">
        <v>55</v>
      </c>
    </row>
    <row r="1751" spans="1:20" x14ac:dyDescent="0.25">
      <c r="A1751" s="1" t="s">
        <v>3969</v>
      </c>
      <c r="B1751" s="2">
        <v>42856</v>
      </c>
      <c r="C1751" s="2">
        <v>42861</v>
      </c>
      <c r="D1751" s="1" t="s">
        <v>37</v>
      </c>
      <c r="E1751" s="1" t="s">
        <v>1336</v>
      </c>
      <c r="F1751" s="1" t="s">
        <v>1337</v>
      </c>
      <c r="G1751" s="1" t="s">
        <v>24</v>
      </c>
      <c r="H1751" s="1" t="s">
        <v>597</v>
      </c>
      <c r="I1751" s="1" t="s">
        <v>41</v>
      </c>
      <c r="J1751" s="1" t="s">
        <v>27</v>
      </c>
      <c r="K1751" s="1" t="s">
        <v>512</v>
      </c>
      <c r="L1751" s="1" t="s">
        <v>29</v>
      </c>
      <c r="M1751" s="1" t="s">
        <v>43</v>
      </c>
      <c r="N1751" s="1" t="s">
        <v>513</v>
      </c>
      <c r="O1751">
        <v>933.26199999999994</v>
      </c>
      <c r="P1751">
        <v>4</v>
      </c>
      <c r="Q1751">
        <v>-458.14679999999998</v>
      </c>
      <c r="R1751" s="1" t="s">
        <v>4422</v>
      </c>
      <c r="S1751">
        <v>2017</v>
      </c>
      <c r="T1751" s="1" t="s">
        <v>153</v>
      </c>
    </row>
    <row r="1752" spans="1:20" x14ac:dyDescent="0.25">
      <c r="A1752" s="1" t="s">
        <v>3969</v>
      </c>
      <c r="B1752" s="2">
        <v>42856</v>
      </c>
      <c r="C1752" s="2">
        <v>42861</v>
      </c>
      <c r="D1752" s="1" t="s">
        <v>37</v>
      </c>
      <c r="E1752" s="1" t="s">
        <v>1336</v>
      </c>
      <c r="F1752" s="1" t="s">
        <v>1337</v>
      </c>
      <c r="G1752" s="1" t="s">
        <v>24</v>
      </c>
      <c r="H1752" s="1" t="s">
        <v>597</v>
      </c>
      <c r="I1752" s="1" t="s">
        <v>41</v>
      </c>
      <c r="J1752" s="1" t="s">
        <v>27</v>
      </c>
      <c r="K1752" s="1" t="s">
        <v>592</v>
      </c>
      <c r="L1752" s="1" t="s">
        <v>29</v>
      </c>
      <c r="M1752" s="1" t="s">
        <v>34</v>
      </c>
      <c r="N1752" s="1" t="s">
        <v>593</v>
      </c>
      <c r="O1752">
        <v>2803.92</v>
      </c>
      <c r="P1752">
        <v>5</v>
      </c>
      <c r="Q1752">
        <v>0</v>
      </c>
      <c r="R1752" s="1" t="s">
        <v>4422</v>
      </c>
      <c r="S1752">
        <v>2017</v>
      </c>
      <c r="T1752" s="1" t="s">
        <v>153</v>
      </c>
    </row>
    <row r="1753" spans="1:20" x14ac:dyDescent="0.25">
      <c r="A1753" s="1" t="s">
        <v>3970</v>
      </c>
      <c r="B1753" s="2">
        <v>43028</v>
      </c>
      <c r="C1753" s="2">
        <v>43028</v>
      </c>
      <c r="D1753" s="1" t="s">
        <v>417</v>
      </c>
      <c r="E1753" s="1" t="s">
        <v>3971</v>
      </c>
      <c r="F1753" s="1" t="s">
        <v>3972</v>
      </c>
      <c r="G1753" s="1" t="s">
        <v>24</v>
      </c>
      <c r="H1753" s="1" t="s">
        <v>597</v>
      </c>
      <c r="I1753" s="1" t="s">
        <v>41</v>
      </c>
      <c r="J1753" s="1" t="s">
        <v>27</v>
      </c>
      <c r="K1753" s="1" t="s">
        <v>2778</v>
      </c>
      <c r="L1753" s="1" t="s">
        <v>29</v>
      </c>
      <c r="M1753" s="1" t="s">
        <v>53</v>
      </c>
      <c r="N1753" s="1" t="s">
        <v>2779</v>
      </c>
      <c r="O1753">
        <v>43.936</v>
      </c>
      <c r="P1753">
        <v>4</v>
      </c>
      <c r="Q1753">
        <v>6.0411999999999999</v>
      </c>
      <c r="R1753" s="1" t="s">
        <v>4427</v>
      </c>
      <c r="S1753">
        <v>2017</v>
      </c>
      <c r="T1753" s="1" t="s">
        <v>45</v>
      </c>
    </row>
    <row r="1754" spans="1:20" x14ac:dyDescent="0.25">
      <c r="A1754" s="1" t="s">
        <v>3973</v>
      </c>
      <c r="B1754" s="2">
        <v>41863</v>
      </c>
      <c r="C1754" s="2">
        <v>41867</v>
      </c>
      <c r="D1754" s="1" t="s">
        <v>37</v>
      </c>
      <c r="E1754" s="1" t="s">
        <v>2839</v>
      </c>
      <c r="F1754" s="1" t="s">
        <v>2840</v>
      </c>
      <c r="G1754" s="1" t="s">
        <v>24</v>
      </c>
      <c r="H1754" s="1" t="s">
        <v>320</v>
      </c>
      <c r="I1754" s="1" t="s">
        <v>50</v>
      </c>
      <c r="J1754" s="1" t="s">
        <v>51</v>
      </c>
      <c r="K1754" s="1" t="s">
        <v>1509</v>
      </c>
      <c r="L1754" s="1" t="s">
        <v>29</v>
      </c>
      <c r="M1754" s="1" t="s">
        <v>53</v>
      </c>
      <c r="N1754" s="1" t="s">
        <v>1510</v>
      </c>
      <c r="O1754">
        <v>85.44</v>
      </c>
      <c r="P1754">
        <v>3</v>
      </c>
      <c r="Q1754">
        <v>31.6128</v>
      </c>
      <c r="R1754" s="1" t="s">
        <v>4424</v>
      </c>
      <c r="S1754">
        <v>2014</v>
      </c>
      <c r="T1754" s="1" t="s">
        <v>245</v>
      </c>
    </row>
    <row r="1755" spans="1:20" x14ac:dyDescent="0.25">
      <c r="A1755" s="1" t="s">
        <v>3974</v>
      </c>
      <c r="B1755" s="2">
        <v>42068</v>
      </c>
      <c r="C1755" s="2">
        <v>42072</v>
      </c>
      <c r="D1755" s="1" t="s">
        <v>21</v>
      </c>
      <c r="E1755" s="1" t="s">
        <v>1672</v>
      </c>
      <c r="F1755" s="1" t="s">
        <v>1673</v>
      </c>
      <c r="G1755" s="1" t="s">
        <v>24</v>
      </c>
      <c r="H1755" s="1" t="s">
        <v>125</v>
      </c>
      <c r="I1755" s="1" t="s">
        <v>126</v>
      </c>
      <c r="J1755" s="1" t="s">
        <v>87</v>
      </c>
      <c r="K1755" s="1" t="s">
        <v>414</v>
      </c>
      <c r="L1755" s="1" t="s">
        <v>29</v>
      </c>
      <c r="M1755" s="1" t="s">
        <v>53</v>
      </c>
      <c r="N1755" s="1" t="s">
        <v>415</v>
      </c>
      <c r="O1755">
        <v>4.7119999999999997</v>
      </c>
      <c r="P1755">
        <v>2</v>
      </c>
      <c r="Q1755">
        <v>-1.8848</v>
      </c>
      <c r="R1755" s="1" t="s">
        <v>4424</v>
      </c>
      <c r="S1755">
        <v>2015</v>
      </c>
      <c r="T1755" s="1" t="s">
        <v>187</v>
      </c>
    </row>
    <row r="1756" spans="1:20" x14ac:dyDescent="0.25">
      <c r="A1756" s="1" t="s">
        <v>3975</v>
      </c>
      <c r="B1756" s="2">
        <v>42765</v>
      </c>
      <c r="C1756" s="2">
        <v>42772</v>
      </c>
      <c r="D1756" s="1" t="s">
        <v>37</v>
      </c>
      <c r="E1756" s="1" t="s">
        <v>3976</v>
      </c>
      <c r="F1756" s="1" t="s">
        <v>3977</v>
      </c>
      <c r="G1756" s="1" t="s">
        <v>24</v>
      </c>
      <c r="H1756" s="1" t="s">
        <v>171</v>
      </c>
      <c r="I1756" s="1" t="s">
        <v>126</v>
      </c>
      <c r="J1756" s="1" t="s">
        <v>87</v>
      </c>
      <c r="K1756" s="1" t="s">
        <v>2557</v>
      </c>
      <c r="L1756" s="1" t="s">
        <v>29</v>
      </c>
      <c r="M1756" s="1" t="s">
        <v>43</v>
      </c>
      <c r="N1756" s="1" t="s">
        <v>2558</v>
      </c>
      <c r="O1756">
        <v>69.375</v>
      </c>
      <c r="P1756">
        <v>1</v>
      </c>
      <c r="Q1756">
        <v>-47.174999999999997</v>
      </c>
      <c r="R1756" s="1" t="s">
        <v>4421</v>
      </c>
      <c r="S1756">
        <v>2017</v>
      </c>
      <c r="T1756" s="1" t="s">
        <v>161</v>
      </c>
    </row>
    <row r="1757" spans="1:20" x14ac:dyDescent="0.25">
      <c r="A1757" s="1" t="s">
        <v>3978</v>
      </c>
      <c r="B1757" s="2">
        <v>42729</v>
      </c>
      <c r="C1757" s="2">
        <v>42735</v>
      </c>
      <c r="D1757" s="1" t="s">
        <v>37</v>
      </c>
      <c r="E1757" s="1" t="s">
        <v>1600</v>
      </c>
      <c r="F1757" s="1" t="s">
        <v>1601</v>
      </c>
      <c r="G1757" s="1" t="s">
        <v>24</v>
      </c>
      <c r="H1757" s="1" t="s">
        <v>165</v>
      </c>
      <c r="I1757" s="1" t="s">
        <v>114</v>
      </c>
      <c r="J1757" s="1" t="s">
        <v>63</v>
      </c>
      <c r="K1757" s="1" t="s">
        <v>505</v>
      </c>
      <c r="L1757" s="1" t="s">
        <v>29</v>
      </c>
      <c r="M1757" s="1" t="s">
        <v>34</v>
      </c>
      <c r="N1757" s="1" t="s">
        <v>506</v>
      </c>
      <c r="O1757">
        <v>2563.056</v>
      </c>
      <c r="P1757">
        <v>8</v>
      </c>
      <c r="Q1757">
        <v>313.26240000000001</v>
      </c>
      <c r="R1757" s="1" t="s">
        <v>4426</v>
      </c>
      <c r="S1757">
        <v>2016</v>
      </c>
      <c r="T1757" s="1" t="s">
        <v>90</v>
      </c>
    </row>
    <row r="1758" spans="1:20" x14ac:dyDescent="0.25">
      <c r="A1758" s="1" t="s">
        <v>3979</v>
      </c>
      <c r="B1758" s="2">
        <v>42663</v>
      </c>
      <c r="C1758" s="2">
        <v>42668</v>
      </c>
      <c r="D1758" s="1" t="s">
        <v>37</v>
      </c>
      <c r="E1758" s="1" t="s">
        <v>2579</v>
      </c>
      <c r="F1758" s="1" t="s">
        <v>2580</v>
      </c>
      <c r="G1758" s="1" t="s">
        <v>84</v>
      </c>
      <c r="H1758" s="1" t="s">
        <v>3585</v>
      </c>
      <c r="I1758" s="1" t="s">
        <v>50</v>
      </c>
      <c r="J1758" s="1" t="s">
        <v>51</v>
      </c>
      <c r="K1758" s="1" t="s">
        <v>2979</v>
      </c>
      <c r="L1758" s="1" t="s">
        <v>29</v>
      </c>
      <c r="M1758" s="1" t="s">
        <v>34</v>
      </c>
      <c r="N1758" s="1" t="s">
        <v>2980</v>
      </c>
      <c r="O1758">
        <v>387.13600000000002</v>
      </c>
      <c r="P1758">
        <v>4</v>
      </c>
      <c r="Q1758">
        <v>4.8391999999999999</v>
      </c>
      <c r="R1758" s="1" t="s">
        <v>4422</v>
      </c>
      <c r="S1758">
        <v>2016</v>
      </c>
      <c r="T1758" s="1" t="s">
        <v>45</v>
      </c>
    </row>
    <row r="1759" spans="1:20" x14ac:dyDescent="0.25">
      <c r="A1759" s="1" t="s">
        <v>3980</v>
      </c>
      <c r="B1759" s="2">
        <v>42864</v>
      </c>
      <c r="C1759" s="2">
        <v>42865</v>
      </c>
      <c r="D1759" s="1" t="s">
        <v>81</v>
      </c>
      <c r="E1759" s="1" t="s">
        <v>560</v>
      </c>
      <c r="F1759" s="1" t="s">
        <v>561</v>
      </c>
      <c r="G1759" s="1" t="s">
        <v>84</v>
      </c>
      <c r="H1759" s="1" t="s">
        <v>597</v>
      </c>
      <c r="I1759" s="1" t="s">
        <v>1027</v>
      </c>
      <c r="J1759" s="1" t="s">
        <v>27</v>
      </c>
      <c r="K1759" s="1" t="s">
        <v>1081</v>
      </c>
      <c r="L1759" s="1" t="s">
        <v>29</v>
      </c>
      <c r="M1759" s="1" t="s">
        <v>34</v>
      </c>
      <c r="N1759" s="1" t="s">
        <v>1082</v>
      </c>
      <c r="O1759">
        <v>207</v>
      </c>
      <c r="P1759">
        <v>3</v>
      </c>
      <c r="Q1759">
        <v>25.875</v>
      </c>
      <c r="R1759" s="1" t="s">
        <v>4425</v>
      </c>
      <c r="S1759">
        <v>2017</v>
      </c>
      <c r="T1759" s="1" t="s">
        <v>153</v>
      </c>
    </row>
    <row r="1760" spans="1:20" x14ac:dyDescent="0.25">
      <c r="A1760" s="1" t="s">
        <v>3981</v>
      </c>
      <c r="B1760" s="2">
        <v>42359</v>
      </c>
      <c r="C1760" s="2">
        <v>42364</v>
      </c>
      <c r="D1760" s="1" t="s">
        <v>21</v>
      </c>
      <c r="E1760" s="1" t="s">
        <v>1215</v>
      </c>
      <c r="F1760" s="1" t="s">
        <v>1216</v>
      </c>
      <c r="G1760" s="1" t="s">
        <v>94</v>
      </c>
      <c r="H1760" s="1" t="s">
        <v>3648</v>
      </c>
      <c r="I1760" s="1" t="s">
        <v>126</v>
      </c>
      <c r="J1760" s="1" t="s">
        <v>87</v>
      </c>
      <c r="K1760" s="1" t="s">
        <v>598</v>
      </c>
      <c r="L1760" s="1" t="s">
        <v>29</v>
      </c>
      <c r="M1760" s="1" t="s">
        <v>53</v>
      </c>
      <c r="N1760" s="1" t="s">
        <v>599</v>
      </c>
      <c r="O1760">
        <v>51.756</v>
      </c>
      <c r="P1760">
        <v>3</v>
      </c>
      <c r="Q1760">
        <v>-33.641399999999997</v>
      </c>
      <c r="R1760" s="1" t="s">
        <v>4422</v>
      </c>
      <c r="S1760">
        <v>2015</v>
      </c>
      <c r="T1760" s="1" t="s">
        <v>90</v>
      </c>
    </row>
    <row r="1761" spans="1:20" x14ac:dyDescent="0.25">
      <c r="A1761" s="1" t="s">
        <v>3982</v>
      </c>
      <c r="B1761" s="2">
        <v>42190</v>
      </c>
      <c r="C1761" s="2">
        <v>42196</v>
      </c>
      <c r="D1761" s="1" t="s">
        <v>37</v>
      </c>
      <c r="E1761" s="1" t="s">
        <v>2526</v>
      </c>
      <c r="F1761" s="1" t="s">
        <v>2527</v>
      </c>
      <c r="G1761" s="1" t="s">
        <v>84</v>
      </c>
      <c r="H1761" s="1" t="s">
        <v>1518</v>
      </c>
      <c r="I1761" s="1" t="s">
        <v>1027</v>
      </c>
      <c r="J1761" s="1" t="s">
        <v>27</v>
      </c>
      <c r="K1761" s="1" t="s">
        <v>2002</v>
      </c>
      <c r="L1761" s="1" t="s">
        <v>29</v>
      </c>
      <c r="M1761" s="1" t="s">
        <v>53</v>
      </c>
      <c r="N1761" s="1" t="s">
        <v>2003</v>
      </c>
      <c r="O1761">
        <v>4.9279999999999999</v>
      </c>
      <c r="P1761">
        <v>2</v>
      </c>
      <c r="Q1761">
        <v>0.73919999999999997</v>
      </c>
      <c r="R1761" s="1" t="s">
        <v>4426</v>
      </c>
      <c r="S1761">
        <v>2015</v>
      </c>
      <c r="T1761" s="1" t="s">
        <v>66</v>
      </c>
    </row>
    <row r="1762" spans="1:20" x14ac:dyDescent="0.25">
      <c r="A1762" s="1" t="s">
        <v>3983</v>
      </c>
      <c r="B1762" s="2">
        <v>42942</v>
      </c>
      <c r="C1762" s="2">
        <v>42948</v>
      </c>
      <c r="D1762" s="1" t="s">
        <v>37</v>
      </c>
      <c r="E1762" s="1" t="s">
        <v>3984</v>
      </c>
      <c r="F1762" s="1" t="s">
        <v>3985</v>
      </c>
      <c r="G1762" s="1" t="s">
        <v>84</v>
      </c>
      <c r="H1762" s="1" t="s">
        <v>49</v>
      </c>
      <c r="I1762" s="1" t="s">
        <v>50</v>
      </c>
      <c r="J1762" s="1" t="s">
        <v>51</v>
      </c>
      <c r="K1762" s="1" t="s">
        <v>846</v>
      </c>
      <c r="L1762" s="1" t="s">
        <v>29</v>
      </c>
      <c r="M1762" s="1" t="s">
        <v>34</v>
      </c>
      <c r="N1762" s="1" t="s">
        <v>847</v>
      </c>
      <c r="O1762">
        <v>362.35199999999998</v>
      </c>
      <c r="P1762">
        <v>3</v>
      </c>
      <c r="Q1762">
        <v>45.293999999999997</v>
      </c>
      <c r="R1762" s="1" t="s">
        <v>4426</v>
      </c>
      <c r="S1762">
        <v>2017</v>
      </c>
      <c r="T1762" s="1" t="s">
        <v>66</v>
      </c>
    </row>
    <row r="1763" spans="1:20" x14ac:dyDescent="0.25">
      <c r="A1763" s="1" t="s">
        <v>3986</v>
      </c>
      <c r="B1763" s="2">
        <v>43042</v>
      </c>
      <c r="C1763" s="2">
        <v>43048</v>
      </c>
      <c r="D1763" s="1" t="s">
        <v>37</v>
      </c>
      <c r="E1763" s="1" t="s">
        <v>2354</v>
      </c>
      <c r="F1763" s="1" t="s">
        <v>2355</v>
      </c>
      <c r="G1763" s="1" t="s">
        <v>24</v>
      </c>
      <c r="H1763" s="1" t="s">
        <v>2076</v>
      </c>
      <c r="I1763" s="1" t="s">
        <v>50</v>
      </c>
      <c r="J1763" s="1" t="s">
        <v>51</v>
      </c>
      <c r="K1763" s="1" t="s">
        <v>3180</v>
      </c>
      <c r="L1763" s="1" t="s">
        <v>29</v>
      </c>
      <c r="M1763" s="1" t="s">
        <v>43</v>
      </c>
      <c r="N1763" s="1" t="s">
        <v>3181</v>
      </c>
      <c r="O1763">
        <v>486.36799999999999</v>
      </c>
      <c r="P1763">
        <v>4</v>
      </c>
      <c r="Q1763">
        <v>36.477600000000002</v>
      </c>
      <c r="R1763" s="1" t="s">
        <v>4426</v>
      </c>
      <c r="S1763">
        <v>2017</v>
      </c>
      <c r="T1763" s="1" t="s">
        <v>32</v>
      </c>
    </row>
    <row r="1764" spans="1:20" x14ac:dyDescent="0.25">
      <c r="A1764" s="1" t="s">
        <v>3987</v>
      </c>
      <c r="B1764" s="2">
        <v>41699</v>
      </c>
      <c r="C1764" s="2">
        <v>41705</v>
      </c>
      <c r="D1764" s="1" t="s">
        <v>37</v>
      </c>
      <c r="E1764" s="1" t="s">
        <v>3988</v>
      </c>
      <c r="F1764" s="1" t="s">
        <v>3989</v>
      </c>
      <c r="G1764" s="1" t="s">
        <v>24</v>
      </c>
      <c r="H1764" s="1" t="s">
        <v>95</v>
      </c>
      <c r="I1764" s="1" t="s">
        <v>86</v>
      </c>
      <c r="J1764" s="1" t="s">
        <v>87</v>
      </c>
      <c r="K1764" s="1" t="s">
        <v>1790</v>
      </c>
      <c r="L1764" s="1" t="s">
        <v>29</v>
      </c>
      <c r="M1764" s="1" t="s">
        <v>43</v>
      </c>
      <c r="N1764" s="1" t="s">
        <v>1791</v>
      </c>
      <c r="O1764">
        <v>376.50900000000001</v>
      </c>
      <c r="P1764">
        <v>3</v>
      </c>
      <c r="Q1764">
        <v>-43.029600000000002</v>
      </c>
      <c r="R1764" s="1" t="s">
        <v>4426</v>
      </c>
      <c r="S1764">
        <v>2014</v>
      </c>
      <c r="T1764" s="1" t="s">
        <v>187</v>
      </c>
    </row>
    <row r="1765" spans="1:20" x14ac:dyDescent="0.25">
      <c r="A1765" s="1" t="s">
        <v>3990</v>
      </c>
      <c r="B1765" s="2">
        <v>42761</v>
      </c>
      <c r="C1765" s="2">
        <v>42766</v>
      </c>
      <c r="D1765" s="1" t="s">
        <v>37</v>
      </c>
      <c r="E1765" s="1" t="s">
        <v>3028</v>
      </c>
      <c r="F1765" s="1" t="s">
        <v>3029</v>
      </c>
      <c r="G1765" s="1" t="s">
        <v>24</v>
      </c>
      <c r="H1765" s="1" t="s">
        <v>339</v>
      </c>
      <c r="I1765" s="1" t="s">
        <v>658</v>
      </c>
      <c r="J1765" s="1" t="s">
        <v>27</v>
      </c>
      <c r="K1765" s="1" t="s">
        <v>193</v>
      </c>
      <c r="L1765" s="1" t="s">
        <v>29</v>
      </c>
      <c r="M1765" s="1" t="s">
        <v>53</v>
      </c>
      <c r="N1765" s="1" t="s">
        <v>194</v>
      </c>
      <c r="O1765">
        <v>62.72</v>
      </c>
      <c r="P1765">
        <v>4</v>
      </c>
      <c r="Q1765">
        <v>24.460799999999999</v>
      </c>
      <c r="R1765" s="1" t="s">
        <v>4422</v>
      </c>
      <c r="S1765">
        <v>2017</v>
      </c>
      <c r="T1765" s="1" t="s">
        <v>161</v>
      </c>
    </row>
    <row r="1766" spans="1:20" x14ac:dyDescent="0.25">
      <c r="A1766" s="1" t="s">
        <v>3991</v>
      </c>
      <c r="B1766" s="2">
        <v>41832</v>
      </c>
      <c r="C1766" s="2">
        <v>41836</v>
      </c>
      <c r="D1766" s="1" t="s">
        <v>37</v>
      </c>
      <c r="E1766" s="1" t="s">
        <v>1034</v>
      </c>
      <c r="F1766" s="1" t="s">
        <v>1035</v>
      </c>
      <c r="G1766" s="1" t="s">
        <v>94</v>
      </c>
      <c r="H1766" s="1" t="s">
        <v>2978</v>
      </c>
      <c r="I1766" s="1" t="s">
        <v>86</v>
      </c>
      <c r="J1766" s="1" t="s">
        <v>87</v>
      </c>
      <c r="K1766" s="1" t="s">
        <v>1073</v>
      </c>
      <c r="L1766" s="1" t="s">
        <v>29</v>
      </c>
      <c r="M1766" s="1" t="s">
        <v>34</v>
      </c>
      <c r="N1766" s="1" t="s">
        <v>1074</v>
      </c>
      <c r="O1766">
        <v>512.35799999999995</v>
      </c>
      <c r="P1766">
        <v>3</v>
      </c>
      <c r="Q1766">
        <v>-14.6388</v>
      </c>
      <c r="R1766" s="1" t="s">
        <v>4424</v>
      </c>
      <c r="S1766">
        <v>2014</v>
      </c>
      <c r="T1766" s="1" t="s">
        <v>66</v>
      </c>
    </row>
    <row r="1767" spans="1:20" x14ac:dyDescent="0.25">
      <c r="A1767" s="1" t="s">
        <v>3992</v>
      </c>
      <c r="B1767" s="2">
        <v>42438</v>
      </c>
      <c r="C1767" s="2">
        <v>42441</v>
      </c>
      <c r="D1767" s="1" t="s">
        <v>81</v>
      </c>
      <c r="E1767" s="1" t="s">
        <v>3571</v>
      </c>
      <c r="F1767" s="1" t="s">
        <v>3572</v>
      </c>
      <c r="G1767" s="1" t="s">
        <v>24</v>
      </c>
      <c r="H1767" s="1" t="s">
        <v>3993</v>
      </c>
      <c r="I1767" s="1" t="s">
        <v>425</v>
      </c>
      <c r="J1767" s="1" t="s">
        <v>63</v>
      </c>
      <c r="K1767" s="1" t="s">
        <v>581</v>
      </c>
      <c r="L1767" s="1" t="s">
        <v>29</v>
      </c>
      <c r="M1767" s="1" t="s">
        <v>34</v>
      </c>
      <c r="N1767" s="1" t="s">
        <v>582</v>
      </c>
      <c r="O1767">
        <v>354.9</v>
      </c>
      <c r="P1767">
        <v>5</v>
      </c>
      <c r="Q1767">
        <v>88.724999999999994</v>
      </c>
      <c r="R1767" s="1" t="s">
        <v>4420</v>
      </c>
      <c r="S1767">
        <v>2016</v>
      </c>
      <c r="T1767" s="1" t="s">
        <v>187</v>
      </c>
    </row>
    <row r="1768" spans="1:20" x14ac:dyDescent="0.25">
      <c r="A1768" s="1" t="s">
        <v>3994</v>
      </c>
      <c r="B1768" s="2">
        <v>42838</v>
      </c>
      <c r="C1768" s="2">
        <v>42842</v>
      </c>
      <c r="D1768" s="1" t="s">
        <v>37</v>
      </c>
      <c r="E1768" s="1" t="s">
        <v>3397</v>
      </c>
      <c r="F1768" s="1" t="s">
        <v>3398</v>
      </c>
      <c r="G1768" s="1" t="s">
        <v>84</v>
      </c>
      <c r="H1768" s="1" t="s">
        <v>2017</v>
      </c>
      <c r="I1768" s="1" t="s">
        <v>50</v>
      </c>
      <c r="J1768" s="1" t="s">
        <v>51</v>
      </c>
      <c r="K1768" s="1" t="s">
        <v>1608</v>
      </c>
      <c r="L1768" s="1" t="s">
        <v>29</v>
      </c>
      <c r="M1768" s="1" t="s">
        <v>34</v>
      </c>
      <c r="N1768" s="1" t="s">
        <v>1609</v>
      </c>
      <c r="O1768">
        <v>436.70400000000001</v>
      </c>
      <c r="P1768">
        <v>6</v>
      </c>
      <c r="Q1768">
        <v>-38.211599999999997</v>
      </c>
      <c r="R1768" s="1" t="s">
        <v>4424</v>
      </c>
      <c r="S1768">
        <v>2017</v>
      </c>
      <c r="T1768" s="1" t="s">
        <v>107</v>
      </c>
    </row>
    <row r="1769" spans="1:20" x14ac:dyDescent="0.25">
      <c r="A1769" s="1" t="s">
        <v>3995</v>
      </c>
      <c r="B1769" s="2">
        <v>41719</v>
      </c>
      <c r="C1769" s="2">
        <v>41723</v>
      </c>
      <c r="D1769" s="1" t="s">
        <v>37</v>
      </c>
      <c r="E1769" s="1" t="s">
        <v>824</v>
      </c>
      <c r="F1769" s="1" t="s">
        <v>825</v>
      </c>
      <c r="G1769" s="1" t="s">
        <v>24</v>
      </c>
      <c r="H1769" s="1" t="s">
        <v>3115</v>
      </c>
      <c r="I1769" s="1" t="s">
        <v>133</v>
      </c>
      <c r="J1769" s="1" t="s">
        <v>27</v>
      </c>
      <c r="K1769" s="1" t="s">
        <v>1281</v>
      </c>
      <c r="L1769" s="1" t="s">
        <v>29</v>
      </c>
      <c r="M1769" s="1" t="s">
        <v>53</v>
      </c>
      <c r="N1769" s="1" t="s">
        <v>1282</v>
      </c>
      <c r="O1769">
        <v>32.951999999999998</v>
      </c>
      <c r="P1769">
        <v>3</v>
      </c>
      <c r="Q1769">
        <v>6.5903999999999998</v>
      </c>
      <c r="R1769" s="1" t="s">
        <v>4424</v>
      </c>
      <c r="S1769">
        <v>2014</v>
      </c>
      <c r="T1769" s="1" t="s">
        <v>187</v>
      </c>
    </row>
    <row r="1770" spans="1:20" x14ac:dyDescent="0.25">
      <c r="A1770" s="1" t="s">
        <v>3995</v>
      </c>
      <c r="B1770" s="2">
        <v>41719</v>
      </c>
      <c r="C1770" s="2">
        <v>41723</v>
      </c>
      <c r="D1770" s="1" t="s">
        <v>37</v>
      </c>
      <c r="E1770" s="1" t="s">
        <v>824</v>
      </c>
      <c r="F1770" s="1" t="s">
        <v>825</v>
      </c>
      <c r="G1770" s="1" t="s">
        <v>24</v>
      </c>
      <c r="H1770" s="1" t="s">
        <v>3115</v>
      </c>
      <c r="I1770" s="1" t="s">
        <v>133</v>
      </c>
      <c r="J1770" s="1" t="s">
        <v>27</v>
      </c>
      <c r="K1770" s="1" t="s">
        <v>2171</v>
      </c>
      <c r="L1770" s="1" t="s">
        <v>29</v>
      </c>
      <c r="M1770" s="1" t="s">
        <v>34</v>
      </c>
      <c r="N1770" s="1" t="s">
        <v>2172</v>
      </c>
      <c r="O1770">
        <v>218.376</v>
      </c>
      <c r="P1770">
        <v>3</v>
      </c>
      <c r="Q1770">
        <v>-10.918799999999999</v>
      </c>
      <c r="R1770" s="1" t="s">
        <v>4424</v>
      </c>
      <c r="S1770">
        <v>2014</v>
      </c>
      <c r="T1770" s="1" t="s">
        <v>187</v>
      </c>
    </row>
    <row r="1771" spans="1:20" x14ac:dyDescent="0.25">
      <c r="A1771" s="1" t="s">
        <v>3996</v>
      </c>
      <c r="B1771" s="2">
        <v>42124</v>
      </c>
      <c r="C1771" s="2">
        <v>42128</v>
      </c>
      <c r="D1771" s="1" t="s">
        <v>37</v>
      </c>
      <c r="E1771" s="1" t="s">
        <v>1311</v>
      </c>
      <c r="F1771" s="1" t="s">
        <v>1312</v>
      </c>
      <c r="G1771" s="1" t="s">
        <v>84</v>
      </c>
      <c r="H1771" s="1" t="s">
        <v>462</v>
      </c>
      <c r="I1771" s="1" t="s">
        <v>425</v>
      </c>
      <c r="J1771" s="1" t="s">
        <v>63</v>
      </c>
      <c r="K1771" s="1" t="s">
        <v>263</v>
      </c>
      <c r="L1771" s="1" t="s">
        <v>29</v>
      </c>
      <c r="M1771" s="1" t="s">
        <v>53</v>
      </c>
      <c r="N1771" s="1" t="s">
        <v>264</v>
      </c>
      <c r="O1771">
        <v>31.4</v>
      </c>
      <c r="P1771">
        <v>5</v>
      </c>
      <c r="Q1771">
        <v>13.188000000000001</v>
      </c>
      <c r="R1771" s="1" t="s">
        <v>4424</v>
      </c>
      <c r="S1771">
        <v>2015</v>
      </c>
      <c r="T1771" s="1" t="s">
        <v>107</v>
      </c>
    </row>
    <row r="1772" spans="1:20" x14ac:dyDescent="0.25">
      <c r="A1772" s="1" t="s">
        <v>3996</v>
      </c>
      <c r="B1772" s="2">
        <v>42124</v>
      </c>
      <c r="C1772" s="2">
        <v>42128</v>
      </c>
      <c r="D1772" s="1" t="s">
        <v>37</v>
      </c>
      <c r="E1772" s="1" t="s">
        <v>1311</v>
      </c>
      <c r="F1772" s="1" t="s">
        <v>1312</v>
      </c>
      <c r="G1772" s="1" t="s">
        <v>84</v>
      </c>
      <c r="H1772" s="1" t="s">
        <v>462</v>
      </c>
      <c r="I1772" s="1" t="s">
        <v>425</v>
      </c>
      <c r="J1772" s="1" t="s">
        <v>63</v>
      </c>
      <c r="K1772" s="1" t="s">
        <v>2195</v>
      </c>
      <c r="L1772" s="1" t="s">
        <v>29</v>
      </c>
      <c r="M1772" s="1" t="s">
        <v>53</v>
      </c>
      <c r="N1772" s="1" t="s">
        <v>2196</v>
      </c>
      <c r="O1772">
        <v>9.48</v>
      </c>
      <c r="P1772">
        <v>1</v>
      </c>
      <c r="Q1772">
        <v>3.7919999999999998</v>
      </c>
      <c r="R1772" s="1" t="s">
        <v>4424</v>
      </c>
      <c r="S1772">
        <v>2015</v>
      </c>
      <c r="T1772" s="1" t="s">
        <v>107</v>
      </c>
    </row>
    <row r="1773" spans="1:20" x14ac:dyDescent="0.25">
      <c r="A1773" s="1" t="s">
        <v>3996</v>
      </c>
      <c r="B1773" s="2">
        <v>42124</v>
      </c>
      <c r="C1773" s="2">
        <v>42128</v>
      </c>
      <c r="D1773" s="1" t="s">
        <v>37</v>
      </c>
      <c r="E1773" s="1" t="s">
        <v>1311</v>
      </c>
      <c r="F1773" s="1" t="s">
        <v>1312</v>
      </c>
      <c r="G1773" s="1" t="s">
        <v>84</v>
      </c>
      <c r="H1773" s="1" t="s">
        <v>462</v>
      </c>
      <c r="I1773" s="1" t="s">
        <v>425</v>
      </c>
      <c r="J1773" s="1" t="s">
        <v>63</v>
      </c>
      <c r="K1773" s="1" t="s">
        <v>3034</v>
      </c>
      <c r="L1773" s="1" t="s">
        <v>29</v>
      </c>
      <c r="M1773" s="1" t="s">
        <v>53</v>
      </c>
      <c r="N1773" s="1" t="s">
        <v>3035</v>
      </c>
      <c r="O1773">
        <v>24.3</v>
      </c>
      <c r="P1773">
        <v>5</v>
      </c>
      <c r="Q1773">
        <v>10.449</v>
      </c>
      <c r="R1773" s="1" t="s">
        <v>4424</v>
      </c>
      <c r="S1773">
        <v>2015</v>
      </c>
      <c r="T1773" s="1" t="s">
        <v>107</v>
      </c>
    </row>
    <row r="1774" spans="1:20" x14ac:dyDescent="0.25">
      <c r="A1774" s="1" t="s">
        <v>3997</v>
      </c>
      <c r="B1774" s="2">
        <v>42858</v>
      </c>
      <c r="C1774" s="2">
        <v>42863</v>
      </c>
      <c r="D1774" s="1" t="s">
        <v>37</v>
      </c>
      <c r="E1774" s="1" t="s">
        <v>1991</v>
      </c>
      <c r="F1774" s="1" t="s">
        <v>1992</v>
      </c>
      <c r="G1774" s="1" t="s">
        <v>84</v>
      </c>
      <c r="H1774" s="1" t="s">
        <v>61</v>
      </c>
      <c r="I1774" s="1" t="s">
        <v>62</v>
      </c>
      <c r="J1774" s="1" t="s">
        <v>63</v>
      </c>
      <c r="K1774" s="1" t="s">
        <v>3214</v>
      </c>
      <c r="L1774" s="1" t="s">
        <v>29</v>
      </c>
      <c r="M1774" s="1" t="s">
        <v>53</v>
      </c>
      <c r="N1774" s="1" t="s">
        <v>3215</v>
      </c>
      <c r="O1774">
        <v>32.448</v>
      </c>
      <c r="P1774">
        <v>2</v>
      </c>
      <c r="Q1774">
        <v>7.3007999999999997</v>
      </c>
      <c r="R1774" s="1" t="s">
        <v>4422</v>
      </c>
      <c r="S1774">
        <v>2017</v>
      </c>
      <c r="T1774" s="1" t="s">
        <v>153</v>
      </c>
    </row>
    <row r="1775" spans="1:20" x14ac:dyDescent="0.25">
      <c r="A1775" s="1" t="s">
        <v>3997</v>
      </c>
      <c r="B1775" s="2">
        <v>42858</v>
      </c>
      <c r="C1775" s="2">
        <v>42863</v>
      </c>
      <c r="D1775" s="1" t="s">
        <v>37</v>
      </c>
      <c r="E1775" s="1" t="s">
        <v>1991</v>
      </c>
      <c r="F1775" s="1" t="s">
        <v>1992</v>
      </c>
      <c r="G1775" s="1" t="s">
        <v>84</v>
      </c>
      <c r="H1775" s="1" t="s">
        <v>61</v>
      </c>
      <c r="I1775" s="1" t="s">
        <v>62</v>
      </c>
      <c r="J1775" s="1" t="s">
        <v>63</v>
      </c>
      <c r="K1775" s="1" t="s">
        <v>282</v>
      </c>
      <c r="L1775" s="1" t="s">
        <v>29</v>
      </c>
      <c r="M1775" s="1" t="s">
        <v>43</v>
      </c>
      <c r="N1775" s="1" t="s">
        <v>283</v>
      </c>
      <c r="O1775">
        <v>373.47</v>
      </c>
      <c r="P1775">
        <v>5</v>
      </c>
      <c r="Q1775">
        <v>-112.041</v>
      </c>
      <c r="R1775" s="1" t="s">
        <v>4422</v>
      </c>
      <c r="S1775">
        <v>2017</v>
      </c>
      <c r="T1775" s="1" t="s">
        <v>153</v>
      </c>
    </row>
    <row r="1776" spans="1:20" x14ac:dyDescent="0.25">
      <c r="A1776" s="1" t="s">
        <v>3998</v>
      </c>
      <c r="B1776" s="2">
        <v>42608</v>
      </c>
      <c r="C1776" s="2">
        <v>42612</v>
      </c>
      <c r="D1776" s="1" t="s">
        <v>37</v>
      </c>
      <c r="E1776" s="1" t="s">
        <v>3440</v>
      </c>
      <c r="F1776" s="1" t="s">
        <v>3441</v>
      </c>
      <c r="G1776" s="1" t="s">
        <v>24</v>
      </c>
      <c r="H1776" s="1" t="s">
        <v>3999</v>
      </c>
      <c r="I1776" s="1" t="s">
        <v>658</v>
      </c>
      <c r="J1776" s="1" t="s">
        <v>27</v>
      </c>
      <c r="K1776" s="1" t="s">
        <v>1787</v>
      </c>
      <c r="L1776" s="1" t="s">
        <v>29</v>
      </c>
      <c r="M1776" s="1" t="s">
        <v>53</v>
      </c>
      <c r="N1776" s="1" t="s">
        <v>1788</v>
      </c>
      <c r="O1776">
        <v>186.54</v>
      </c>
      <c r="P1776">
        <v>3</v>
      </c>
      <c r="Q1776">
        <v>41.038800000000002</v>
      </c>
      <c r="R1776" s="1" t="s">
        <v>4424</v>
      </c>
      <c r="S1776">
        <v>2016</v>
      </c>
      <c r="T1776" s="1" t="s">
        <v>245</v>
      </c>
    </row>
    <row r="1777" spans="1:20" x14ac:dyDescent="0.25">
      <c r="A1777" s="1" t="s">
        <v>4000</v>
      </c>
      <c r="B1777" s="2">
        <v>42737</v>
      </c>
      <c r="C1777" s="2">
        <v>42739</v>
      </c>
      <c r="D1777" s="1" t="s">
        <v>21</v>
      </c>
      <c r="E1777" s="1" t="s">
        <v>3866</v>
      </c>
      <c r="F1777" s="1" t="s">
        <v>3867</v>
      </c>
      <c r="G1777" s="1" t="s">
        <v>24</v>
      </c>
      <c r="H1777" s="1" t="s">
        <v>1365</v>
      </c>
      <c r="I1777" s="1" t="s">
        <v>86</v>
      </c>
      <c r="J1777" s="1" t="s">
        <v>87</v>
      </c>
      <c r="K1777" s="1" t="s">
        <v>1238</v>
      </c>
      <c r="L1777" s="1" t="s">
        <v>29</v>
      </c>
      <c r="M1777" s="1" t="s">
        <v>43</v>
      </c>
      <c r="N1777" s="1" t="s">
        <v>1239</v>
      </c>
      <c r="O1777">
        <v>913.43</v>
      </c>
      <c r="P1777">
        <v>5</v>
      </c>
      <c r="Q1777">
        <v>-169.637</v>
      </c>
      <c r="R1777" s="1" t="s">
        <v>4423</v>
      </c>
      <c r="S1777">
        <v>2017</v>
      </c>
      <c r="T1777" s="1" t="s">
        <v>161</v>
      </c>
    </row>
    <row r="1778" spans="1:20" x14ac:dyDescent="0.25">
      <c r="A1778" s="1" t="s">
        <v>4001</v>
      </c>
      <c r="B1778" s="2">
        <v>42532</v>
      </c>
      <c r="C1778" s="2">
        <v>42537</v>
      </c>
      <c r="D1778" s="1" t="s">
        <v>37</v>
      </c>
      <c r="E1778" s="1" t="s">
        <v>730</v>
      </c>
      <c r="F1778" s="1" t="s">
        <v>731</v>
      </c>
      <c r="G1778" s="1" t="s">
        <v>24</v>
      </c>
      <c r="H1778" s="1" t="s">
        <v>49</v>
      </c>
      <c r="I1778" s="1" t="s">
        <v>50</v>
      </c>
      <c r="J1778" s="1" t="s">
        <v>51</v>
      </c>
      <c r="K1778" s="1" t="s">
        <v>298</v>
      </c>
      <c r="L1778" s="1" t="s">
        <v>29</v>
      </c>
      <c r="M1778" s="1" t="s">
        <v>43</v>
      </c>
      <c r="N1778" s="1" t="s">
        <v>299</v>
      </c>
      <c r="O1778">
        <v>902.71199999999999</v>
      </c>
      <c r="P1778">
        <v>3</v>
      </c>
      <c r="Q1778">
        <v>33.851700000000001</v>
      </c>
      <c r="R1778" s="1" t="s">
        <v>4422</v>
      </c>
      <c r="S1778">
        <v>2016</v>
      </c>
      <c r="T1778" s="1" t="s">
        <v>55</v>
      </c>
    </row>
    <row r="1779" spans="1:20" x14ac:dyDescent="0.25">
      <c r="A1779" s="1" t="s">
        <v>4002</v>
      </c>
      <c r="B1779" s="2">
        <v>42660</v>
      </c>
      <c r="C1779" s="2">
        <v>42664</v>
      </c>
      <c r="D1779" s="1" t="s">
        <v>37</v>
      </c>
      <c r="E1779" s="1" t="s">
        <v>2886</v>
      </c>
      <c r="F1779" s="1" t="s">
        <v>2887</v>
      </c>
      <c r="G1779" s="1" t="s">
        <v>94</v>
      </c>
      <c r="H1779" s="1" t="s">
        <v>1124</v>
      </c>
      <c r="I1779" s="1" t="s">
        <v>50</v>
      </c>
      <c r="J1779" s="1" t="s">
        <v>51</v>
      </c>
      <c r="K1779" s="1" t="s">
        <v>2734</v>
      </c>
      <c r="L1779" s="1" t="s">
        <v>29</v>
      </c>
      <c r="M1779" s="1" t="s">
        <v>30</v>
      </c>
      <c r="N1779" s="1" t="s">
        <v>2735</v>
      </c>
      <c r="O1779">
        <v>120.666</v>
      </c>
      <c r="P1779">
        <v>2</v>
      </c>
      <c r="Q1779">
        <v>21.294</v>
      </c>
      <c r="R1779" s="1" t="s">
        <v>4424</v>
      </c>
      <c r="S1779">
        <v>2016</v>
      </c>
      <c r="T1779" s="1" t="s">
        <v>45</v>
      </c>
    </row>
    <row r="1780" spans="1:20" x14ac:dyDescent="0.25">
      <c r="A1780" s="1" t="s">
        <v>4003</v>
      </c>
      <c r="B1780" s="2">
        <v>42698</v>
      </c>
      <c r="C1780" s="2">
        <v>42705</v>
      </c>
      <c r="D1780" s="1" t="s">
        <v>37</v>
      </c>
      <c r="E1780" s="1" t="s">
        <v>4004</v>
      </c>
      <c r="F1780" s="1" t="s">
        <v>4005</v>
      </c>
      <c r="G1780" s="1" t="s">
        <v>94</v>
      </c>
      <c r="H1780" s="1" t="s">
        <v>183</v>
      </c>
      <c r="I1780" s="1" t="s">
        <v>184</v>
      </c>
      <c r="J1780" s="1" t="s">
        <v>51</v>
      </c>
      <c r="K1780" s="1" t="s">
        <v>1140</v>
      </c>
      <c r="L1780" s="1" t="s">
        <v>29</v>
      </c>
      <c r="M1780" s="1" t="s">
        <v>53</v>
      </c>
      <c r="N1780" s="1" t="s">
        <v>1141</v>
      </c>
      <c r="O1780">
        <v>82.26</v>
      </c>
      <c r="P1780">
        <v>3</v>
      </c>
      <c r="Q1780">
        <v>33.726599999999998</v>
      </c>
      <c r="R1780" s="1" t="s">
        <v>4421</v>
      </c>
      <c r="S1780">
        <v>2016</v>
      </c>
      <c r="T1780" s="1" t="s">
        <v>32</v>
      </c>
    </row>
    <row r="1781" spans="1:20" x14ac:dyDescent="0.25">
      <c r="A1781" s="1" t="s">
        <v>4006</v>
      </c>
      <c r="B1781" s="2">
        <v>42408</v>
      </c>
      <c r="C1781" s="2">
        <v>42415</v>
      </c>
      <c r="D1781" s="1" t="s">
        <v>37</v>
      </c>
      <c r="E1781" s="1" t="s">
        <v>4007</v>
      </c>
      <c r="F1781" s="1" t="s">
        <v>4008</v>
      </c>
      <c r="G1781" s="1" t="s">
        <v>84</v>
      </c>
      <c r="H1781" s="1" t="s">
        <v>95</v>
      </c>
      <c r="I1781" s="1" t="s">
        <v>86</v>
      </c>
      <c r="J1781" s="1" t="s">
        <v>87</v>
      </c>
      <c r="K1781" s="1" t="s">
        <v>1081</v>
      </c>
      <c r="L1781" s="1" t="s">
        <v>29</v>
      </c>
      <c r="M1781" s="1" t="s">
        <v>34</v>
      </c>
      <c r="N1781" s="1" t="s">
        <v>1082</v>
      </c>
      <c r="O1781">
        <v>241.5</v>
      </c>
      <c r="P1781">
        <v>4</v>
      </c>
      <c r="Q1781">
        <v>0</v>
      </c>
      <c r="R1781" s="1" t="s">
        <v>4421</v>
      </c>
      <c r="S1781">
        <v>2016</v>
      </c>
      <c r="T1781" s="1" t="s">
        <v>289</v>
      </c>
    </row>
    <row r="1782" spans="1:20" x14ac:dyDescent="0.25">
      <c r="A1782" s="1" t="s">
        <v>4009</v>
      </c>
      <c r="B1782" s="2">
        <v>43092</v>
      </c>
      <c r="C1782" s="2">
        <v>43099</v>
      </c>
      <c r="D1782" s="1" t="s">
        <v>37</v>
      </c>
      <c r="E1782" s="1" t="s">
        <v>2221</v>
      </c>
      <c r="F1782" s="1" t="s">
        <v>2222</v>
      </c>
      <c r="G1782" s="1" t="s">
        <v>94</v>
      </c>
      <c r="H1782" s="1" t="s">
        <v>4010</v>
      </c>
      <c r="I1782" s="1" t="s">
        <v>421</v>
      </c>
      <c r="J1782" s="1" t="s">
        <v>63</v>
      </c>
      <c r="K1782" s="1" t="s">
        <v>1281</v>
      </c>
      <c r="L1782" s="1" t="s">
        <v>29</v>
      </c>
      <c r="M1782" s="1" t="s">
        <v>53</v>
      </c>
      <c r="N1782" s="1" t="s">
        <v>1282</v>
      </c>
      <c r="O1782">
        <v>27.46</v>
      </c>
      <c r="P1782">
        <v>2</v>
      </c>
      <c r="Q1782">
        <v>9.8856000000000002</v>
      </c>
      <c r="R1782" s="1" t="s">
        <v>4421</v>
      </c>
      <c r="S1782">
        <v>2017</v>
      </c>
      <c r="T1782" s="1" t="s">
        <v>90</v>
      </c>
    </row>
    <row r="1783" spans="1:20" x14ac:dyDescent="0.25">
      <c r="A1783" s="1" t="s">
        <v>4011</v>
      </c>
      <c r="B1783" s="2">
        <v>42705</v>
      </c>
      <c r="C1783" s="2">
        <v>42710</v>
      </c>
      <c r="D1783" s="1" t="s">
        <v>21</v>
      </c>
      <c r="E1783" s="1" t="s">
        <v>4012</v>
      </c>
      <c r="F1783" s="1" t="s">
        <v>4013</v>
      </c>
      <c r="G1783" s="1" t="s">
        <v>24</v>
      </c>
      <c r="H1783" s="1" t="s">
        <v>229</v>
      </c>
      <c r="I1783" s="1" t="s">
        <v>425</v>
      </c>
      <c r="J1783" s="1" t="s">
        <v>63</v>
      </c>
      <c r="K1783" s="1" t="s">
        <v>1974</v>
      </c>
      <c r="L1783" s="1" t="s">
        <v>29</v>
      </c>
      <c r="M1783" s="1" t="s">
        <v>53</v>
      </c>
      <c r="N1783" s="1" t="s">
        <v>1975</v>
      </c>
      <c r="O1783">
        <v>111.15</v>
      </c>
      <c r="P1783">
        <v>5</v>
      </c>
      <c r="Q1783">
        <v>48.905999999999999</v>
      </c>
      <c r="R1783" s="1" t="s">
        <v>4422</v>
      </c>
      <c r="S1783">
        <v>2016</v>
      </c>
      <c r="T1783" s="1" t="s">
        <v>90</v>
      </c>
    </row>
    <row r="1784" spans="1:20" x14ac:dyDescent="0.25">
      <c r="A1784" s="1" t="s">
        <v>4011</v>
      </c>
      <c r="B1784" s="2">
        <v>42705</v>
      </c>
      <c r="C1784" s="2">
        <v>42710</v>
      </c>
      <c r="D1784" s="1" t="s">
        <v>21</v>
      </c>
      <c r="E1784" s="1" t="s">
        <v>4012</v>
      </c>
      <c r="F1784" s="1" t="s">
        <v>4013</v>
      </c>
      <c r="G1784" s="1" t="s">
        <v>24</v>
      </c>
      <c r="H1784" s="1" t="s">
        <v>229</v>
      </c>
      <c r="I1784" s="1" t="s">
        <v>425</v>
      </c>
      <c r="J1784" s="1" t="s">
        <v>63</v>
      </c>
      <c r="K1784" s="1" t="s">
        <v>775</v>
      </c>
      <c r="L1784" s="1" t="s">
        <v>29</v>
      </c>
      <c r="M1784" s="1" t="s">
        <v>43</v>
      </c>
      <c r="N1784" s="1" t="s">
        <v>776</v>
      </c>
      <c r="O1784">
        <v>366.00900000000001</v>
      </c>
      <c r="P1784">
        <v>3</v>
      </c>
      <c r="Q1784">
        <v>-47.058300000000003</v>
      </c>
      <c r="R1784" s="1" t="s">
        <v>4422</v>
      </c>
      <c r="S1784">
        <v>2016</v>
      </c>
      <c r="T1784" s="1" t="s">
        <v>90</v>
      </c>
    </row>
    <row r="1785" spans="1:20" x14ac:dyDescent="0.25">
      <c r="A1785" s="1" t="s">
        <v>4014</v>
      </c>
      <c r="B1785" s="2">
        <v>43041</v>
      </c>
      <c r="C1785" s="2">
        <v>43046</v>
      </c>
      <c r="D1785" s="1" t="s">
        <v>21</v>
      </c>
      <c r="E1785" s="1" t="s">
        <v>3076</v>
      </c>
      <c r="F1785" s="1" t="s">
        <v>3077</v>
      </c>
      <c r="G1785" s="1" t="s">
        <v>94</v>
      </c>
      <c r="H1785" s="1" t="s">
        <v>869</v>
      </c>
      <c r="I1785" s="1" t="s">
        <v>223</v>
      </c>
      <c r="J1785" s="1" t="s">
        <v>63</v>
      </c>
      <c r="K1785" s="1" t="s">
        <v>1155</v>
      </c>
      <c r="L1785" s="1" t="s">
        <v>29</v>
      </c>
      <c r="M1785" s="1" t="s">
        <v>34</v>
      </c>
      <c r="N1785" s="1" t="s">
        <v>1156</v>
      </c>
      <c r="O1785">
        <v>155.37200000000001</v>
      </c>
      <c r="P1785">
        <v>2</v>
      </c>
      <c r="Q1785">
        <v>-35.513599999999997</v>
      </c>
      <c r="R1785" s="1" t="s">
        <v>4422</v>
      </c>
      <c r="S1785">
        <v>2017</v>
      </c>
      <c r="T1785" s="1" t="s">
        <v>32</v>
      </c>
    </row>
    <row r="1786" spans="1:20" x14ac:dyDescent="0.25">
      <c r="A1786" s="1" t="s">
        <v>4015</v>
      </c>
      <c r="B1786" s="2">
        <v>42343</v>
      </c>
      <c r="C1786" s="2">
        <v>42347</v>
      </c>
      <c r="D1786" s="1" t="s">
        <v>21</v>
      </c>
      <c r="E1786" s="1" t="s">
        <v>4016</v>
      </c>
      <c r="F1786" s="1" t="s">
        <v>4017</v>
      </c>
      <c r="G1786" s="1" t="s">
        <v>24</v>
      </c>
      <c r="H1786" s="1" t="s">
        <v>165</v>
      </c>
      <c r="I1786" s="1" t="s">
        <v>114</v>
      </c>
      <c r="J1786" s="1" t="s">
        <v>63</v>
      </c>
      <c r="K1786" s="1" t="s">
        <v>2419</v>
      </c>
      <c r="L1786" s="1" t="s">
        <v>29</v>
      </c>
      <c r="M1786" s="1" t="s">
        <v>34</v>
      </c>
      <c r="N1786" s="1" t="s">
        <v>2420</v>
      </c>
      <c r="O1786">
        <v>164.64599999999999</v>
      </c>
      <c r="P1786">
        <v>3</v>
      </c>
      <c r="Q1786">
        <v>12.8058</v>
      </c>
      <c r="R1786" s="1" t="s">
        <v>4424</v>
      </c>
      <c r="S1786">
        <v>2015</v>
      </c>
      <c r="T1786" s="1" t="s">
        <v>90</v>
      </c>
    </row>
    <row r="1787" spans="1:20" x14ac:dyDescent="0.25">
      <c r="A1787" s="1" t="s">
        <v>4018</v>
      </c>
      <c r="B1787" s="2">
        <v>42924</v>
      </c>
      <c r="C1787" s="2">
        <v>42928</v>
      </c>
      <c r="D1787" s="1" t="s">
        <v>37</v>
      </c>
      <c r="E1787" s="1" t="s">
        <v>4019</v>
      </c>
      <c r="F1787" s="1" t="s">
        <v>4020</v>
      </c>
      <c r="G1787" s="1" t="s">
        <v>84</v>
      </c>
      <c r="H1787" s="1" t="s">
        <v>222</v>
      </c>
      <c r="I1787" s="1" t="s">
        <v>192</v>
      </c>
      <c r="J1787" s="1" t="s">
        <v>63</v>
      </c>
      <c r="K1787" s="1" t="s">
        <v>2272</v>
      </c>
      <c r="L1787" s="1" t="s">
        <v>29</v>
      </c>
      <c r="M1787" s="1" t="s">
        <v>53</v>
      </c>
      <c r="N1787" s="1" t="s">
        <v>2273</v>
      </c>
      <c r="O1787">
        <v>83.92</v>
      </c>
      <c r="P1787">
        <v>4</v>
      </c>
      <c r="Q1787">
        <v>5.8743999999999996</v>
      </c>
      <c r="R1787" s="1" t="s">
        <v>4424</v>
      </c>
      <c r="S1787">
        <v>2017</v>
      </c>
      <c r="T1787" s="1" t="s">
        <v>66</v>
      </c>
    </row>
    <row r="1788" spans="1:20" x14ac:dyDescent="0.25">
      <c r="A1788" s="1" t="s">
        <v>4018</v>
      </c>
      <c r="B1788" s="2">
        <v>42924</v>
      </c>
      <c r="C1788" s="2">
        <v>42928</v>
      </c>
      <c r="D1788" s="1" t="s">
        <v>37</v>
      </c>
      <c r="E1788" s="1" t="s">
        <v>4019</v>
      </c>
      <c r="F1788" s="1" t="s">
        <v>4020</v>
      </c>
      <c r="G1788" s="1" t="s">
        <v>84</v>
      </c>
      <c r="H1788" s="1" t="s">
        <v>222</v>
      </c>
      <c r="I1788" s="1" t="s">
        <v>192</v>
      </c>
      <c r="J1788" s="1" t="s">
        <v>63</v>
      </c>
      <c r="K1788" s="1" t="s">
        <v>3573</v>
      </c>
      <c r="L1788" s="1" t="s">
        <v>29</v>
      </c>
      <c r="M1788" s="1" t="s">
        <v>53</v>
      </c>
      <c r="N1788" s="1" t="s">
        <v>3574</v>
      </c>
      <c r="O1788">
        <v>39.979999999999997</v>
      </c>
      <c r="P1788">
        <v>2</v>
      </c>
      <c r="Q1788">
        <v>9.1953999999999994</v>
      </c>
      <c r="R1788" s="1" t="s">
        <v>4424</v>
      </c>
      <c r="S1788">
        <v>2017</v>
      </c>
      <c r="T1788" s="1" t="s">
        <v>66</v>
      </c>
    </row>
    <row r="1789" spans="1:20" x14ac:dyDescent="0.25">
      <c r="A1789" s="1" t="s">
        <v>4021</v>
      </c>
      <c r="B1789" s="2">
        <v>42689</v>
      </c>
      <c r="C1789" s="2">
        <v>42689</v>
      </c>
      <c r="D1789" s="1" t="s">
        <v>417</v>
      </c>
      <c r="E1789" s="1" t="s">
        <v>3509</v>
      </c>
      <c r="F1789" s="1" t="s">
        <v>3510</v>
      </c>
      <c r="G1789" s="1" t="s">
        <v>84</v>
      </c>
      <c r="H1789" s="1" t="s">
        <v>3022</v>
      </c>
      <c r="I1789" s="1" t="s">
        <v>1027</v>
      </c>
      <c r="J1789" s="1" t="s">
        <v>27</v>
      </c>
      <c r="K1789" s="1" t="s">
        <v>185</v>
      </c>
      <c r="L1789" s="1" t="s">
        <v>29</v>
      </c>
      <c r="M1789" s="1" t="s">
        <v>43</v>
      </c>
      <c r="N1789" s="1" t="s">
        <v>186</v>
      </c>
      <c r="O1789">
        <v>630.024</v>
      </c>
      <c r="P1789">
        <v>4</v>
      </c>
      <c r="Q1789">
        <v>-199.5076</v>
      </c>
      <c r="R1789" s="1" t="s">
        <v>4427</v>
      </c>
      <c r="S1789">
        <v>2016</v>
      </c>
      <c r="T1789" s="1" t="s">
        <v>32</v>
      </c>
    </row>
    <row r="1790" spans="1:20" x14ac:dyDescent="0.25">
      <c r="A1790" s="1" t="s">
        <v>4022</v>
      </c>
      <c r="B1790" s="2">
        <v>42804</v>
      </c>
      <c r="C1790" s="2">
        <v>42808</v>
      </c>
      <c r="D1790" s="1" t="s">
        <v>37</v>
      </c>
      <c r="E1790" s="1" t="s">
        <v>1374</v>
      </c>
      <c r="F1790" s="1" t="s">
        <v>1375</v>
      </c>
      <c r="G1790" s="1" t="s">
        <v>24</v>
      </c>
      <c r="H1790" s="1" t="s">
        <v>1730</v>
      </c>
      <c r="I1790" s="1" t="s">
        <v>86</v>
      </c>
      <c r="J1790" s="1" t="s">
        <v>87</v>
      </c>
      <c r="K1790" s="1" t="s">
        <v>753</v>
      </c>
      <c r="L1790" s="1" t="s">
        <v>29</v>
      </c>
      <c r="M1790" s="1" t="s">
        <v>43</v>
      </c>
      <c r="N1790" s="1" t="s">
        <v>754</v>
      </c>
      <c r="O1790">
        <v>933.40800000000002</v>
      </c>
      <c r="P1790">
        <v>4</v>
      </c>
      <c r="Q1790">
        <v>-173.34719999999999</v>
      </c>
      <c r="R1790" s="1" t="s">
        <v>4424</v>
      </c>
      <c r="S1790">
        <v>2017</v>
      </c>
      <c r="T1790" s="1" t="s">
        <v>187</v>
      </c>
    </row>
    <row r="1791" spans="1:20" x14ac:dyDescent="0.25">
      <c r="A1791" s="1" t="s">
        <v>4023</v>
      </c>
      <c r="B1791" s="2">
        <v>42864</v>
      </c>
      <c r="C1791" s="2">
        <v>42866</v>
      </c>
      <c r="D1791" s="1" t="s">
        <v>81</v>
      </c>
      <c r="E1791" s="1" t="s">
        <v>2430</v>
      </c>
      <c r="F1791" s="1" t="s">
        <v>2431</v>
      </c>
      <c r="G1791" s="1" t="s">
        <v>94</v>
      </c>
      <c r="H1791" s="1" t="s">
        <v>183</v>
      </c>
      <c r="I1791" s="1" t="s">
        <v>184</v>
      </c>
      <c r="J1791" s="1" t="s">
        <v>51</v>
      </c>
      <c r="K1791" s="1" t="s">
        <v>913</v>
      </c>
      <c r="L1791" s="1" t="s">
        <v>29</v>
      </c>
      <c r="M1791" s="1" t="s">
        <v>43</v>
      </c>
      <c r="N1791" s="1" t="s">
        <v>914</v>
      </c>
      <c r="O1791">
        <v>286.85000000000002</v>
      </c>
      <c r="P1791">
        <v>1</v>
      </c>
      <c r="Q1791">
        <v>63.106999999999999</v>
      </c>
      <c r="R1791" s="1" t="s">
        <v>4423</v>
      </c>
      <c r="S1791">
        <v>2017</v>
      </c>
      <c r="T1791" s="1" t="s">
        <v>153</v>
      </c>
    </row>
    <row r="1792" spans="1:20" x14ac:dyDescent="0.25">
      <c r="A1792" s="1" t="s">
        <v>4024</v>
      </c>
      <c r="B1792" s="2">
        <v>43020</v>
      </c>
      <c r="C1792" s="2">
        <v>43024</v>
      </c>
      <c r="D1792" s="1" t="s">
        <v>37</v>
      </c>
      <c r="E1792" s="1" t="s">
        <v>4025</v>
      </c>
      <c r="F1792" s="1" t="s">
        <v>4026</v>
      </c>
      <c r="G1792" s="1" t="s">
        <v>24</v>
      </c>
      <c r="H1792" s="1" t="s">
        <v>2051</v>
      </c>
      <c r="I1792" s="1" t="s">
        <v>354</v>
      </c>
      <c r="J1792" s="1" t="s">
        <v>63</v>
      </c>
      <c r="K1792" s="1" t="s">
        <v>2786</v>
      </c>
      <c r="L1792" s="1" t="s">
        <v>29</v>
      </c>
      <c r="M1792" s="1" t="s">
        <v>53</v>
      </c>
      <c r="N1792" s="1" t="s">
        <v>2787</v>
      </c>
      <c r="O1792">
        <v>40.479999999999997</v>
      </c>
      <c r="P1792">
        <v>2</v>
      </c>
      <c r="Q1792">
        <v>17.406400000000001</v>
      </c>
      <c r="R1792" s="1" t="s">
        <v>4424</v>
      </c>
      <c r="S1792">
        <v>2017</v>
      </c>
      <c r="T1792" s="1" t="s">
        <v>45</v>
      </c>
    </row>
    <row r="1793" spans="1:20" x14ac:dyDescent="0.25">
      <c r="A1793" s="1" t="s">
        <v>4024</v>
      </c>
      <c r="B1793" s="2">
        <v>43020</v>
      </c>
      <c r="C1793" s="2">
        <v>43024</v>
      </c>
      <c r="D1793" s="1" t="s">
        <v>37</v>
      </c>
      <c r="E1793" s="1" t="s">
        <v>4025</v>
      </c>
      <c r="F1793" s="1" t="s">
        <v>4026</v>
      </c>
      <c r="G1793" s="1" t="s">
        <v>24</v>
      </c>
      <c r="H1793" s="1" t="s">
        <v>2051</v>
      </c>
      <c r="I1793" s="1" t="s">
        <v>354</v>
      </c>
      <c r="J1793" s="1" t="s">
        <v>63</v>
      </c>
      <c r="K1793" s="1" t="s">
        <v>2019</v>
      </c>
      <c r="L1793" s="1" t="s">
        <v>29</v>
      </c>
      <c r="M1793" s="1" t="s">
        <v>30</v>
      </c>
      <c r="N1793" s="1" t="s">
        <v>2020</v>
      </c>
      <c r="O1793">
        <v>2154.9</v>
      </c>
      <c r="P1793">
        <v>5</v>
      </c>
      <c r="Q1793">
        <v>129.29400000000001</v>
      </c>
      <c r="R1793" s="1" t="s">
        <v>4424</v>
      </c>
      <c r="S1793">
        <v>2017</v>
      </c>
      <c r="T1793" s="1" t="s">
        <v>45</v>
      </c>
    </row>
    <row r="1794" spans="1:20" x14ac:dyDescent="0.25">
      <c r="A1794" s="1" t="s">
        <v>4027</v>
      </c>
      <c r="B1794" s="2">
        <v>42723</v>
      </c>
      <c r="C1794" s="2">
        <v>42725</v>
      </c>
      <c r="D1794" s="1" t="s">
        <v>21</v>
      </c>
      <c r="E1794" s="1" t="s">
        <v>2217</v>
      </c>
      <c r="F1794" s="1" t="s">
        <v>2218</v>
      </c>
      <c r="G1794" s="1" t="s">
        <v>24</v>
      </c>
      <c r="H1794" s="1" t="s">
        <v>3320</v>
      </c>
      <c r="I1794" s="1" t="s">
        <v>62</v>
      </c>
      <c r="J1794" s="1" t="s">
        <v>63</v>
      </c>
      <c r="K1794" s="1" t="s">
        <v>2597</v>
      </c>
      <c r="L1794" s="1" t="s">
        <v>29</v>
      </c>
      <c r="M1794" s="1" t="s">
        <v>53</v>
      </c>
      <c r="N1794" s="1" t="s">
        <v>2598</v>
      </c>
      <c r="O1794">
        <v>303.92</v>
      </c>
      <c r="P1794">
        <v>5</v>
      </c>
      <c r="Q1794">
        <v>-30.391999999999999</v>
      </c>
      <c r="R1794" s="1" t="s">
        <v>4423</v>
      </c>
      <c r="S1794">
        <v>2016</v>
      </c>
      <c r="T1794" s="1" t="s">
        <v>90</v>
      </c>
    </row>
    <row r="1795" spans="1:20" x14ac:dyDescent="0.25">
      <c r="A1795" s="1" t="s">
        <v>4028</v>
      </c>
      <c r="B1795" s="2">
        <v>43047</v>
      </c>
      <c r="C1795" s="2">
        <v>43052</v>
      </c>
      <c r="D1795" s="1" t="s">
        <v>37</v>
      </c>
      <c r="E1795" s="1" t="s">
        <v>2089</v>
      </c>
      <c r="F1795" s="1" t="s">
        <v>2090</v>
      </c>
      <c r="G1795" s="1" t="s">
        <v>84</v>
      </c>
      <c r="H1795" s="1" t="s">
        <v>2745</v>
      </c>
      <c r="I1795" s="1" t="s">
        <v>1080</v>
      </c>
      <c r="J1795" s="1" t="s">
        <v>63</v>
      </c>
      <c r="K1795" s="1" t="s">
        <v>1140</v>
      </c>
      <c r="L1795" s="1" t="s">
        <v>29</v>
      </c>
      <c r="M1795" s="1" t="s">
        <v>53</v>
      </c>
      <c r="N1795" s="1" t="s">
        <v>1141</v>
      </c>
      <c r="O1795">
        <v>274.2</v>
      </c>
      <c r="P1795">
        <v>10</v>
      </c>
      <c r="Q1795">
        <v>112.422</v>
      </c>
      <c r="R1795" s="1" t="s">
        <v>4422</v>
      </c>
      <c r="S1795">
        <v>2017</v>
      </c>
      <c r="T1795" s="1" t="s">
        <v>32</v>
      </c>
    </row>
    <row r="1796" spans="1:20" x14ac:dyDescent="0.25">
      <c r="A1796" s="1" t="s">
        <v>4029</v>
      </c>
      <c r="B1796" s="2">
        <v>41896</v>
      </c>
      <c r="C1796" s="2">
        <v>41900</v>
      </c>
      <c r="D1796" s="1" t="s">
        <v>21</v>
      </c>
      <c r="E1796" s="1" t="s">
        <v>1829</v>
      </c>
      <c r="F1796" s="1" t="s">
        <v>1830</v>
      </c>
      <c r="G1796" s="1" t="s">
        <v>84</v>
      </c>
      <c r="H1796" s="1" t="s">
        <v>2087</v>
      </c>
      <c r="I1796" s="1" t="s">
        <v>86</v>
      </c>
      <c r="J1796" s="1" t="s">
        <v>87</v>
      </c>
      <c r="K1796" s="1" t="s">
        <v>2228</v>
      </c>
      <c r="L1796" s="1" t="s">
        <v>29</v>
      </c>
      <c r="M1796" s="1" t="s">
        <v>53</v>
      </c>
      <c r="N1796" s="1" t="s">
        <v>2229</v>
      </c>
      <c r="O1796">
        <v>9.9600000000000009</v>
      </c>
      <c r="P1796">
        <v>5</v>
      </c>
      <c r="Q1796">
        <v>-6.7229999999999999</v>
      </c>
      <c r="R1796" s="1" t="s">
        <v>4424</v>
      </c>
      <c r="S1796">
        <v>2014</v>
      </c>
      <c r="T1796" s="1" t="s">
        <v>72</v>
      </c>
    </row>
    <row r="1797" spans="1:20" x14ac:dyDescent="0.25">
      <c r="A1797" s="1" t="s">
        <v>4030</v>
      </c>
      <c r="B1797" s="2">
        <v>43031</v>
      </c>
      <c r="C1797" s="2">
        <v>43032</v>
      </c>
      <c r="D1797" s="1" t="s">
        <v>81</v>
      </c>
      <c r="E1797" s="1" t="s">
        <v>1547</v>
      </c>
      <c r="F1797" s="1" t="s">
        <v>1548</v>
      </c>
      <c r="G1797" s="1" t="s">
        <v>84</v>
      </c>
      <c r="H1797" s="1" t="s">
        <v>2730</v>
      </c>
      <c r="I1797" s="1" t="s">
        <v>1636</v>
      </c>
      <c r="J1797" s="1" t="s">
        <v>63</v>
      </c>
      <c r="K1797" s="1" t="s">
        <v>1250</v>
      </c>
      <c r="L1797" s="1" t="s">
        <v>29</v>
      </c>
      <c r="M1797" s="1" t="s">
        <v>43</v>
      </c>
      <c r="N1797" s="1" t="s">
        <v>1054</v>
      </c>
      <c r="O1797">
        <v>240.744</v>
      </c>
      <c r="P1797">
        <v>4</v>
      </c>
      <c r="Q1797">
        <v>-13.7568</v>
      </c>
      <c r="R1797" s="1" t="s">
        <v>4425</v>
      </c>
      <c r="S1797">
        <v>2017</v>
      </c>
      <c r="T1797" s="1" t="s">
        <v>45</v>
      </c>
    </row>
    <row r="1798" spans="1:20" x14ac:dyDescent="0.25">
      <c r="A1798" s="1" t="s">
        <v>4030</v>
      </c>
      <c r="B1798" s="2">
        <v>43031</v>
      </c>
      <c r="C1798" s="2">
        <v>43032</v>
      </c>
      <c r="D1798" s="1" t="s">
        <v>81</v>
      </c>
      <c r="E1798" s="1" t="s">
        <v>1547</v>
      </c>
      <c r="F1798" s="1" t="s">
        <v>1548</v>
      </c>
      <c r="G1798" s="1" t="s">
        <v>84</v>
      </c>
      <c r="H1798" s="1" t="s">
        <v>2730</v>
      </c>
      <c r="I1798" s="1" t="s">
        <v>1636</v>
      </c>
      <c r="J1798" s="1" t="s">
        <v>63</v>
      </c>
      <c r="K1798" s="1" t="s">
        <v>2180</v>
      </c>
      <c r="L1798" s="1" t="s">
        <v>29</v>
      </c>
      <c r="M1798" s="1" t="s">
        <v>53</v>
      </c>
      <c r="N1798" s="1" t="s">
        <v>2181</v>
      </c>
      <c r="O1798">
        <v>35</v>
      </c>
      <c r="P1798">
        <v>4</v>
      </c>
      <c r="Q1798">
        <v>14.7</v>
      </c>
      <c r="R1798" s="1" t="s">
        <v>4425</v>
      </c>
      <c r="S1798">
        <v>2017</v>
      </c>
      <c r="T1798" s="1" t="s">
        <v>45</v>
      </c>
    </row>
    <row r="1799" spans="1:20" x14ac:dyDescent="0.25">
      <c r="A1799" s="1" t="s">
        <v>4030</v>
      </c>
      <c r="B1799" s="2">
        <v>43031</v>
      </c>
      <c r="C1799" s="2">
        <v>43032</v>
      </c>
      <c r="D1799" s="1" t="s">
        <v>81</v>
      </c>
      <c r="E1799" s="1" t="s">
        <v>1547</v>
      </c>
      <c r="F1799" s="1" t="s">
        <v>1548</v>
      </c>
      <c r="G1799" s="1" t="s">
        <v>84</v>
      </c>
      <c r="H1799" s="1" t="s">
        <v>2730</v>
      </c>
      <c r="I1799" s="1" t="s">
        <v>1636</v>
      </c>
      <c r="J1799" s="1" t="s">
        <v>63</v>
      </c>
      <c r="K1799" s="1" t="s">
        <v>3608</v>
      </c>
      <c r="L1799" s="1" t="s">
        <v>29</v>
      </c>
      <c r="M1799" s="1" t="s">
        <v>53</v>
      </c>
      <c r="N1799" s="1" t="s">
        <v>3609</v>
      </c>
      <c r="O1799">
        <v>210.68</v>
      </c>
      <c r="P1799">
        <v>2</v>
      </c>
      <c r="Q1799">
        <v>50.563200000000002</v>
      </c>
      <c r="R1799" s="1" t="s">
        <v>4425</v>
      </c>
      <c r="S1799">
        <v>2017</v>
      </c>
      <c r="T1799" s="1" t="s">
        <v>45</v>
      </c>
    </row>
    <row r="1800" spans="1:20" x14ac:dyDescent="0.25">
      <c r="A1800" s="1" t="s">
        <v>4030</v>
      </c>
      <c r="B1800" s="2">
        <v>43031</v>
      </c>
      <c r="C1800" s="2">
        <v>43032</v>
      </c>
      <c r="D1800" s="1" t="s">
        <v>81</v>
      </c>
      <c r="E1800" s="1" t="s">
        <v>1547</v>
      </c>
      <c r="F1800" s="1" t="s">
        <v>1548</v>
      </c>
      <c r="G1800" s="1" t="s">
        <v>84</v>
      </c>
      <c r="H1800" s="1" t="s">
        <v>2730</v>
      </c>
      <c r="I1800" s="1" t="s">
        <v>1636</v>
      </c>
      <c r="J1800" s="1" t="s">
        <v>63</v>
      </c>
      <c r="K1800" s="1" t="s">
        <v>426</v>
      </c>
      <c r="L1800" s="1" t="s">
        <v>29</v>
      </c>
      <c r="M1800" s="1" t="s">
        <v>43</v>
      </c>
      <c r="N1800" s="1" t="s">
        <v>427</v>
      </c>
      <c r="O1800">
        <v>637.89599999999996</v>
      </c>
      <c r="P1800">
        <v>3</v>
      </c>
      <c r="Q1800">
        <v>-127.5792</v>
      </c>
      <c r="R1800" s="1" t="s">
        <v>4425</v>
      </c>
      <c r="S1800">
        <v>2017</v>
      </c>
      <c r="T1800" s="1" t="s">
        <v>45</v>
      </c>
    </row>
    <row r="1801" spans="1:20" x14ac:dyDescent="0.25">
      <c r="A1801" s="1" t="s">
        <v>4031</v>
      </c>
      <c r="B1801" s="2">
        <v>42478</v>
      </c>
      <c r="C1801" s="2">
        <v>42483</v>
      </c>
      <c r="D1801" s="1" t="s">
        <v>37</v>
      </c>
      <c r="E1801" s="1" t="s">
        <v>3172</v>
      </c>
      <c r="F1801" s="1" t="s">
        <v>3173</v>
      </c>
      <c r="G1801" s="1" t="s">
        <v>84</v>
      </c>
      <c r="H1801" s="1" t="s">
        <v>95</v>
      </c>
      <c r="I1801" s="1" t="s">
        <v>86</v>
      </c>
      <c r="J1801" s="1" t="s">
        <v>87</v>
      </c>
      <c r="K1801" s="1" t="s">
        <v>1019</v>
      </c>
      <c r="L1801" s="1" t="s">
        <v>29</v>
      </c>
      <c r="M1801" s="1" t="s">
        <v>34</v>
      </c>
      <c r="N1801" s="1" t="s">
        <v>1020</v>
      </c>
      <c r="O1801">
        <v>344.37200000000001</v>
      </c>
      <c r="P1801">
        <v>4</v>
      </c>
      <c r="Q1801">
        <v>-93.472399999999993</v>
      </c>
      <c r="R1801" s="1" t="s">
        <v>4422</v>
      </c>
      <c r="S1801">
        <v>2016</v>
      </c>
      <c r="T1801" s="1" t="s">
        <v>107</v>
      </c>
    </row>
    <row r="1802" spans="1:20" x14ac:dyDescent="0.25">
      <c r="A1802" s="1" t="s">
        <v>4031</v>
      </c>
      <c r="B1802" s="2">
        <v>42478</v>
      </c>
      <c r="C1802" s="2">
        <v>42483</v>
      </c>
      <c r="D1802" s="1" t="s">
        <v>37</v>
      </c>
      <c r="E1802" s="1" t="s">
        <v>3172</v>
      </c>
      <c r="F1802" s="1" t="s">
        <v>3173</v>
      </c>
      <c r="G1802" s="1" t="s">
        <v>84</v>
      </c>
      <c r="H1802" s="1" t="s">
        <v>95</v>
      </c>
      <c r="I1802" s="1" t="s">
        <v>86</v>
      </c>
      <c r="J1802" s="1" t="s">
        <v>87</v>
      </c>
      <c r="K1802" s="1" t="s">
        <v>1746</v>
      </c>
      <c r="L1802" s="1" t="s">
        <v>29</v>
      </c>
      <c r="M1802" s="1" t="s">
        <v>53</v>
      </c>
      <c r="N1802" s="1" t="s">
        <v>1747</v>
      </c>
      <c r="O1802">
        <v>127.88</v>
      </c>
      <c r="P1802">
        <v>5</v>
      </c>
      <c r="Q1802">
        <v>-67.137</v>
      </c>
      <c r="R1802" s="1" t="s">
        <v>4422</v>
      </c>
      <c r="S1802">
        <v>2016</v>
      </c>
      <c r="T1802" s="1" t="s">
        <v>107</v>
      </c>
    </row>
    <row r="1803" spans="1:20" x14ac:dyDescent="0.25">
      <c r="A1803" s="1" t="s">
        <v>4032</v>
      </c>
      <c r="B1803" s="2">
        <v>42883</v>
      </c>
      <c r="C1803" s="2">
        <v>42888</v>
      </c>
      <c r="D1803" s="1" t="s">
        <v>21</v>
      </c>
      <c r="E1803" s="1" t="s">
        <v>2653</v>
      </c>
      <c r="F1803" s="1" t="s">
        <v>2654</v>
      </c>
      <c r="G1803" s="1" t="s">
        <v>84</v>
      </c>
      <c r="H1803" s="1" t="s">
        <v>125</v>
      </c>
      <c r="I1803" s="1" t="s">
        <v>126</v>
      </c>
      <c r="J1803" s="1" t="s">
        <v>87</v>
      </c>
      <c r="K1803" s="1" t="s">
        <v>127</v>
      </c>
      <c r="L1803" s="1" t="s">
        <v>29</v>
      </c>
      <c r="M1803" s="1" t="s">
        <v>34</v>
      </c>
      <c r="N1803" s="1" t="s">
        <v>209</v>
      </c>
      <c r="O1803">
        <v>106.869</v>
      </c>
      <c r="P1803">
        <v>3</v>
      </c>
      <c r="Q1803">
        <v>-29.007300000000001</v>
      </c>
      <c r="R1803" s="1" t="s">
        <v>4422</v>
      </c>
      <c r="S1803">
        <v>2017</v>
      </c>
      <c r="T1803" s="1" t="s">
        <v>153</v>
      </c>
    </row>
    <row r="1804" spans="1:20" x14ac:dyDescent="0.25">
      <c r="A1804" s="1" t="s">
        <v>4033</v>
      </c>
      <c r="B1804" s="2">
        <v>42685</v>
      </c>
      <c r="C1804" s="2">
        <v>42691</v>
      </c>
      <c r="D1804" s="1" t="s">
        <v>37</v>
      </c>
      <c r="E1804" s="1" t="s">
        <v>714</v>
      </c>
      <c r="F1804" s="1" t="s">
        <v>715</v>
      </c>
      <c r="G1804" s="1" t="s">
        <v>84</v>
      </c>
      <c r="H1804" s="1" t="s">
        <v>4034</v>
      </c>
      <c r="I1804" s="1" t="s">
        <v>104</v>
      </c>
      <c r="J1804" s="1" t="s">
        <v>87</v>
      </c>
      <c r="K1804" s="1" t="s">
        <v>1802</v>
      </c>
      <c r="L1804" s="1" t="s">
        <v>29</v>
      </c>
      <c r="M1804" s="1" t="s">
        <v>43</v>
      </c>
      <c r="N1804" s="1" t="s">
        <v>1803</v>
      </c>
      <c r="O1804">
        <v>2678.94</v>
      </c>
      <c r="P1804">
        <v>6</v>
      </c>
      <c r="Q1804">
        <v>241.1046</v>
      </c>
      <c r="R1804" s="1" t="s">
        <v>4426</v>
      </c>
      <c r="S1804">
        <v>2016</v>
      </c>
      <c r="T1804" s="1" t="s">
        <v>32</v>
      </c>
    </row>
    <row r="1805" spans="1:20" x14ac:dyDescent="0.25">
      <c r="A1805" s="1" t="s">
        <v>4035</v>
      </c>
      <c r="B1805" s="2">
        <v>42848</v>
      </c>
      <c r="C1805" s="2">
        <v>42852</v>
      </c>
      <c r="D1805" s="1" t="s">
        <v>37</v>
      </c>
      <c r="E1805" s="1" t="s">
        <v>163</v>
      </c>
      <c r="F1805" s="1" t="s">
        <v>164</v>
      </c>
      <c r="G1805" s="1" t="s">
        <v>94</v>
      </c>
      <c r="H1805" s="1" t="s">
        <v>4036</v>
      </c>
      <c r="I1805" s="1" t="s">
        <v>133</v>
      </c>
      <c r="J1805" s="1" t="s">
        <v>27</v>
      </c>
      <c r="K1805" s="1" t="s">
        <v>447</v>
      </c>
      <c r="L1805" s="1" t="s">
        <v>29</v>
      </c>
      <c r="M1805" s="1" t="s">
        <v>30</v>
      </c>
      <c r="N1805" s="1" t="s">
        <v>448</v>
      </c>
      <c r="O1805">
        <v>387.13600000000002</v>
      </c>
      <c r="P1805">
        <v>4</v>
      </c>
      <c r="Q1805">
        <v>-14.5176</v>
      </c>
      <c r="R1805" s="1" t="s">
        <v>4424</v>
      </c>
      <c r="S1805">
        <v>2017</v>
      </c>
      <c r="T1805" s="1" t="s">
        <v>107</v>
      </c>
    </row>
    <row r="1806" spans="1:20" x14ac:dyDescent="0.25">
      <c r="A1806" s="1" t="s">
        <v>4035</v>
      </c>
      <c r="B1806" s="2">
        <v>42848</v>
      </c>
      <c r="C1806" s="2">
        <v>42852</v>
      </c>
      <c r="D1806" s="1" t="s">
        <v>37</v>
      </c>
      <c r="E1806" s="1" t="s">
        <v>163</v>
      </c>
      <c r="F1806" s="1" t="s">
        <v>164</v>
      </c>
      <c r="G1806" s="1" t="s">
        <v>94</v>
      </c>
      <c r="H1806" s="1" t="s">
        <v>4036</v>
      </c>
      <c r="I1806" s="1" t="s">
        <v>133</v>
      </c>
      <c r="J1806" s="1" t="s">
        <v>27</v>
      </c>
      <c r="K1806" s="1" t="s">
        <v>2386</v>
      </c>
      <c r="L1806" s="1" t="s">
        <v>29</v>
      </c>
      <c r="M1806" s="1" t="s">
        <v>53</v>
      </c>
      <c r="N1806" s="1" t="s">
        <v>2387</v>
      </c>
      <c r="O1806">
        <v>77.951999999999998</v>
      </c>
      <c r="P1806">
        <v>3</v>
      </c>
      <c r="Q1806">
        <v>-11.6928</v>
      </c>
      <c r="R1806" s="1" t="s">
        <v>4424</v>
      </c>
      <c r="S1806">
        <v>2017</v>
      </c>
      <c r="T1806" s="1" t="s">
        <v>107</v>
      </c>
    </row>
    <row r="1807" spans="1:20" x14ac:dyDescent="0.25">
      <c r="A1807" s="1" t="s">
        <v>4037</v>
      </c>
      <c r="B1807" s="2">
        <v>43002</v>
      </c>
      <c r="C1807" s="2">
        <v>43002</v>
      </c>
      <c r="D1807" s="1" t="s">
        <v>417</v>
      </c>
      <c r="E1807" s="1" t="s">
        <v>455</v>
      </c>
      <c r="F1807" s="1" t="s">
        <v>456</v>
      </c>
      <c r="G1807" s="1" t="s">
        <v>24</v>
      </c>
      <c r="H1807" s="1" t="s">
        <v>183</v>
      </c>
      <c r="I1807" s="1" t="s">
        <v>184</v>
      </c>
      <c r="J1807" s="1" t="s">
        <v>51</v>
      </c>
      <c r="K1807" s="1" t="s">
        <v>688</v>
      </c>
      <c r="L1807" s="1" t="s">
        <v>29</v>
      </c>
      <c r="M1807" s="1" t="s">
        <v>53</v>
      </c>
      <c r="N1807" s="1" t="s">
        <v>689</v>
      </c>
      <c r="O1807">
        <v>199.8</v>
      </c>
      <c r="P1807">
        <v>10</v>
      </c>
      <c r="Q1807">
        <v>71.927999999999997</v>
      </c>
      <c r="R1807" s="1" t="s">
        <v>4427</v>
      </c>
      <c r="S1807">
        <v>2017</v>
      </c>
      <c r="T1807" s="1" t="s">
        <v>72</v>
      </c>
    </row>
    <row r="1808" spans="1:20" x14ac:dyDescent="0.25">
      <c r="A1808" s="1" t="s">
        <v>4038</v>
      </c>
      <c r="B1808" s="2">
        <v>42402</v>
      </c>
      <c r="C1808" s="2">
        <v>42404</v>
      </c>
      <c r="D1808" s="1" t="s">
        <v>21</v>
      </c>
      <c r="E1808" s="1" t="s">
        <v>1977</v>
      </c>
      <c r="F1808" s="1" t="s">
        <v>1978</v>
      </c>
      <c r="G1808" s="1" t="s">
        <v>24</v>
      </c>
      <c r="H1808" s="1" t="s">
        <v>680</v>
      </c>
      <c r="I1808" s="1" t="s">
        <v>707</v>
      </c>
      <c r="J1808" s="1" t="s">
        <v>27</v>
      </c>
      <c r="K1808" s="1" t="s">
        <v>2504</v>
      </c>
      <c r="L1808" s="1" t="s">
        <v>29</v>
      </c>
      <c r="M1808" s="1" t="s">
        <v>53</v>
      </c>
      <c r="N1808" s="1" t="s">
        <v>2505</v>
      </c>
      <c r="O1808">
        <v>18.690000000000001</v>
      </c>
      <c r="P1808">
        <v>7</v>
      </c>
      <c r="Q1808">
        <v>7.1021999999999998</v>
      </c>
      <c r="R1808" s="1" t="s">
        <v>4423</v>
      </c>
      <c r="S1808">
        <v>2016</v>
      </c>
      <c r="T1808" s="1" t="s">
        <v>289</v>
      </c>
    </row>
    <row r="1809" spans="1:20" x14ac:dyDescent="0.25">
      <c r="A1809" s="1" t="s">
        <v>4039</v>
      </c>
      <c r="B1809" s="2">
        <v>42064</v>
      </c>
      <c r="C1809" s="2">
        <v>42066</v>
      </c>
      <c r="D1809" s="1" t="s">
        <v>21</v>
      </c>
      <c r="E1809" s="1" t="s">
        <v>3247</v>
      </c>
      <c r="F1809" s="1" t="s">
        <v>3248</v>
      </c>
      <c r="G1809" s="1" t="s">
        <v>84</v>
      </c>
      <c r="H1809" s="1" t="s">
        <v>49</v>
      </c>
      <c r="I1809" s="1" t="s">
        <v>50</v>
      </c>
      <c r="J1809" s="1" t="s">
        <v>51</v>
      </c>
      <c r="K1809" s="1" t="s">
        <v>479</v>
      </c>
      <c r="L1809" s="1" t="s">
        <v>29</v>
      </c>
      <c r="M1809" s="1" t="s">
        <v>34</v>
      </c>
      <c r="N1809" s="1" t="s">
        <v>480</v>
      </c>
      <c r="O1809">
        <v>184.75200000000001</v>
      </c>
      <c r="P1809">
        <v>3</v>
      </c>
      <c r="Q1809">
        <v>-20.784600000000001</v>
      </c>
      <c r="R1809" s="1" t="s">
        <v>4423</v>
      </c>
      <c r="S1809">
        <v>2015</v>
      </c>
      <c r="T1809" s="1" t="s">
        <v>187</v>
      </c>
    </row>
    <row r="1810" spans="1:20" x14ac:dyDescent="0.25">
      <c r="A1810" s="1" t="s">
        <v>4040</v>
      </c>
      <c r="B1810" s="2">
        <v>42492</v>
      </c>
      <c r="C1810" s="2">
        <v>42496</v>
      </c>
      <c r="D1810" s="1" t="s">
        <v>37</v>
      </c>
      <c r="E1810" s="1" t="s">
        <v>2927</v>
      </c>
      <c r="F1810" s="1" t="s">
        <v>2928</v>
      </c>
      <c r="G1810" s="1" t="s">
        <v>24</v>
      </c>
      <c r="H1810" s="1" t="s">
        <v>519</v>
      </c>
      <c r="I1810" s="1" t="s">
        <v>86</v>
      </c>
      <c r="J1810" s="1" t="s">
        <v>87</v>
      </c>
      <c r="K1810" s="1" t="s">
        <v>2569</v>
      </c>
      <c r="L1810" s="1" t="s">
        <v>29</v>
      </c>
      <c r="M1810" s="1" t="s">
        <v>34</v>
      </c>
      <c r="N1810" s="1" t="s">
        <v>2570</v>
      </c>
      <c r="O1810">
        <v>366.74400000000003</v>
      </c>
      <c r="P1810">
        <v>4</v>
      </c>
      <c r="Q1810">
        <v>-110.0232</v>
      </c>
      <c r="R1810" s="1" t="s">
        <v>4424</v>
      </c>
      <c r="S1810">
        <v>2016</v>
      </c>
      <c r="T1810" s="1" t="s">
        <v>153</v>
      </c>
    </row>
    <row r="1811" spans="1:20" x14ac:dyDescent="0.25">
      <c r="A1811" s="1" t="s">
        <v>4041</v>
      </c>
      <c r="B1811" s="2">
        <v>42402</v>
      </c>
      <c r="C1811" s="2">
        <v>42408</v>
      </c>
      <c r="D1811" s="1" t="s">
        <v>37</v>
      </c>
      <c r="E1811" s="1" t="s">
        <v>1029</v>
      </c>
      <c r="F1811" s="1" t="s">
        <v>1030</v>
      </c>
      <c r="G1811" s="1" t="s">
        <v>84</v>
      </c>
      <c r="H1811" s="1" t="s">
        <v>95</v>
      </c>
      <c r="I1811" s="1" t="s">
        <v>86</v>
      </c>
      <c r="J1811" s="1" t="s">
        <v>87</v>
      </c>
      <c r="K1811" s="1" t="s">
        <v>911</v>
      </c>
      <c r="L1811" s="1" t="s">
        <v>29</v>
      </c>
      <c r="M1811" s="1" t="s">
        <v>53</v>
      </c>
      <c r="N1811" s="1" t="s">
        <v>912</v>
      </c>
      <c r="O1811">
        <v>73.784000000000006</v>
      </c>
      <c r="P1811">
        <v>2</v>
      </c>
      <c r="Q1811">
        <v>-77.473200000000006</v>
      </c>
      <c r="R1811" s="1" t="s">
        <v>4426</v>
      </c>
      <c r="S1811">
        <v>2016</v>
      </c>
      <c r="T1811" s="1" t="s">
        <v>289</v>
      </c>
    </row>
    <row r="1812" spans="1:20" x14ac:dyDescent="0.25">
      <c r="A1812" s="1" t="s">
        <v>4042</v>
      </c>
      <c r="B1812" s="2">
        <v>42890</v>
      </c>
      <c r="C1812" s="2">
        <v>42893</v>
      </c>
      <c r="D1812" s="1" t="s">
        <v>21</v>
      </c>
      <c r="E1812" s="1" t="s">
        <v>4043</v>
      </c>
      <c r="F1812" s="1" t="s">
        <v>4044</v>
      </c>
      <c r="G1812" s="1" t="s">
        <v>24</v>
      </c>
      <c r="H1812" s="1" t="s">
        <v>4045</v>
      </c>
      <c r="I1812" s="1" t="s">
        <v>86</v>
      </c>
      <c r="J1812" s="1" t="s">
        <v>87</v>
      </c>
      <c r="K1812" s="1" t="s">
        <v>1825</v>
      </c>
      <c r="L1812" s="1" t="s">
        <v>29</v>
      </c>
      <c r="M1812" s="1" t="s">
        <v>53</v>
      </c>
      <c r="N1812" s="1" t="s">
        <v>1826</v>
      </c>
      <c r="O1812">
        <v>30.335999999999999</v>
      </c>
      <c r="P1812">
        <v>6</v>
      </c>
      <c r="Q1812">
        <v>-17.443200000000001</v>
      </c>
      <c r="R1812" s="1" t="s">
        <v>4420</v>
      </c>
      <c r="S1812">
        <v>2017</v>
      </c>
      <c r="T1812" s="1" t="s">
        <v>55</v>
      </c>
    </row>
    <row r="1813" spans="1:20" x14ac:dyDescent="0.25">
      <c r="A1813" s="1" t="s">
        <v>4046</v>
      </c>
      <c r="B1813" s="2">
        <v>43073</v>
      </c>
      <c r="C1813" s="2">
        <v>43079</v>
      </c>
      <c r="D1813" s="1" t="s">
        <v>37</v>
      </c>
      <c r="E1813" s="1" t="s">
        <v>3703</v>
      </c>
      <c r="F1813" s="1" t="s">
        <v>3704</v>
      </c>
      <c r="G1813" s="1" t="s">
        <v>24</v>
      </c>
      <c r="H1813" s="1" t="s">
        <v>3554</v>
      </c>
      <c r="I1813" s="1" t="s">
        <v>354</v>
      </c>
      <c r="J1813" s="1" t="s">
        <v>63</v>
      </c>
      <c r="K1813" s="1" t="s">
        <v>3816</v>
      </c>
      <c r="L1813" s="1" t="s">
        <v>29</v>
      </c>
      <c r="M1813" s="1" t="s">
        <v>53</v>
      </c>
      <c r="N1813" s="1" t="s">
        <v>3817</v>
      </c>
      <c r="O1813">
        <v>12.99</v>
      </c>
      <c r="P1813">
        <v>1</v>
      </c>
      <c r="Q1813">
        <v>1.5588</v>
      </c>
      <c r="R1813" s="1" t="s">
        <v>4426</v>
      </c>
      <c r="S1813">
        <v>2017</v>
      </c>
      <c r="T1813" s="1" t="s">
        <v>90</v>
      </c>
    </row>
    <row r="1814" spans="1:20" x14ac:dyDescent="0.25">
      <c r="A1814" s="1" t="s">
        <v>4046</v>
      </c>
      <c r="B1814" s="2">
        <v>43073</v>
      </c>
      <c r="C1814" s="2">
        <v>43079</v>
      </c>
      <c r="D1814" s="1" t="s">
        <v>37</v>
      </c>
      <c r="E1814" s="1" t="s">
        <v>3703</v>
      </c>
      <c r="F1814" s="1" t="s">
        <v>3704</v>
      </c>
      <c r="G1814" s="1" t="s">
        <v>24</v>
      </c>
      <c r="H1814" s="1" t="s">
        <v>3554</v>
      </c>
      <c r="I1814" s="1" t="s">
        <v>354</v>
      </c>
      <c r="J1814" s="1" t="s">
        <v>63</v>
      </c>
      <c r="K1814" s="1" t="s">
        <v>243</v>
      </c>
      <c r="L1814" s="1" t="s">
        <v>29</v>
      </c>
      <c r="M1814" s="1" t="s">
        <v>34</v>
      </c>
      <c r="N1814" s="1" t="s">
        <v>244</v>
      </c>
      <c r="O1814">
        <v>182.22</v>
      </c>
      <c r="P1814">
        <v>3</v>
      </c>
      <c r="Q1814">
        <v>45.555</v>
      </c>
      <c r="R1814" s="1" t="s">
        <v>4426</v>
      </c>
      <c r="S1814">
        <v>2017</v>
      </c>
      <c r="T1814" s="1" t="s">
        <v>90</v>
      </c>
    </row>
    <row r="1815" spans="1:20" x14ac:dyDescent="0.25">
      <c r="A1815" s="1" t="s">
        <v>4046</v>
      </c>
      <c r="B1815" s="2">
        <v>43073</v>
      </c>
      <c r="C1815" s="2">
        <v>43079</v>
      </c>
      <c r="D1815" s="1" t="s">
        <v>37</v>
      </c>
      <c r="E1815" s="1" t="s">
        <v>3703</v>
      </c>
      <c r="F1815" s="1" t="s">
        <v>3704</v>
      </c>
      <c r="G1815" s="1" t="s">
        <v>24</v>
      </c>
      <c r="H1815" s="1" t="s">
        <v>3554</v>
      </c>
      <c r="I1815" s="1" t="s">
        <v>354</v>
      </c>
      <c r="J1815" s="1" t="s">
        <v>63</v>
      </c>
      <c r="K1815" s="1" t="s">
        <v>287</v>
      </c>
      <c r="L1815" s="1" t="s">
        <v>29</v>
      </c>
      <c r="M1815" s="1" t="s">
        <v>34</v>
      </c>
      <c r="N1815" s="1" t="s">
        <v>288</v>
      </c>
      <c r="O1815">
        <v>302.94</v>
      </c>
      <c r="P1815">
        <v>3</v>
      </c>
      <c r="Q1815">
        <v>18.176400000000001</v>
      </c>
      <c r="R1815" s="1" t="s">
        <v>4426</v>
      </c>
      <c r="S1815">
        <v>2017</v>
      </c>
      <c r="T1815" s="1" t="s">
        <v>90</v>
      </c>
    </row>
    <row r="1816" spans="1:20" x14ac:dyDescent="0.25">
      <c r="A1816" s="1" t="s">
        <v>4047</v>
      </c>
      <c r="B1816" s="2">
        <v>42380</v>
      </c>
      <c r="C1816" s="2">
        <v>42384</v>
      </c>
      <c r="D1816" s="1" t="s">
        <v>37</v>
      </c>
      <c r="E1816" s="1" t="s">
        <v>250</v>
      </c>
      <c r="F1816" s="1" t="s">
        <v>251</v>
      </c>
      <c r="G1816" s="1" t="s">
        <v>94</v>
      </c>
      <c r="H1816" s="1" t="s">
        <v>339</v>
      </c>
      <c r="I1816" s="1" t="s">
        <v>223</v>
      </c>
      <c r="J1816" s="1" t="s">
        <v>63</v>
      </c>
      <c r="K1816" s="1" t="s">
        <v>1090</v>
      </c>
      <c r="L1816" s="1" t="s">
        <v>29</v>
      </c>
      <c r="M1816" s="1" t="s">
        <v>53</v>
      </c>
      <c r="N1816" s="1" t="s">
        <v>1091</v>
      </c>
      <c r="O1816">
        <v>54.991999999999997</v>
      </c>
      <c r="P1816">
        <v>14</v>
      </c>
      <c r="Q1816">
        <v>8.9361999999999995</v>
      </c>
      <c r="R1816" s="1" t="s">
        <v>4424</v>
      </c>
      <c r="S1816">
        <v>2016</v>
      </c>
      <c r="T1816" s="1" t="s">
        <v>161</v>
      </c>
    </row>
    <row r="1817" spans="1:20" x14ac:dyDescent="0.25">
      <c r="A1817" s="1" t="s">
        <v>4048</v>
      </c>
      <c r="B1817" s="2">
        <v>42810</v>
      </c>
      <c r="C1817" s="2">
        <v>42810</v>
      </c>
      <c r="D1817" s="1" t="s">
        <v>417</v>
      </c>
      <c r="E1817" s="1" t="s">
        <v>3365</v>
      </c>
      <c r="F1817" s="1" t="s">
        <v>3366</v>
      </c>
      <c r="G1817" s="1" t="s">
        <v>24</v>
      </c>
      <c r="H1817" s="1" t="s">
        <v>339</v>
      </c>
      <c r="I1817" s="1" t="s">
        <v>223</v>
      </c>
      <c r="J1817" s="1" t="s">
        <v>63</v>
      </c>
      <c r="K1817" s="1" t="s">
        <v>2876</v>
      </c>
      <c r="L1817" s="1" t="s">
        <v>29</v>
      </c>
      <c r="M1817" s="1" t="s">
        <v>53</v>
      </c>
      <c r="N1817" s="1" t="s">
        <v>2877</v>
      </c>
      <c r="O1817">
        <v>51.264000000000003</v>
      </c>
      <c r="P1817">
        <v>6</v>
      </c>
      <c r="Q1817">
        <v>7.6896000000000004</v>
      </c>
      <c r="R1817" s="1" t="s">
        <v>4427</v>
      </c>
      <c r="S1817">
        <v>2017</v>
      </c>
      <c r="T1817" s="1" t="s">
        <v>187</v>
      </c>
    </row>
    <row r="1818" spans="1:20" x14ac:dyDescent="0.25">
      <c r="A1818" s="1" t="s">
        <v>4049</v>
      </c>
      <c r="B1818" s="2">
        <v>43049</v>
      </c>
      <c r="C1818" s="2">
        <v>43056</v>
      </c>
      <c r="D1818" s="1" t="s">
        <v>37</v>
      </c>
      <c r="E1818" s="1" t="s">
        <v>1273</v>
      </c>
      <c r="F1818" s="1" t="s">
        <v>1274</v>
      </c>
      <c r="G1818" s="1" t="s">
        <v>94</v>
      </c>
      <c r="H1818" s="1" t="s">
        <v>49</v>
      </c>
      <c r="I1818" s="1" t="s">
        <v>50</v>
      </c>
      <c r="J1818" s="1" t="s">
        <v>51</v>
      </c>
      <c r="K1818" s="1" t="s">
        <v>1841</v>
      </c>
      <c r="L1818" s="1" t="s">
        <v>29</v>
      </c>
      <c r="M1818" s="1" t="s">
        <v>34</v>
      </c>
      <c r="N1818" s="1" t="s">
        <v>1842</v>
      </c>
      <c r="O1818">
        <v>241.42400000000001</v>
      </c>
      <c r="P1818">
        <v>2</v>
      </c>
      <c r="Q1818">
        <v>-36.2136</v>
      </c>
      <c r="R1818" s="1" t="s">
        <v>4421</v>
      </c>
      <c r="S1818">
        <v>2017</v>
      </c>
      <c r="T1818" s="1" t="s">
        <v>32</v>
      </c>
    </row>
    <row r="1819" spans="1:20" x14ac:dyDescent="0.25">
      <c r="A1819" s="1" t="s">
        <v>4050</v>
      </c>
      <c r="B1819" s="2">
        <v>42704</v>
      </c>
      <c r="C1819" s="2">
        <v>42710</v>
      </c>
      <c r="D1819" s="1" t="s">
        <v>37</v>
      </c>
      <c r="E1819" s="1" t="s">
        <v>255</v>
      </c>
      <c r="F1819" s="1" t="s">
        <v>256</v>
      </c>
      <c r="G1819" s="1" t="s">
        <v>24</v>
      </c>
      <c r="H1819" s="1" t="s">
        <v>280</v>
      </c>
      <c r="I1819" s="1" t="s">
        <v>281</v>
      </c>
      <c r="J1819" s="1" t="s">
        <v>87</v>
      </c>
      <c r="K1819" s="1" t="s">
        <v>134</v>
      </c>
      <c r="L1819" s="1" t="s">
        <v>29</v>
      </c>
      <c r="M1819" s="1" t="s">
        <v>34</v>
      </c>
      <c r="N1819" s="1" t="s">
        <v>135</v>
      </c>
      <c r="O1819">
        <v>389.97</v>
      </c>
      <c r="P1819">
        <v>3</v>
      </c>
      <c r="Q1819">
        <v>35.097299999999997</v>
      </c>
      <c r="R1819" s="1" t="s">
        <v>4426</v>
      </c>
      <c r="S1819">
        <v>2016</v>
      </c>
      <c r="T1819" s="1" t="s">
        <v>32</v>
      </c>
    </row>
    <row r="1820" spans="1:20" x14ac:dyDescent="0.25">
      <c r="A1820" s="1" t="s">
        <v>4051</v>
      </c>
      <c r="B1820" s="2">
        <v>42360</v>
      </c>
      <c r="C1820" s="2">
        <v>42361</v>
      </c>
      <c r="D1820" s="1" t="s">
        <v>81</v>
      </c>
      <c r="E1820" s="1" t="s">
        <v>2022</v>
      </c>
      <c r="F1820" s="1" t="s">
        <v>2023</v>
      </c>
      <c r="G1820" s="1" t="s">
        <v>84</v>
      </c>
      <c r="H1820" s="1" t="s">
        <v>61</v>
      </c>
      <c r="I1820" s="1" t="s">
        <v>62</v>
      </c>
      <c r="J1820" s="1" t="s">
        <v>63</v>
      </c>
      <c r="K1820" s="1" t="s">
        <v>1081</v>
      </c>
      <c r="L1820" s="1" t="s">
        <v>29</v>
      </c>
      <c r="M1820" s="1" t="s">
        <v>34</v>
      </c>
      <c r="N1820" s="1" t="s">
        <v>1082</v>
      </c>
      <c r="O1820">
        <v>422.625</v>
      </c>
      <c r="P1820">
        <v>7</v>
      </c>
      <c r="Q1820">
        <v>0</v>
      </c>
      <c r="R1820" s="1" t="s">
        <v>4425</v>
      </c>
      <c r="S1820">
        <v>2015</v>
      </c>
      <c r="T1820" s="1" t="s">
        <v>90</v>
      </c>
    </row>
    <row r="1821" spans="1:20" x14ac:dyDescent="0.25">
      <c r="A1821" s="1" t="s">
        <v>4052</v>
      </c>
      <c r="B1821" s="2">
        <v>42456</v>
      </c>
      <c r="C1821" s="2">
        <v>42460</v>
      </c>
      <c r="D1821" s="1" t="s">
        <v>37</v>
      </c>
      <c r="E1821" s="1" t="s">
        <v>278</v>
      </c>
      <c r="F1821" s="1" t="s">
        <v>279</v>
      </c>
      <c r="G1821" s="1" t="s">
        <v>84</v>
      </c>
      <c r="H1821" s="1" t="s">
        <v>339</v>
      </c>
      <c r="I1821" s="1" t="s">
        <v>658</v>
      </c>
      <c r="J1821" s="1" t="s">
        <v>27</v>
      </c>
      <c r="K1821" s="1" t="s">
        <v>2786</v>
      </c>
      <c r="L1821" s="1" t="s">
        <v>29</v>
      </c>
      <c r="M1821" s="1" t="s">
        <v>53</v>
      </c>
      <c r="N1821" s="1" t="s">
        <v>2787</v>
      </c>
      <c r="O1821">
        <v>20.239999999999998</v>
      </c>
      <c r="P1821">
        <v>1</v>
      </c>
      <c r="Q1821">
        <v>8.7032000000000007</v>
      </c>
      <c r="R1821" s="1" t="s">
        <v>4424</v>
      </c>
      <c r="S1821">
        <v>2016</v>
      </c>
      <c r="T1821" s="1" t="s">
        <v>187</v>
      </c>
    </row>
    <row r="1822" spans="1:20" x14ac:dyDescent="0.25">
      <c r="A1822" s="1" t="s">
        <v>4052</v>
      </c>
      <c r="B1822" s="2">
        <v>42456</v>
      </c>
      <c r="C1822" s="2">
        <v>42460</v>
      </c>
      <c r="D1822" s="1" t="s">
        <v>37</v>
      </c>
      <c r="E1822" s="1" t="s">
        <v>278</v>
      </c>
      <c r="F1822" s="1" t="s">
        <v>279</v>
      </c>
      <c r="G1822" s="1" t="s">
        <v>84</v>
      </c>
      <c r="H1822" s="1" t="s">
        <v>339</v>
      </c>
      <c r="I1822" s="1" t="s">
        <v>658</v>
      </c>
      <c r="J1822" s="1" t="s">
        <v>27</v>
      </c>
      <c r="K1822" s="1" t="s">
        <v>2650</v>
      </c>
      <c r="L1822" s="1" t="s">
        <v>29</v>
      </c>
      <c r="M1822" s="1" t="s">
        <v>53</v>
      </c>
      <c r="N1822" s="1" t="s">
        <v>2651</v>
      </c>
      <c r="O1822">
        <v>39.92</v>
      </c>
      <c r="P1822">
        <v>4</v>
      </c>
      <c r="Q1822">
        <v>11.1776</v>
      </c>
      <c r="R1822" s="1" t="s">
        <v>4424</v>
      </c>
      <c r="S1822">
        <v>2016</v>
      </c>
      <c r="T1822" s="1" t="s">
        <v>187</v>
      </c>
    </row>
    <row r="1823" spans="1:20" x14ac:dyDescent="0.25">
      <c r="A1823" s="1" t="s">
        <v>4053</v>
      </c>
      <c r="B1823" s="2">
        <v>42258</v>
      </c>
      <c r="C1823" s="2">
        <v>42259</v>
      </c>
      <c r="D1823" s="1" t="s">
        <v>81</v>
      </c>
      <c r="E1823" s="1" t="s">
        <v>1071</v>
      </c>
      <c r="F1823" s="1" t="s">
        <v>1072</v>
      </c>
      <c r="G1823" s="1" t="s">
        <v>84</v>
      </c>
      <c r="H1823" s="1" t="s">
        <v>171</v>
      </c>
      <c r="I1823" s="1" t="s">
        <v>172</v>
      </c>
      <c r="J1823" s="1" t="s">
        <v>51</v>
      </c>
      <c r="K1823" s="1" t="s">
        <v>544</v>
      </c>
      <c r="L1823" s="1" t="s">
        <v>29</v>
      </c>
      <c r="M1823" s="1" t="s">
        <v>53</v>
      </c>
      <c r="N1823" s="1" t="s">
        <v>545</v>
      </c>
      <c r="O1823">
        <v>24.64</v>
      </c>
      <c r="P1823">
        <v>4</v>
      </c>
      <c r="Q1823">
        <v>4.0039999999999996</v>
      </c>
      <c r="R1823" s="1" t="s">
        <v>4425</v>
      </c>
      <c r="S1823">
        <v>2015</v>
      </c>
      <c r="T1823" s="1" t="s">
        <v>72</v>
      </c>
    </row>
    <row r="1824" spans="1:20" x14ac:dyDescent="0.25">
      <c r="A1824" s="1" t="s">
        <v>4054</v>
      </c>
      <c r="B1824" s="2">
        <v>42713</v>
      </c>
      <c r="C1824" s="2">
        <v>42715</v>
      </c>
      <c r="D1824" s="1" t="s">
        <v>81</v>
      </c>
      <c r="E1824" s="1" t="s">
        <v>3521</v>
      </c>
      <c r="F1824" s="1" t="s">
        <v>3522</v>
      </c>
      <c r="G1824" s="1" t="s">
        <v>24</v>
      </c>
      <c r="H1824" s="1" t="s">
        <v>869</v>
      </c>
      <c r="I1824" s="1" t="s">
        <v>707</v>
      </c>
      <c r="J1824" s="1" t="s">
        <v>27</v>
      </c>
      <c r="K1824" s="1" t="s">
        <v>1275</v>
      </c>
      <c r="L1824" s="1" t="s">
        <v>29</v>
      </c>
      <c r="M1824" s="1" t="s">
        <v>43</v>
      </c>
      <c r="N1824" s="1" t="s">
        <v>1276</v>
      </c>
      <c r="O1824">
        <v>1056.8599999999999</v>
      </c>
      <c r="P1824">
        <v>7</v>
      </c>
      <c r="Q1824">
        <v>158.529</v>
      </c>
      <c r="R1824" s="1" t="s">
        <v>4423</v>
      </c>
      <c r="S1824">
        <v>2016</v>
      </c>
      <c r="T1824" s="1" t="s">
        <v>90</v>
      </c>
    </row>
    <row r="1825" spans="1:20" x14ac:dyDescent="0.25">
      <c r="A1825" s="1" t="s">
        <v>4055</v>
      </c>
      <c r="B1825" s="2">
        <v>42727</v>
      </c>
      <c r="C1825" s="2">
        <v>42730</v>
      </c>
      <c r="D1825" s="1" t="s">
        <v>21</v>
      </c>
      <c r="E1825" s="1" t="s">
        <v>975</v>
      </c>
      <c r="F1825" s="1" t="s">
        <v>976</v>
      </c>
      <c r="G1825" s="1" t="s">
        <v>84</v>
      </c>
      <c r="H1825" s="1" t="s">
        <v>95</v>
      </c>
      <c r="I1825" s="1" t="s">
        <v>86</v>
      </c>
      <c r="J1825" s="1" t="s">
        <v>87</v>
      </c>
      <c r="K1825" s="1" t="s">
        <v>491</v>
      </c>
      <c r="L1825" s="1" t="s">
        <v>29</v>
      </c>
      <c r="M1825" s="1" t="s">
        <v>53</v>
      </c>
      <c r="N1825" s="1" t="s">
        <v>492</v>
      </c>
      <c r="O1825">
        <v>2.3279999999999998</v>
      </c>
      <c r="P1825">
        <v>2</v>
      </c>
      <c r="Q1825">
        <v>-0.75660000000000005</v>
      </c>
      <c r="R1825" s="1" t="s">
        <v>4420</v>
      </c>
      <c r="S1825">
        <v>2016</v>
      </c>
      <c r="T1825" s="1" t="s">
        <v>90</v>
      </c>
    </row>
    <row r="1826" spans="1:20" x14ac:dyDescent="0.25">
      <c r="A1826" s="1" t="s">
        <v>4056</v>
      </c>
      <c r="B1826" s="2">
        <v>42462</v>
      </c>
      <c r="C1826" s="2">
        <v>42466</v>
      </c>
      <c r="D1826" s="1" t="s">
        <v>21</v>
      </c>
      <c r="E1826" s="1" t="s">
        <v>655</v>
      </c>
      <c r="F1826" s="1" t="s">
        <v>656</v>
      </c>
      <c r="G1826" s="1" t="s">
        <v>84</v>
      </c>
      <c r="H1826" s="1" t="s">
        <v>896</v>
      </c>
      <c r="I1826" s="1" t="s">
        <v>230</v>
      </c>
      <c r="J1826" s="1" t="s">
        <v>87</v>
      </c>
      <c r="K1826" s="1" t="s">
        <v>1297</v>
      </c>
      <c r="L1826" s="1" t="s">
        <v>29</v>
      </c>
      <c r="M1826" s="1" t="s">
        <v>34</v>
      </c>
      <c r="N1826" s="1" t="s">
        <v>1298</v>
      </c>
      <c r="O1826">
        <v>1454.9</v>
      </c>
      <c r="P1826">
        <v>5</v>
      </c>
      <c r="Q1826">
        <v>378.274</v>
      </c>
      <c r="R1826" s="1" t="s">
        <v>4424</v>
      </c>
      <c r="S1826">
        <v>2016</v>
      </c>
      <c r="T1826" s="1" t="s">
        <v>107</v>
      </c>
    </row>
    <row r="1827" spans="1:20" x14ac:dyDescent="0.25">
      <c r="A1827" s="1" t="s">
        <v>4057</v>
      </c>
      <c r="B1827" s="2">
        <v>42855</v>
      </c>
      <c r="C1827" s="2">
        <v>42859</v>
      </c>
      <c r="D1827" s="1" t="s">
        <v>37</v>
      </c>
      <c r="E1827" s="1" t="s">
        <v>1135</v>
      </c>
      <c r="F1827" s="1" t="s">
        <v>1136</v>
      </c>
      <c r="G1827" s="1" t="s">
        <v>94</v>
      </c>
      <c r="H1827" s="1" t="s">
        <v>4058</v>
      </c>
      <c r="I1827" s="1" t="s">
        <v>41</v>
      </c>
      <c r="J1827" s="1" t="s">
        <v>27</v>
      </c>
      <c r="K1827" s="1" t="s">
        <v>3279</v>
      </c>
      <c r="L1827" s="1" t="s">
        <v>29</v>
      </c>
      <c r="M1827" s="1" t="s">
        <v>53</v>
      </c>
      <c r="N1827" s="1" t="s">
        <v>3280</v>
      </c>
      <c r="O1827">
        <v>220.70400000000001</v>
      </c>
      <c r="P1827">
        <v>6</v>
      </c>
      <c r="Q1827">
        <v>-8.2764000000000006</v>
      </c>
      <c r="R1827" s="1" t="s">
        <v>4424</v>
      </c>
      <c r="S1827">
        <v>2017</v>
      </c>
      <c r="T1827" s="1" t="s">
        <v>107</v>
      </c>
    </row>
    <row r="1828" spans="1:20" x14ac:dyDescent="0.25">
      <c r="A1828" s="1" t="s">
        <v>4059</v>
      </c>
      <c r="B1828" s="2">
        <v>42919</v>
      </c>
      <c r="C1828" s="2">
        <v>42920</v>
      </c>
      <c r="D1828" s="1" t="s">
        <v>81</v>
      </c>
      <c r="E1828" s="1" t="s">
        <v>2375</v>
      </c>
      <c r="F1828" s="1" t="s">
        <v>2376</v>
      </c>
      <c r="G1828" s="1" t="s">
        <v>24</v>
      </c>
      <c r="H1828" s="1" t="s">
        <v>500</v>
      </c>
      <c r="I1828" s="1" t="s">
        <v>875</v>
      </c>
      <c r="J1828" s="1" t="s">
        <v>63</v>
      </c>
      <c r="K1828" s="1" t="s">
        <v>926</v>
      </c>
      <c r="L1828" s="1" t="s">
        <v>29</v>
      </c>
      <c r="M1828" s="1" t="s">
        <v>53</v>
      </c>
      <c r="N1828" s="1" t="s">
        <v>927</v>
      </c>
      <c r="O1828">
        <v>102.3</v>
      </c>
      <c r="P1828">
        <v>1</v>
      </c>
      <c r="Q1828">
        <v>26.597999999999999</v>
      </c>
      <c r="R1828" s="1" t="s">
        <v>4425</v>
      </c>
      <c r="S1828">
        <v>2017</v>
      </c>
      <c r="T1828" s="1" t="s">
        <v>66</v>
      </c>
    </row>
    <row r="1829" spans="1:20" x14ac:dyDescent="0.25">
      <c r="A1829" s="1" t="s">
        <v>4060</v>
      </c>
      <c r="B1829" s="2">
        <v>43091</v>
      </c>
      <c r="C1829" s="2">
        <v>43095</v>
      </c>
      <c r="D1829" s="1" t="s">
        <v>37</v>
      </c>
      <c r="E1829" s="1" t="s">
        <v>1625</v>
      </c>
      <c r="F1829" s="1" t="s">
        <v>1626</v>
      </c>
      <c r="G1829" s="1" t="s">
        <v>24</v>
      </c>
      <c r="H1829" s="1" t="s">
        <v>885</v>
      </c>
      <c r="I1829" s="1" t="s">
        <v>158</v>
      </c>
      <c r="J1829" s="1" t="s">
        <v>87</v>
      </c>
      <c r="K1829" s="1" t="s">
        <v>426</v>
      </c>
      <c r="L1829" s="1" t="s">
        <v>29</v>
      </c>
      <c r="M1829" s="1" t="s">
        <v>43</v>
      </c>
      <c r="N1829" s="1" t="s">
        <v>427</v>
      </c>
      <c r="O1829">
        <v>607.52</v>
      </c>
      <c r="P1829">
        <v>2</v>
      </c>
      <c r="Q1829">
        <v>97.203199999999995</v>
      </c>
      <c r="R1829" s="1" t="s">
        <v>4424</v>
      </c>
      <c r="S1829">
        <v>2017</v>
      </c>
      <c r="T1829" s="1" t="s">
        <v>90</v>
      </c>
    </row>
    <row r="1830" spans="1:20" x14ac:dyDescent="0.25">
      <c r="A1830" s="1" t="s">
        <v>4061</v>
      </c>
      <c r="B1830" s="2">
        <v>41779</v>
      </c>
      <c r="C1830" s="2">
        <v>41781</v>
      </c>
      <c r="D1830" s="1" t="s">
        <v>21</v>
      </c>
      <c r="E1830" s="1" t="s">
        <v>1988</v>
      </c>
      <c r="F1830" s="1" t="s">
        <v>1989</v>
      </c>
      <c r="G1830" s="1" t="s">
        <v>84</v>
      </c>
      <c r="H1830" s="1" t="s">
        <v>4062</v>
      </c>
      <c r="I1830" s="1" t="s">
        <v>86</v>
      </c>
      <c r="J1830" s="1" t="s">
        <v>87</v>
      </c>
      <c r="K1830" s="1" t="s">
        <v>3429</v>
      </c>
      <c r="L1830" s="1" t="s">
        <v>29</v>
      </c>
      <c r="M1830" s="1" t="s">
        <v>53</v>
      </c>
      <c r="N1830" s="1" t="s">
        <v>3430</v>
      </c>
      <c r="O1830">
        <v>10.332000000000001</v>
      </c>
      <c r="P1830">
        <v>3</v>
      </c>
      <c r="Q1830">
        <v>-5.9409000000000001</v>
      </c>
      <c r="R1830" s="1" t="s">
        <v>4423</v>
      </c>
      <c r="S1830">
        <v>2014</v>
      </c>
      <c r="T1830" s="1" t="s">
        <v>153</v>
      </c>
    </row>
    <row r="1831" spans="1:20" x14ac:dyDescent="0.25">
      <c r="A1831" s="1" t="s">
        <v>4063</v>
      </c>
      <c r="B1831" s="2">
        <v>42848</v>
      </c>
      <c r="C1831" s="2">
        <v>42851</v>
      </c>
      <c r="D1831" s="1" t="s">
        <v>81</v>
      </c>
      <c r="E1831" s="1" t="s">
        <v>38</v>
      </c>
      <c r="F1831" s="1" t="s">
        <v>39</v>
      </c>
      <c r="G1831" s="1" t="s">
        <v>24</v>
      </c>
      <c r="H1831" s="1" t="s">
        <v>4064</v>
      </c>
      <c r="I1831" s="1" t="s">
        <v>172</v>
      </c>
      <c r="J1831" s="1" t="s">
        <v>51</v>
      </c>
      <c r="K1831" s="1" t="s">
        <v>3034</v>
      </c>
      <c r="L1831" s="1" t="s">
        <v>29</v>
      </c>
      <c r="M1831" s="1" t="s">
        <v>53</v>
      </c>
      <c r="N1831" s="1" t="s">
        <v>3035</v>
      </c>
      <c r="O1831">
        <v>11.664</v>
      </c>
      <c r="P1831">
        <v>3</v>
      </c>
      <c r="Q1831">
        <v>3.3534000000000002</v>
      </c>
      <c r="R1831" s="1" t="s">
        <v>4420</v>
      </c>
      <c r="S1831">
        <v>2017</v>
      </c>
      <c r="T1831" s="1" t="s">
        <v>107</v>
      </c>
    </row>
    <row r="1832" spans="1:20" x14ac:dyDescent="0.25">
      <c r="A1832" s="1" t="s">
        <v>4065</v>
      </c>
      <c r="B1832" s="2">
        <v>41794</v>
      </c>
      <c r="C1832" s="2">
        <v>41799</v>
      </c>
      <c r="D1832" s="1" t="s">
        <v>37</v>
      </c>
      <c r="E1832" s="1" t="s">
        <v>1763</v>
      </c>
      <c r="F1832" s="1" t="s">
        <v>1764</v>
      </c>
      <c r="G1832" s="1" t="s">
        <v>24</v>
      </c>
      <c r="H1832" s="1" t="s">
        <v>165</v>
      </c>
      <c r="I1832" s="1" t="s">
        <v>114</v>
      </c>
      <c r="J1832" s="1" t="s">
        <v>63</v>
      </c>
      <c r="K1832" s="1" t="s">
        <v>1509</v>
      </c>
      <c r="L1832" s="1" t="s">
        <v>29</v>
      </c>
      <c r="M1832" s="1" t="s">
        <v>53</v>
      </c>
      <c r="N1832" s="1" t="s">
        <v>1510</v>
      </c>
      <c r="O1832">
        <v>56.96</v>
      </c>
      <c r="P1832">
        <v>2</v>
      </c>
      <c r="Q1832">
        <v>21.075199999999999</v>
      </c>
      <c r="R1832" s="1" t="s">
        <v>4422</v>
      </c>
      <c r="S1832">
        <v>2014</v>
      </c>
      <c r="T1832" s="1" t="s">
        <v>55</v>
      </c>
    </row>
    <row r="1833" spans="1:20" x14ac:dyDescent="0.25">
      <c r="A1833" s="1" t="s">
        <v>4065</v>
      </c>
      <c r="B1833" s="2">
        <v>41794</v>
      </c>
      <c r="C1833" s="2">
        <v>41799</v>
      </c>
      <c r="D1833" s="1" t="s">
        <v>37</v>
      </c>
      <c r="E1833" s="1" t="s">
        <v>1763</v>
      </c>
      <c r="F1833" s="1" t="s">
        <v>1764</v>
      </c>
      <c r="G1833" s="1" t="s">
        <v>24</v>
      </c>
      <c r="H1833" s="1" t="s">
        <v>165</v>
      </c>
      <c r="I1833" s="1" t="s">
        <v>114</v>
      </c>
      <c r="J1833" s="1" t="s">
        <v>63</v>
      </c>
      <c r="K1833" s="1" t="s">
        <v>727</v>
      </c>
      <c r="L1833" s="1" t="s">
        <v>29</v>
      </c>
      <c r="M1833" s="1" t="s">
        <v>30</v>
      </c>
      <c r="N1833" s="1" t="s">
        <v>728</v>
      </c>
      <c r="O1833">
        <v>353.56799999999998</v>
      </c>
      <c r="P1833">
        <v>2</v>
      </c>
      <c r="Q1833">
        <v>-44.195999999999998</v>
      </c>
      <c r="R1833" s="1" t="s">
        <v>4422</v>
      </c>
      <c r="S1833">
        <v>2014</v>
      </c>
      <c r="T1833" s="1" t="s">
        <v>55</v>
      </c>
    </row>
    <row r="1834" spans="1:20" x14ac:dyDescent="0.25">
      <c r="A1834" s="1" t="s">
        <v>4065</v>
      </c>
      <c r="B1834" s="2">
        <v>41794</v>
      </c>
      <c r="C1834" s="2">
        <v>41799</v>
      </c>
      <c r="D1834" s="1" t="s">
        <v>37</v>
      </c>
      <c r="E1834" s="1" t="s">
        <v>1763</v>
      </c>
      <c r="F1834" s="1" t="s">
        <v>1764</v>
      </c>
      <c r="G1834" s="1" t="s">
        <v>24</v>
      </c>
      <c r="H1834" s="1" t="s">
        <v>165</v>
      </c>
      <c r="I1834" s="1" t="s">
        <v>114</v>
      </c>
      <c r="J1834" s="1" t="s">
        <v>63</v>
      </c>
      <c r="K1834" s="1" t="s">
        <v>968</v>
      </c>
      <c r="L1834" s="1" t="s">
        <v>29</v>
      </c>
      <c r="M1834" s="1" t="s">
        <v>53</v>
      </c>
      <c r="N1834" s="1" t="s">
        <v>969</v>
      </c>
      <c r="O1834">
        <v>13.96</v>
      </c>
      <c r="P1834">
        <v>2</v>
      </c>
      <c r="Q1834">
        <v>6.7008000000000001</v>
      </c>
      <c r="R1834" s="1" t="s">
        <v>4422</v>
      </c>
      <c r="S1834">
        <v>2014</v>
      </c>
      <c r="T1834" s="1" t="s">
        <v>55</v>
      </c>
    </row>
    <row r="1835" spans="1:20" x14ac:dyDescent="0.25">
      <c r="A1835" s="1" t="s">
        <v>4066</v>
      </c>
      <c r="B1835" s="2">
        <v>42797</v>
      </c>
      <c r="C1835" s="2">
        <v>42802</v>
      </c>
      <c r="D1835" s="1" t="s">
        <v>37</v>
      </c>
      <c r="E1835" s="1" t="s">
        <v>1017</v>
      </c>
      <c r="F1835" s="1" t="s">
        <v>1018</v>
      </c>
      <c r="G1835" s="1" t="s">
        <v>84</v>
      </c>
      <c r="H1835" s="1" t="s">
        <v>49</v>
      </c>
      <c r="I1835" s="1" t="s">
        <v>50</v>
      </c>
      <c r="J1835" s="1" t="s">
        <v>51</v>
      </c>
      <c r="K1835" s="1" t="s">
        <v>898</v>
      </c>
      <c r="L1835" s="1" t="s">
        <v>29</v>
      </c>
      <c r="M1835" s="1" t="s">
        <v>43</v>
      </c>
      <c r="N1835" s="1" t="s">
        <v>899</v>
      </c>
      <c r="O1835">
        <v>399.67200000000003</v>
      </c>
      <c r="P1835">
        <v>7</v>
      </c>
      <c r="Q1835">
        <v>-14.9877</v>
      </c>
      <c r="R1835" s="1" t="s">
        <v>4422</v>
      </c>
      <c r="S1835">
        <v>2017</v>
      </c>
      <c r="T1835" s="1" t="s">
        <v>187</v>
      </c>
    </row>
    <row r="1836" spans="1:20" x14ac:dyDescent="0.25">
      <c r="A1836" s="1" t="s">
        <v>4067</v>
      </c>
      <c r="B1836" s="2">
        <v>43045</v>
      </c>
      <c r="C1836" s="2">
        <v>43048</v>
      </c>
      <c r="D1836" s="1" t="s">
        <v>21</v>
      </c>
      <c r="E1836" s="1" t="s">
        <v>2406</v>
      </c>
      <c r="F1836" s="1" t="s">
        <v>2407</v>
      </c>
      <c r="G1836" s="1" t="s">
        <v>24</v>
      </c>
      <c r="H1836" s="1" t="s">
        <v>1730</v>
      </c>
      <c r="I1836" s="1" t="s">
        <v>86</v>
      </c>
      <c r="J1836" s="1" t="s">
        <v>87</v>
      </c>
      <c r="K1836" s="1" t="s">
        <v>861</v>
      </c>
      <c r="L1836" s="1" t="s">
        <v>29</v>
      </c>
      <c r="M1836" s="1" t="s">
        <v>53</v>
      </c>
      <c r="N1836" s="1" t="s">
        <v>862</v>
      </c>
      <c r="O1836">
        <v>30.56</v>
      </c>
      <c r="P1836">
        <v>5</v>
      </c>
      <c r="Q1836">
        <v>-19.864000000000001</v>
      </c>
      <c r="R1836" s="1" t="s">
        <v>4420</v>
      </c>
      <c r="S1836">
        <v>2017</v>
      </c>
      <c r="T1836" s="1" t="s">
        <v>32</v>
      </c>
    </row>
    <row r="1837" spans="1:20" x14ac:dyDescent="0.25">
      <c r="A1837" s="1" t="s">
        <v>4068</v>
      </c>
      <c r="B1837" s="2">
        <v>42254</v>
      </c>
      <c r="C1837" s="2">
        <v>42259</v>
      </c>
      <c r="D1837" s="1" t="s">
        <v>37</v>
      </c>
      <c r="E1837" s="1" t="s">
        <v>4069</v>
      </c>
      <c r="F1837" s="1" t="s">
        <v>4070</v>
      </c>
      <c r="G1837" s="1" t="s">
        <v>84</v>
      </c>
      <c r="H1837" s="1" t="s">
        <v>165</v>
      </c>
      <c r="I1837" s="1" t="s">
        <v>114</v>
      </c>
      <c r="J1837" s="1" t="s">
        <v>63</v>
      </c>
      <c r="K1837" s="1" t="s">
        <v>1982</v>
      </c>
      <c r="L1837" s="1" t="s">
        <v>29</v>
      </c>
      <c r="M1837" s="1" t="s">
        <v>43</v>
      </c>
      <c r="N1837" s="1" t="s">
        <v>1983</v>
      </c>
      <c r="O1837">
        <v>481.17599999999999</v>
      </c>
      <c r="P1837">
        <v>2</v>
      </c>
      <c r="Q1837">
        <v>-120.294</v>
      </c>
      <c r="R1837" s="1" t="s">
        <v>4422</v>
      </c>
      <c r="S1837">
        <v>2015</v>
      </c>
      <c r="T1837" s="1" t="s">
        <v>72</v>
      </c>
    </row>
    <row r="1838" spans="1:20" x14ac:dyDescent="0.25">
      <c r="A1838" s="1" t="s">
        <v>4071</v>
      </c>
      <c r="B1838" s="2">
        <v>42579</v>
      </c>
      <c r="C1838" s="2">
        <v>42580</v>
      </c>
      <c r="D1838" s="1" t="s">
        <v>81</v>
      </c>
      <c r="E1838" s="1" t="s">
        <v>601</v>
      </c>
      <c r="F1838" s="1" t="s">
        <v>602</v>
      </c>
      <c r="G1838" s="1" t="s">
        <v>24</v>
      </c>
      <c r="H1838" s="1" t="s">
        <v>3092</v>
      </c>
      <c r="I1838" s="1" t="s">
        <v>62</v>
      </c>
      <c r="J1838" s="1" t="s">
        <v>63</v>
      </c>
      <c r="K1838" s="1" t="s">
        <v>801</v>
      </c>
      <c r="L1838" s="1" t="s">
        <v>29</v>
      </c>
      <c r="M1838" s="1" t="s">
        <v>30</v>
      </c>
      <c r="N1838" s="1" t="s">
        <v>802</v>
      </c>
      <c r="O1838">
        <v>177.45</v>
      </c>
      <c r="P1838">
        <v>5</v>
      </c>
      <c r="Q1838">
        <v>-78.078000000000003</v>
      </c>
      <c r="R1838" s="1" t="s">
        <v>4425</v>
      </c>
      <c r="S1838">
        <v>2016</v>
      </c>
      <c r="T1838" s="1" t="s">
        <v>66</v>
      </c>
    </row>
    <row r="1839" spans="1:20" x14ac:dyDescent="0.25">
      <c r="A1839" s="1" t="s">
        <v>4072</v>
      </c>
      <c r="B1839" s="2">
        <v>42972</v>
      </c>
      <c r="C1839" s="2">
        <v>42976</v>
      </c>
      <c r="D1839" s="1" t="s">
        <v>37</v>
      </c>
      <c r="E1839" s="1" t="s">
        <v>730</v>
      </c>
      <c r="F1839" s="1" t="s">
        <v>731</v>
      </c>
      <c r="G1839" s="1" t="s">
        <v>24</v>
      </c>
      <c r="H1839" s="1" t="s">
        <v>61</v>
      </c>
      <c r="I1839" s="1" t="s">
        <v>62</v>
      </c>
      <c r="J1839" s="1" t="s">
        <v>63</v>
      </c>
      <c r="K1839" s="1" t="s">
        <v>28</v>
      </c>
      <c r="L1839" s="1" t="s">
        <v>29</v>
      </c>
      <c r="M1839" s="1" t="s">
        <v>30</v>
      </c>
      <c r="N1839" s="1" t="s">
        <v>31</v>
      </c>
      <c r="O1839">
        <v>130.97999999999999</v>
      </c>
      <c r="P1839">
        <v>2</v>
      </c>
      <c r="Q1839">
        <v>-89.066400000000002</v>
      </c>
      <c r="R1839" s="1" t="s">
        <v>4424</v>
      </c>
      <c r="S1839">
        <v>2017</v>
      </c>
      <c r="T1839" s="1" t="s">
        <v>245</v>
      </c>
    </row>
    <row r="1840" spans="1:20" x14ac:dyDescent="0.25">
      <c r="A1840" s="1" t="s">
        <v>4073</v>
      </c>
      <c r="B1840" s="2">
        <v>42852</v>
      </c>
      <c r="C1840" s="2">
        <v>42857</v>
      </c>
      <c r="D1840" s="1" t="s">
        <v>37</v>
      </c>
      <c r="E1840" s="1" t="s">
        <v>4074</v>
      </c>
      <c r="F1840" s="1" t="s">
        <v>4075</v>
      </c>
      <c r="G1840" s="1" t="s">
        <v>24</v>
      </c>
      <c r="H1840" s="1" t="s">
        <v>183</v>
      </c>
      <c r="I1840" s="1" t="s">
        <v>184</v>
      </c>
      <c r="J1840" s="1" t="s">
        <v>51</v>
      </c>
      <c r="K1840" s="1" t="s">
        <v>120</v>
      </c>
      <c r="L1840" s="1" t="s">
        <v>29</v>
      </c>
      <c r="M1840" s="1" t="s">
        <v>53</v>
      </c>
      <c r="N1840" s="1" t="s">
        <v>121</v>
      </c>
      <c r="O1840">
        <v>139.58000000000001</v>
      </c>
      <c r="P1840">
        <v>7</v>
      </c>
      <c r="Q1840">
        <v>39.0824</v>
      </c>
      <c r="R1840" s="1" t="s">
        <v>4422</v>
      </c>
      <c r="S1840">
        <v>2017</v>
      </c>
      <c r="T1840" s="1" t="s">
        <v>107</v>
      </c>
    </row>
    <row r="1841" spans="1:20" x14ac:dyDescent="0.25">
      <c r="A1841" s="1" t="s">
        <v>4076</v>
      </c>
      <c r="B1841" s="2">
        <v>42316</v>
      </c>
      <c r="C1841" s="2">
        <v>42323</v>
      </c>
      <c r="D1841" s="1" t="s">
        <v>37</v>
      </c>
      <c r="E1841" s="1" t="s">
        <v>1029</v>
      </c>
      <c r="F1841" s="1" t="s">
        <v>1030</v>
      </c>
      <c r="G1841" s="1" t="s">
        <v>84</v>
      </c>
      <c r="H1841" s="1" t="s">
        <v>597</v>
      </c>
      <c r="I1841" s="1" t="s">
        <v>1027</v>
      </c>
      <c r="J1841" s="1" t="s">
        <v>27</v>
      </c>
      <c r="K1841" s="1" t="s">
        <v>414</v>
      </c>
      <c r="L1841" s="1" t="s">
        <v>29</v>
      </c>
      <c r="M1841" s="1" t="s">
        <v>53</v>
      </c>
      <c r="N1841" s="1" t="s">
        <v>415</v>
      </c>
      <c r="O1841">
        <v>4.7119999999999997</v>
      </c>
      <c r="P1841">
        <v>1</v>
      </c>
      <c r="Q1841">
        <v>1.4136</v>
      </c>
      <c r="R1841" s="1" t="s">
        <v>4421</v>
      </c>
      <c r="S1841">
        <v>2015</v>
      </c>
      <c r="T1841" s="1" t="s">
        <v>32</v>
      </c>
    </row>
    <row r="1842" spans="1:20" x14ac:dyDescent="0.25">
      <c r="A1842" s="1" t="s">
        <v>4077</v>
      </c>
      <c r="B1842" s="2">
        <v>42699</v>
      </c>
      <c r="C1842" s="2">
        <v>42703</v>
      </c>
      <c r="D1842" s="1" t="s">
        <v>37</v>
      </c>
      <c r="E1842" s="1" t="s">
        <v>2624</v>
      </c>
      <c r="F1842" s="1" t="s">
        <v>2625</v>
      </c>
      <c r="G1842" s="1" t="s">
        <v>24</v>
      </c>
      <c r="H1842" s="1" t="s">
        <v>49</v>
      </c>
      <c r="I1842" s="1" t="s">
        <v>50</v>
      </c>
      <c r="J1842" s="1" t="s">
        <v>51</v>
      </c>
      <c r="K1842" s="1" t="s">
        <v>247</v>
      </c>
      <c r="L1842" s="1" t="s">
        <v>29</v>
      </c>
      <c r="M1842" s="1" t="s">
        <v>34</v>
      </c>
      <c r="N1842" s="1" t="s">
        <v>248</v>
      </c>
      <c r="O1842">
        <v>194.352</v>
      </c>
      <c r="P1842">
        <v>3</v>
      </c>
      <c r="Q1842">
        <v>19.435199999999998</v>
      </c>
      <c r="R1842" s="1" t="s">
        <v>4424</v>
      </c>
      <c r="S1842">
        <v>2016</v>
      </c>
      <c r="T1842" s="1" t="s">
        <v>32</v>
      </c>
    </row>
    <row r="1843" spans="1:20" x14ac:dyDescent="0.25">
      <c r="A1843" s="1" t="s">
        <v>4078</v>
      </c>
      <c r="B1843" s="2">
        <v>42343</v>
      </c>
      <c r="C1843" s="2">
        <v>42346</v>
      </c>
      <c r="D1843" s="1" t="s">
        <v>81</v>
      </c>
      <c r="E1843" s="1" t="s">
        <v>2032</v>
      </c>
      <c r="F1843" s="1" t="s">
        <v>2033</v>
      </c>
      <c r="G1843" s="1" t="s">
        <v>84</v>
      </c>
      <c r="H1843" s="1" t="s">
        <v>2638</v>
      </c>
      <c r="I1843" s="1" t="s">
        <v>133</v>
      </c>
      <c r="J1843" s="1" t="s">
        <v>27</v>
      </c>
      <c r="K1843" s="1" t="s">
        <v>290</v>
      </c>
      <c r="L1843" s="1" t="s">
        <v>29</v>
      </c>
      <c r="M1843" s="1" t="s">
        <v>34</v>
      </c>
      <c r="N1843" s="1" t="s">
        <v>291</v>
      </c>
      <c r="O1843">
        <v>97.424000000000007</v>
      </c>
      <c r="P1843">
        <v>2</v>
      </c>
      <c r="Q1843">
        <v>10.9602</v>
      </c>
      <c r="R1843" s="1" t="s">
        <v>4420</v>
      </c>
      <c r="S1843">
        <v>2015</v>
      </c>
      <c r="T1843" s="1" t="s">
        <v>90</v>
      </c>
    </row>
    <row r="1844" spans="1:20" x14ac:dyDescent="0.25">
      <c r="A1844" s="1" t="s">
        <v>4079</v>
      </c>
      <c r="B1844" s="2">
        <v>41895</v>
      </c>
      <c r="C1844" s="2">
        <v>41895</v>
      </c>
      <c r="D1844" s="1" t="s">
        <v>417</v>
      </c>
      <c r="E1844" s="1" t="s">
        <v>682</v>
      </c>
      <c r="F1844" s="1" t="s">
        <v>683</v>
      </c>
      <c r="G1844" s="1" t="s">
        <v>24</v>
      </c>
      <c r="H1844" s="1" t="s">
        <v>183</v>
      </c>
      <c r="I1844" s="1" t="s">
        <v>184</v>
      </c>
      <c r="J1844" s="1" t="s">
        <v>51</v>
      </c>
      <c r="K1844" s="1" t="s">
        <v>371</v>
      </c>
      <c r="L1844" s="1" t="s">
        <v>29</v>
      </c>
      <c r="M1844" s="1" t="s">
        <v>53</v>
      </c>
      <c r="N1844" s="1" t="s">
        <v>372</v>
      </c>
      <c r="O1844">
        <v>14.19</v>
      </c>
      <c r="P1844">
        <v>3</v>
      </c>
      <c r="Q1844">
        <v>5.5340999999999996</v>
      </c>
      <c r="R1844" s="1" t="s">
        <v>4427</v>
      </c>
      <c r="S1844">
        <v>2014</v>
      </c>
      <c r="T1844" s="1" t="s">
        <v>72</v>
      </c>
    </row>
    <row r="1845" spans="1:20" x14ac:dyDescent="0.25">
      <c r="A1845" s="1" t="s">
        <v>4080</v>
      </c>
      <c r="B1845" s="2">
        <v>43064</v>
      </c>
      <c r="C1845" s="2">
        <v>43069</v>
      </c>
      <c r="D1845" s="1" t="s">
        <v>37</v>
      </c>
      <c r="E1845" s="1" t="s">
        <v>1422</v>
      </c>
      <c r="F1845" s="1" t="s">
        <v>1423</v>
      </c>
      <c r="G1845" s="1" t="s">
        <v>24</v>
      </c>
      <c r="H1845" s="1" t="s">
        <v>40</v>
      </c>
      <c r="I1845" s="1" t="s">
        <v>41</v>
      </c>
      <c r="J1845" s="1" t="s">
        <v>27</v>
      </c>
      <c r="K1845" s="1" t="s">
        <v>1437</v>
      </c>
      <c r="L1845" s="1" t="s">
        <v>29</v>
      </c>
      <c r="M1845" s="1" t="s">
        <v>30</v>
      </c>
      <c r="N1845" s="1" t="s">
        <v>1438</v>
      </c>
      <c r="O1845">
        <v>723.92</v>
      </c>
      <c r="P1845">
        <v>5</v>
      </c>
      <c r="Q1845">
        <v>-81.441000000000003</v>
      </c>
      <c r="R1845" s="1" t="s">
        <v>4422</v>
      </c>
      <c r="S1845">
        <v>2017</v>
      </c>
      <c r="T1845" s="1" t="s">
        <v>32</v>
      </c>
    </row>
    <row r="1846" spans="1:20" x14ac:dyDescent="0.25">
      <c r="A1846" s="1" t="s">
        <v>4081</v>
      </c>
      <c r="B1846" s="2">
        <v>42136</v>
      </c>
      <c r="C1846" s="2">
        <v>42141</v>
      </c>
      <c r="D1846" s="1" t="s">
        <v>37</v>
      </c>
      <c r="E1846" s="1" t="s">
        <v>1562</v>
      </c>
      <c r="F1846" s="1" t="s">
        <v>1563</v>
      </c>
      <c r="G1846" s="1" t="s">
        <v>24</v>
      </c>
      <c r="H1846" s="1" t="s">
        <v>95</v>
      </c>
      <c r="I1846" s="1" t="s">
        <v>86</v>
      </c>
      <c r="J1846" s="1" t="s">
        <v>87</v>
      </c>
      <c r="K1846" s="1" t="s">
        <v>2778</v>
      </c>
      <c r="L1846" s="1" t="s">
        <v>29</v>
      </c>
      <c r="M1846" s="1" t="s">
        <v>53</v>
      </c>
      <c r="N1846" s="1" t="s">
        <v>2779</v>
      </c>
      <c r="O1846">
        <v>21.968</v>
      </c>
      <c r="P1846">
        <v>4</v>
      </c>
      <c r="Q1846">
        <v>-15.9268</v>
      </c>
      <c r="R1846" s="1" t="s">
        <v>4422</v>
      </c>
      <c r="S1846">
        <v>2015</v>
      </c>
      <c r="T1846" s="1" t="s">
        <v>153</v>
      </c>
    </row>
    <row r="1847" spans="1:20" x14ac:dyDescent="0.25">
      <c r="A1847" s="1" t="s">
        <v>4082</v>
      </c>
      <c r="B1847" s="2">
        <v>42824</v>
      </c>
      <c r="C1847" s="2">
        <v>42826</v>
      </c>
      <c r="D1847" s="1" t="s">
        <v>21</v>
      </c>
      <c r="E1847" s="1" t="s">
        <v>3106</v>
      </c>
      <c r="F1847" s="1" t="s">
        <v>3107</v>
      </c>
      <c r="G1847" s="1" t="s">
        <v>24</v>
      </c>
      <c r="H1847" s="1" t="s">
        <v>2051</v>
      </c>
      <c r="I1847" s="1" t="s">
        <v>50</v>
      </c>
      <c r="J1847" s="1" t="s">
        <v>51</v>
      </c>
      <c r="K1847" s="1" t="s">
        <v>1533</v>
      </c>
      <c r="L1847" s="1" t="s">
        <v>29</v>
      </c>
      <c r="M1847" s="1" t="s">
        <v>53</v>
      </c>
      <c r="N1847" s="1" t="s">
        <v>1534</v>
      </c>
      <c r="O1847">
        <v>94.2</v>
      </c>
      <c r="P1847">
        <v>5</v>
      </c>
      <c r="Q1847">
        <v>39.564</v>
      </c>
      <c r="R1847" s="1" t="s">
        <v>4423</v>
      </c>
      <c r="S1847">
        <v>2017</v>
      </c>
      <c r="T1847" s="1" t="s">
        <v>187</v>
      </c>
    </row>
    <row r="1848" spans="1:20" x14ac:dyDescent="0.25">
      <c r="A1848" s="1" t="s">
        <v>4083</v>
      </c>
      <c r="B1848" s="2">
        <v>42000</v>
      </c>
      <c r="C1848" s="2">
        <v>42005</v>
      </c>
      <c r="D1848" s="1" t="s">
        <v>21</v>
      </c>
      <c r="E1848" s="1" t="s">
        <v>155</v>
      </c>
      <c r="F1848" s="1" t="s">
        <v>156</v>
      </c>
      <c r="G1848" s="1" t="s">
        <v>24</v>
      </c>
      <c r="H1848" s="1" t="s">
        <v>684</v>
      </c>
      <c r="I1848" s="1" t="s">
        <v>223</v>
      </c>
      <c r="J1848" s="1" t="s">
        <v>63</v>
      </c>
      <c r="K1848" s="1" t="s">
        <v>2597</v>
      </c>
      <c r="L1848" s="1" t="s">
        <v>29</v>
      </c>
      <c r="M1848" s="1" t="s">
        <v>53</v>
      </c>
      <c r="N1848" s="1" t="s">
        <v>2598</v>
      </c>
      <c r="O1848">
        <v>182.352</v>
      </c>
      <c r="P1848">
        <v>3</v>
      </c>
      <c r="Q1848">
        <v>-18.235199999999999</v>
      </c>
      <c r="R1848" s="1" t="s">
        <v>4422</v>
      </c>
      <c r="S1848">
        <v>2014</v>
      </c>
      <c r="T1848" s="1" t="s">
        <v>90</v>
      </c>
    </row>
    <row r="1849" spans="1:20" x14ac:dyDescent="0.25">
      <c r="A1849" s="1" t="s">
        <v>4084</v>
      </c>
      <c r="B1849" s="2">
        <v>42782</v>
      </c>
      <c r="C1849" s="2">
        <v>42787</v>
      </c>
      <c r="D1849" s="1" t="s">
        <v>37</v>
      </c>
      <c r="E1849" s="1" t="s">
        <v>1621</v>
      </c>
      <c r="F1849" s="1" t="s">
        <v>1622</v>
      </c>
      <c r="G1849" s="1" t="s">
        <v>24</v>
      </c>
      <c r="H1849" s="1" t="s">
        <v>504</v>
      </c>
      <c r="I1849" s="1" t="s">
        <v>126</v>
      </c>
      <c r="J1849" s="1" t="s">
        <v>87</v>
      </c>
      <c r="K1849" s="1" t="s">
        <v>198</v>
      </c>
      <c r="L1849" s="1" t="s">
        <v>29</v>
      </c>
      <c r="M1849" s="1" t="s">
        <v>34</v>
      </c>
      <c r="N1849" s="1" t="s">
        <v>199</v>
      </c>
      <c r="O1849">
        <v>600.55799999999999</v>
      </c>
      <c r="P1849">
        <v>3</v>
      </c>
      <c r="Q1849">
        <v>-8.5793999999999997</v>
      </c>
      <c r="R1849" s="1" t="s">
        <v>4422</v>
      </c>
      <c r="S1849">
        <v>2017</v>
      </c>
      <c r="T1849" s="1" t="s">
        <v>289</v>
      </c>
    </row>
    <row r="1850" spans="1:20" x14ac:dyDescent="0.25">
      <c r="A1850" s="1" t="s">
        <v>4084</v>
      </c>
      <c r="B1850" s="2">
        <v>42782</v>
      </c>
      <c r="C1850" s="2">
        <v>42787</v>
      </c>
      <c r="D1850" s="1" t="s">
        <v>37</v>
      </c>
      <c r="E1850" s="1" t="s">
        <v>1621</v>
      </c>
      <c r="F1850" s="1" t="s">
        <v>1622</v>
      </c>
      <c r="G1850" s="1" t="s">
        <v>24</v>
      </c>
      <c r="H1850" s="1" t="s">
        <v>504</v>
      </c>
      <c r="I1850" s="1" t="s">
        <v>126</v>
      </c>
      <c r="J1850" s="1" t="s">
        <v>87</v>
      </c>
      <c r="K1850" s="1" t="s">
        <v>1302</v>
      </c>
      <c r="L1850" s="1" t="s">
        <v>29</v>
      </c>
      <c r="M1850" s="1" t="s">
        <v>53</v>
      </c>
      <c r="N1850" s="1" t="s">
        <v>2013</v>
      </c>
      <c r="O1850">
        <v>7.6920000000000002</v>
      </c>
      <c r="P1850">
        <v>1</v>
      </c>
      <c r="Q1850">
        <v>-3.6537000000000002</v>
      </c>
      <c r="R1850" s="1" t="s">
        <v>4422</v>
      </c>
      <c r="S1850">
        <v>2017</v>
      </c>
      <c r="T1850" s="1" t="s">
        <v>289</v>
      </c>
    </row>
    <row r="1851" spans="1:20" x14ac:dyDescent="0.25">
      <c r="A1851" s="1" t="s">
        <v>4085</v>
      </c>
      <c r="B1851" s="2">
        <v>43032</v>
      </c>
      <c r="C1851" s="2">
        <v>43034</v>
      </c>
      <c r="D1851" s="1" t="s">
        <v>81</v>
      </c>
      <c r="E1851" s="1" t="s">
        <v>395</v>
      </c>
      <c r="F1851" s="1" t="s">
        <v>396</v>
      </c>
      <c r="G1851" s="1" t="s">
        <v>24</v>
      </c>
      <c r="H1851" s="1" t="s">
        <v>4086</v>
      </c>
      <c r="I1851" s="1" t="s">
        <v>86</v>
      </c>
      <c r="J1851" s="1" t="s">
        <v>87</v>
      </c>
      <c r="K1851" s="1" t="s">
        <v>1456</v>
      </c>
      <c r="L1851" s="1" t="s">
        <v>29</v>
      </c>
      <c r="M1851" s="1" t="s">
        <v>43</v>
      </c>
      <c r="N1851" s="1" t="s">
        <v>1457</v>
      </c>
      <c r="O1851">
        <v>517.40499999999997</v>
      </c>
      <c r="P1851">
        <v>5</v>
      </c>
      <c r="Q1851">
        <v>-81.3065</v>
      </c>
      <c r="R1851" s="1" t="s">
        <v>4423</v>
      </c>
      <c r="S1851">
        <v>2017</v>
      </c>
      <c r="T1851" s="1" t="s">
        <v>45</v>
      </c>
    </row>
    <row r="1852" spans="1:20" x14ac:dyDescent="0.25">
      <c r="A1852" s="1" t="s">
        <v>4087</v>
      </c>
      <c r="B1852" s="2">
        <v>42993</v>
      </c>
      <c r="C1852" s="2">
        <v>42995</v>
      </c>
      <c r="D1852" s="1" t="s">
        <v>21</v>
      </c>
      <c r="E1852" s="1" t="s">
        <v>293</v>
      </c>
      <c r="F1852" s="1" t="s">
        <v>294</v>
      </c>
      <c r="G1852" s="1" t="s">
        <v>94</v>
      </c>
      <c r="H1852" s="1" t="s">
        <v>320</v>
      </c>
      <c r="I1852" s="1" t="s">
        <v>50</v>
      </c>
      <c r="J1852" s="1" t="s">
        <v>51</v>
      </c>
      <c r="K1852" s="1" t="s">
        <v>298</v>
      </c>
      <c r="L1852" s="1" t="s">
        <v>29</v>
      </c>
      <c r="M1852" s="1" t="s">
        <v>43</v>
      </c>
      <c r="N1852" s="1" t="s">
        <v>299</v>
      </c>
      <c r="O1852">
        <v>300.904</v>
      </c>
      <c r="P1852">
        <v>1</v>
      </c>
      <c r="Q1852">
        <v>11.283899999999999</v>
      </c>
      <c r="R1852" s="1" t="s">
        <v>4423</v>
      </c>
      <c r="S1852">
        <v>2017</v>
      </c>
      <c r="T1852" s="1" t="s">
        <v>72</v>
      </c>
    </row>
    <row r="1853" spans="1:20" x14ac:dyDescent="0.25">
      <c r="A1853" s="1" t="s">
        <v>4088</v>
      </c>
      <c r="B1853" s="2">
        <v>42901</v>
      </c>
      <c r="C1853" s="2">
        <v>42906</v>
      </c>
      <c r="D1853" s="1" t="s">
        <v>37</v>
      </c>
      <c r="E1853" s="1" t="s">
        <v>378</v>
      </c>
      <c r="F1853" s="1" t="s">
        <v>379</v>
      </c>
      <c r="G1853" s="1" t="s">
        <v>84</v>
      </c>
      <c r="H1853" s="1" t="s">
        <v>2638</v>
      </c>
      <c r="I1853" s="1" t="s">
        <v>133</v>
      </c>
      <c r="J1853" s="1" t="s">
        <v>27</v>
      </c>
      <c r="K1853" s="1" t="s">
        <v>307</v>
      </c>
      <c r="L1853" s="1" t="s">
        <v>29</v>
      </c>
      <c r="M1853" s="1" t="s">
        <v>53</v>
      </c>
      <c r="N1853" s="1" t="s">
        <v>308</v>
      </c>
      <c r="O1853">
        <v>31.167999999999999</v>
      </c>
      <c r="P1853">
        <v>4</v>
      </c>
      <c r="Q1853">
        <v>9.3504000000000005</v>
      </c>
      <c r="R1853" s="1" t="s">
        <v>4422</v>
      </c>
      <c r="S1853">
        <v>2017</v>
      </c>
      <c r="T1853" s="1" t="s">
        <v>55</v>
      </c>
    </row>
    <row r="1854" spans="1:20" x14ac:dyDescent="0.25">
      <c r="A1854" s="1" t="s">
        <v>4088</v>
      </c>
      <c r="B1854" s="2">
        <v>42901</v>
      </c>
      <c r="C1854" s="2">
        <v>42906</v>
      </c>
      <c r="D1854" s="1" t="s">
        <v>37</v>
      </c>
      <c r="E1854" s="1" t="s">
        <v>378</v>
      </c>
      <c r="F1854" s="1" t="s">
        <v>379</v>
      </c>
      <c r="G1854" s="1" t="s">
        <v>84</v>
      </c>
      <c r="H1854" s="1" t="s">
        <v>2638</v>
      </c>
      <c r="I1854" s="1" t="s">
        <v>133</v>
      </c>
      <c r="J1854" s="1" t="s">
        <v>27</v>
      </c>
      <c r="K1854" s="1" t="s">
        <v>2397</v>
      </c>
      <c r="L1854" s="1" t="s">
        <v>29</v>
      </c>
      <c r="M1854" s="1" t="s">
        <v>43</v>
      </c>
      <c r="N1854" s="1" t="s">
        <v>2398</v>
      </c>
      <c r="O1854">
        <v>120.96</v>
      </c>
      <c r="P1854">
        <v>2</v>
      </c>
      <c r="Q1854">
        <v>-28.224</v>
      </c>
      <c r="R1854" s="1" t="s">
        <v>4422</v>
      </c>
      <c r="S1854">
        <v>2017</v>
      </c>
      <c r="T1854" s="1" t="s">
        <v>55</v>
      </c>
    </row>
    <row r="1855" spans="1:20" x14ac:dyDescent="0.25">
      <c r="A1855" s="1" t="s">
        <v>4089</v>
      </c>
      <c r="B1855" s="2">
        <v>41890</v>
      </c>
      <c r="C1855" s="2">
        <v>41895</v>
      </c>
      <c r="D1855" s="1" t="s">
        <v>37</v>
      </c>
      <c r="E1855" s="1" t="s">
        <v>1231</v>
      </c>
      <c r="F1855" s="1" t="s">
        <v>1232</v>
      </c>
      <c r="G1855" s="1" t="s">
        <v>94</v>
      </c>
      <c r="H1855" s="1" t="s">
        <v>165</v>
      </c>
      <c r="I1855" s="1" t="s">
        <v>114</v>
      </c>
      <c r="J1855" s="1" t="s">
        <v>63</v>
      </c>
      <c r="K1855" s="1" t="s">
        <v>1270</v>
      </c>
      <c r="L1855" s="1" t="s">
        <v>29</v>
      </c>
      <c r="M1855" s="1" t="s">
        <v>34</v>
      </c>
      <c r="N1855" s="1" t="s">
        <v>1271</v>
      </c>
      <c r="O1855">
        <v>172.76400000000001</v>
      </c>
      <c r="P1855">
        <v>2</v>
      </c>
      <c r="Q1855">
        <v>13.437200000000001</v>
      </c>
      <c r="R1855" s="1" t="s">
        <v>4422</v>
      </c>
      <c r="S1855">
        <v>2014</v>
      </c>
      <c r="T1855" s="1" t="s">
        <v>72</v>
      </c>
    </row>
    <row r="1856" spans="1:20" x14ac:dyDescent="0.25">
      <c r="A1856" s="1" t="s">
        <v>4090</v>
      </c>
      <c r="B1856" s="2">
        <v>41959</v>
      </c>
      <c r="C1856" s="2">
        <v>41961</v>
      </c>
      <c r="D1856" s="1" t="s">
        <v>81</v>
      </c>
      <c r="E1856" s="1" t="s">
        <v>666</v>
      </c>
      <c r="F1856" s="1" t="s">
        <v>667</v>
      </c>
      <c r="G1856" s="1" t="s">
        <v>84</v>
      </c>
      <c r="H1856" s="1" t="s">
        <v>49</v>
      </c>
      <c r="I1856" s="1" t="s">
        <v>50</v>
      </c>
      <c r="J1856" s="1" t="s">
        <v>51</v>
      </c>
      <c r="K1856" s="1" t="s">
        <v>701</v>
      </c>
      <c r="L1856" s="1" t="s">
        <v>29</v>
      </c>
      <c r="M1856" s="1" t="s">
        <v>30</v>
      </c>
      <c r="N1856" s="1" t="s">
        <v>702</v>
      </c>
      <c r="O1856">
        <v>305.97449999999998</v>
      </c>
      <c r="P1856">
        <v>3</v>
      </c>
      <c r="Q1856">
        <v>25.197900000000001</v>
      </c>
      <c r="R1856" s="1" t="s">
        <v>4423</v>
      </c>
      <c r="S1856">
        <v>2014</v>
      </c>
      <c r="T1856" s="1" t="s">
        <v>32</v>
      </c>
    </row>
    <row r="1857" spans="1:20" x14ac:dyDescent="0.25">
      <c r="A1857" s="1" t="s">
        <v>4091</v>
      </c>
      <c r="B1857" s="2">
        <v>41701</v>
      </c>
      <c r="C1857" s="2">
        <v>41705</v>
      </c>
      <c r="D1857" s="1" t="s">
        <v>37</v>
      </c>
      <c r="E1857" s="1" t="s">
        <v>4012</v>
      </c>
      <c r="F1857" s="1" t="s">
        <v>4013</v>
      </c>
      <c r="G1857" s="1" t="s">
        <v>24</v>
      </c>
      <c r="H1857" s="1" t="s">
        <v>630</v>
      </c>
      <c r="I1857" s="1" t="s">
        <v>50</v>
      </c>
      <c r="J1857" s="1" t="s">
        <v>51</v>
      </c>
      <c r="K1857" s="1" t="s">
        <v>1238</v>
      </c>
      <c r="L1857" s="1" t="s">
        <v>29</v>
      </c>
      <c r="M1857" s="1" t="s">
        <v>43</v>
      </c>
      <c r="N1857" s="1" t="s">
        <v>1239</v>
      </c>
      <c r="O1857">
        <v>626.35199999999998</v>
      </c>
      <c r="P1857">
        <v>3</v>
      </c>
      <c r="Q1857">
        <v>-23.488199999999999</v>
      </c>
      <c r="R1857" s="1" t="s">
        <v>4424</v>
      </c>
      <c r="S1857">
        <v>2014</v>
      </c>
      <c r="T1857" s="1" t="s">
        <v>187</v>
      </c>
    </row>
    <row r="1858" spans="1:20" x14ac:dyDescent="0.25">
      <c r="A1858" s="1" t="s">
        <v>4092</v>
      </c>
      <c r="B1858" s="2">
        <v>42341</v>
      </c>
      <c r="C1858" s="2">
        <v>42345</v>
      </c>
      <c r="D1858" s="1" t="s">
        <v>37</v>
      </c>
      <c r="E1858" s="1" t="s">
        <v>1889</v>
      </c>
      <c r="F1858" s="1" t="s">
        <v>1890</v>
      </c>
      <c r="G1858" s="1" t="s">
        <v>24</v>
      </c>
      <c r="H1858" s="1" t="s">
        <v>320</v>
      </c>
      <c r="I1858" s="1" t="s">
        <v>50</v>
      </c>
      <c r="J1858" s="1" t="s">
        <v>51</v>
      </c>
      <c r="K1858" s="1" t="s">
        <v>1686</v>
      </c>
      <c r="L1858" s="1" t="s">
        <v>29</v>
      </c>
      <c r="M1858" s="1" t="s">
        <v>30</v>
      </c>
      <c r="N1858" s="1" t="s">
        <v>1905</v>
      </c>
      <c r="O1858">
        <v>359.49900000000002</v>
      </c>
      <c r="P1858">
        <v>3</v>
      </c>
      <c r="Q1858">
        <v>-29.605799999999999</v>
      </c>
      <c r="R1858" s="1" t="s">
        <v>4424</v>
      </c>
      <c r="S1858">
        <v>2015</v>
      </c>
      <c r="T1858" s="1" t="s">
        <v>90</v>
      </c>
    </row>
    <row r="1859" spans="1:20" x14ac:dyDescent="0.25">
      <c r="A1859" s="1" t="s">
        <v>4093</v>
      </c>
      <c r="B1859" s="2">
        <v>42533</v>
      </c>
      <c r="C1859" s="2">
        <v>42537</v>
      </c>
      <c r="D1859" s="1" t="s">
        <v>21</v>
      </c>
      <c r="E1859" s="1" t="s">
        <v>3689</v>
      </c>
      <c r="F1859" s="1" t="s">
        <v>3690</v>
      </c>
      <c r="G1859" s="1" t="s">
        <v>94</v>
      </c>
      <c r="H1859" s="1" t="s">
        <v>95</v>
      </c>
      <c r="I1859" s="1" t="s">
        <v>86</v>
      </c>
      <c r="J1859" s="1" t="s">
        <v>87</v>
      </c>
      <c r="K1859" s="1" t="s">
        <v>886</v>
      </c>
      <c r="L1859" s="1" t="s">
        <v>29</v>
      </c>
      <c r="M1859" s="1" t="s">
        <v>53</v>
      </c>
      <c r="N1859" s="1" t="s">
        <v>887</v>
      </c>
      <c r="O1859">
        <v>6.984</v>
      </c>
      <c r="P1859">
        <v>2</v>
      </c>
      <c r="Q1859">
        <v>-4.5396000000000001</v>
      </c>
      <c r="R1859" s="1" t="s">
        <v>4424</v>
      </c>
      <c r="S1859">
        <v>2016</v>
      </c>
      <c r="T1859" s="1" t="s">
        <v>55</v>
      </c>
    </row>
    <row r="1860" spans="1:20" x14ac:dyDescent="0.25">
      <c r="A1860" s="1" t="s">
        <v>4093</v>
      </c>
      <c r="B1860" s="2">
        <v>42533</v>
      </c>
      <c r="C1860" s="2">
        <v>42537</v>
      </c>
      <c r="D1860" s="1" t="s">
        <v>21</v>
      </c>
      <c r="E1860" s="1" t="s">
        <v>3689</v>
      </c>
      <c r="F1860" s="1" t="s">
        <v>3690</v>
      </c>
      <c r="G1860" s="1" t="s">
        <v>94</v>
      </c>
      <c r="H1860" s="1" t="s">
        <v>95</v>
      </c>
      <c r="I1860" s="1" t="s">
        <v>86</v>
      </c>
      <c r="J1860" s="1" t="s">
        <v>87</v>
      </c>
      <c r="K1860" s="1" t="s">
        <v>2721</v>
      </c>
      <c r="L1860" s="1" t="s">
        <v>29</v>
      </c>
      <c r="M1860" s="1" t="s">
        <v>34</v>
      </c>
      <c r="N1860" s="1" t="s">
        <v>2722</v>
      </c>
      <c r="O1860">
        <v>379.37200000000001</v>
      </c>
      <c r="P1860">
        <v>2</v>
      </c>
      <c r="Q1860">
        <v>-119.2312</v>
      </c>
      <c r="R1860" s="1" t="s">
        <v>4424</v>
      </c>
      <c r="S1860">
        <v>2016</v>
      </c>
      <c r="T1860" s="1" t="s">
        <v>55</v>
      </c>
    </row>
    <row r="1861" spans="1:20" x14ac:dyDescent="0.25">
      <c r="A1861" s="1" t="s">
        <v>4094</v>
      </c>
      <c r="B1861" s="2">
        <v>42365</v>
      </c>
      <c r="C1861" s="2">
        <v>42369</v>
      </c>
      <c r="D1861" s="1" t="s">
        <v>37</v>
      </c>
      <c r="E1861" s="1" t="s">
        <v>2608</v>
      </c>
      <c r="F1861" s="1" t="s">
        <v>2609</v>
      </c>
      <c r="G1861" s="1" t="s">
        <v>84</v>
      </c>
      <c r="H1861" s="1" t="s">
        <v>391</v>
      </c>
      <c r="I1861" s="1" t="s">
        <v>133</v>
      </c>
      <c r="J1861" s="1" t="s">
        <v>27</v>
      </c>
      <c r="K1861" s="1" t="s">
        <v>3964</v>
      </c>
      <c r="L1861" s="1" t="s">
        <v>29</v>
      </c>
      <c r="M1861" s="1" t="s">
        <v>53</v>
      </c>
      <c r="N1861" s="1" t="s">
        <v>3965</v>
      </c>
      <c r="O1861">
        <v>53.351999999999997</v>
      </c>
      <c r="P1861">
        <v>3</v>
      </c>
      <c r="Q1861">
        <v>16.005600000000001</v>
      </c>
      <c r="R1861" s="1" t="s">
        <v>4424</v>
      </c>
      <c r="S1861">
        <v>2015</v>
      </c>
      <c r="T1861" s="1" t="s">
        <v>90</v>
      </c>
    </row>
    <row r="1862" spans="1:20" x14ac:dyDescent="0.25">
      <c r="A1862" s="1" t="s">
        <v>4094</v>
      </c>
      <c r="B1862" s="2">
        <v>42365</v>
      </c>
      <c r="C1862" s="2">
        <v>42369</v>
      </c>
      <c r="D1862" s="1" t="s">
        <v>37</v>
      </c>
      <c r="E1862" s="1" t="s">
        <v>2608</v>
      </c>
      <c r="F1862" s="1" t="s">
        <v>2609</v>
      </c>
      <c r="G1862" s="1" t="s">
        <v>84</v>
      </c>
      <c r="H1862" s="1" t="s">
        <v>391</v>
      </c>
      <c r="I1862" s="1" t="s">
        <v>133</v>
      </c>
      <c r="J1862" s="1" t="s">
        <v>27</v>
      </c>
      <c r="K1862" s="1" t="s">
        <v>2724</v>
      </c>
      <c r="L1862" s="1" t="s">
        <v>29</v>
      </c>
      <c r="M1862" s="1" t="s">
        <v>30</v>
      </c>
      <c r="N1862" s="1" t="s">
        <v>2725</v>
      </c>
      <c r="O1862">
        <v>131.10400000000001</v>
      </c>
      <c r="P1862">
        <v>2</v>
      </c>
      <c r="Q1862">
        <v>8.1940000000000008</v>
      </c>
      <c r="R1862" s="1" t="s">
        <v>4424</v>
      </c>
      <c r="S1862">
        <v>2015</v>
      </c>
      <c r="T1862" s="1" t="s">
        <v>90</v>
      </c>
    </row>
    <row r="1863" spans="1:20" x14ac:dyDescent="0.25">
      <c r="A1863" s="1" t="s">
        <v>4095</v>
      </c>
      <c r="B1863" s="2">
        <v>42913</v>
      </c>
      <c r="C1863" s="2">
        <v>42915</v>
      </c>
      <c r="D1863" s="1" t="s">
        <v>21</v>
      </c>
      <c r="E1863" s="1" t="s">
        <v>3842</v>
      </c>
      <c r="F1863" s="1" t="s">
        <v>3843</v>
      </c>
      <c r="G1863" s="1" t="s">
        <v>84</v>
      </c>
      <c r="H1863" s="1" t="s">
        <v>183</v>
      </c>
      <c r="I1863" s="1" t="s">
        <v>184</v>
      </c>
      <c r="J1863" s="1" t="s">
        <v>51</v>
      </c>
      <c r="K1863" s="1" t="s">
        <v>557</v>
      </c>
      <c r="L1863" s="1" t="s">
        <v>29</v>
      </c>
      <c r="M1863" s="1" t="s">
        <v>53</v>
      </c>
      <c r="N1863" s="1" t="s">
        <v>558</v>
      </c>
      <c r="O1863">
        <v>126.3</v>
      </c>
      <c r="P1863">
        <v>3</v>
      </c>
      <c r="Q1863">
        <v>40.415999999999997</v>
      </c>
      <c r="R1863" s="1" t="s">
        <v>4423</v>
      </c>
      <c r="S1863">
        <v>2017</v>
      </c>
      <c r="T1863" s="1" t="s">
        <v>55</v>
      </c>
    </row>
    <row r="1864" spans="1:20" x14ac:dyDescent="0.25">
      <c r="A1864" s="1" t="s">
        <v>4096</v>
      </c>
      <c r="B1864" s="2">
        <v>42279</v>
      </c>
      <c r="C1864" s="2">
        <v>42281</v>
      </c>
      <c r="D1864" s="1" t="s">
        <v>81</v>
      </c>
      <c r="E1864" s="1" t="s">
        <v>1350</v>
      </c>
      <c r="F1864" s="1" t="s">
        <v>1351</v>
      </c>
      <c r="G1864" s="1" t="s">
        <v>24</v>
      </c>
      <c r="H1864" s="1" t="s">
        <v>4097</v>
      </c>
      <c r="I1864" s="1" t="s">
        <v>1508</v>
      </c>
      <c r="J1864" s="1" t="s">
        <v>51</v>
      </c>
      <c r="K1864" s="1" t="s">
        <v>166</v>
      </c>
      <c r="L1864" s="1" t="s">
        <v>29</v>
      </c>
      <c r="M1864" s="1" t="s">
        <v>53</v>
      </c>
      <c r="N1864" s="1" t="s">
        <v>167</v>
      </c>
      <c r="O1864">
        <v>11.032</v>
      </c>
      <c r="P1864">
        <v>1</v>
      </c>
      <c r="Q1864">
        <v>3.0337999999999998</v>
      </c>
      <c r="R1864" s="1" t="s">
        <v>4423</v>
      </c>
      <c r="S1864">
        <v>2015</v>
      </c>
      <c r="T1864" s="1" t="s">
        <v>45</v>
      </c>
    </row>
    <row r="1865" spans="1:20" x14ac:dyDescent="0.25">
      <c r="A1865" s="1" t="s">
        <v>4098</v>
      </c>
      <c r="B1865" s="2">
        <v>42768</v>
      </c>
      <c r="C1865" s="2">
        <v>42773</v>
      </c>
      <c r="D1865" s="1" t="s">
        <v>37</v>
      </c>
      <c r="E1865" s="1" t="s">
        <v>1991</v>
      </c>
      <c r="F1865" s="1" t="s">
        <v>1992</v>
      </c>
      <c r="G1865" s="1" t="s">
        <v>84</v>
      </c>
      <c r="H1865" s="1" t="s">
        <v>630</v>
      </c>
      <c r="I1865" s="1" t="s">
        <v>50</v>
      </c>
      <c r="J1865" s="1" t="s">
        <v>51</v>
      </c>
      <c r="K1865" s="1" t="s">
        <v>1001</v>
      </c>
      <c r="L1865" s="1" t="s">
        <v>29</v>
      </c>
      <c r="M1865" s="1" t="s">
        <v>53</v>
      </c>
      <c r="N1865" s="1" t="s">
        <v>1002</v>
      </c>
      <c r="O1865">
        <v>210.58</v>
      </c>
      <c r="P1865">
        <v>2</v>
      </c>
      <c r="Q1865">
        <v>12.6348</v>
      </c>
      <c r="R1865" s="1" t="s">
        <v>4422</v>
      </c>
      <c r="S1865">
        <v>2017</v>
      </c>
      <c r="T1865" s="1" t="s">
        <v>289</v>
      </c>
    </row>
    <row r="1866" spans="1:20" x14ac:dyDescent="0.25">
      <c r="A1866" s="1" t="s">
        <v>4099</v>
      </c>
      <c r="B1866" s="2">
        <v>42573</v>
      </c>
      <c r="C1866" s="2">
        <v>42577</v>
      </c>
      <c r="D1866" s="1" t="s">
        <v>37</v>
      </c>
      <c r="E1866" s="1" t="s">
        <v>2520</v>
      </c>
      <c r="F1866" s="1" t="s">
        <v>2521</v>
      </c>
      <c r="G1866" s="1" t="s">
        <v>84</v>
      </c>
      <c r="H1866" s="1" t="s">
        <v>149</v>
      </c>
      <c r="I1866" s="1" t="s">
        <v>1080</v>
      </c>
      <c r="J1866" s="1" t="s">
        <v>63</v>
      </c>
      <c r="K1866" s="1" t="s">
        <v>826</v>
      </c>
      <c r="L1866" s="1" t="s">
        <v>29</v>
      </c>
      <c r="M1866" s="1" t="s">
        <v>53</v>
      </c>
      <c r="N1866" s="1" t="s">
        <v>827</v>
      </c>
      <c r="O1866">
        <v>27.42</v>
      </c>
      <c r="P1866">
        <v>3</v>
      </c>
      <c r="Q1866">
        <v>9.3228000000000009</v>
      </c>
      <c r="R1866" s="1" t="s">
        <v>4424</v>
      </c>
      <c r="S1866">
        <v>2016</v>
      </c>
      <c r="T1866" s="1" t="s">
        <v>66</v>
      </c>
    </row>
    <row r="1867" spans="1:20" x14ac:dyDescent="0.25">
      <c r="A1867" s="1" t="s">
        <v>4100</v>
      </c>
      <c r="B1867" s="2">
        <v>42625</v>
      </c>
      <c r="C1867" s="2">
        <v>42626</v>
      </c>
      <c r="D1867" s="1" t="s">
        <v>417</v>
      </c>
      <c r="E1867" s="1" t="s">
        <v>3292</v>
      </c>
      <c r="F1867" s="1" t="s">
        <v>3293</v>
      </c>
      <c r="G1867" s="1" t="s">
        <v>94</v>
      </c>
      <c r="H1867" s="1" t="s">
        <v>856</v>
      </c>
      <c r="I1867" s="1" t="s">
        <v>172</v>
      </c>
      <c r="J1867" s="1" t="s">
        <v>51</v>
      </c>
      <c r="K1867" s="1" t="s">
        <v>994</v>
      </c>
      <c r="L1867" s="1" t="s">
        <v>29</v>
      </c>
      <c r="M1867" s="1" t="s">
        <v>34</v>
      </c>
      <c r="N1867" s="1" t="s">
        <v>995</v>
      </c>
      <c r="O1867">
        <v>83.135999999999996</v>
      </c>
      <c r="P1867">
        <v>4</v>
      </c>
      <c r="Q1867">
        <v>5.1959999999999997</v>
      </c>
      <c r="R1867" s="1" t="s">
        <v>4425</v>
      </c>
      <c r="S1867">
        <v>2016</v>
      </c>
      <c r="T1867" s="1" t="s">
        <v>72</v>
      </c>
    </row>
    <row r="1868" spans="1:20" x14ac:dyDescent="0.25">
      <c r="A1868" s="1" t="s">
        <v>4101</v>
      </c>
      <c r="B1868" s="2">
        <v>42553</v>
      </c>
      <c r="C1868" s="2">
        <v>42554</v>
      </c>
      <c r="D1868" s="1" t="s">
        <v>81</v>
      </c>
      <c r="E1868" s="1" t="s">
        <v>1502</v>
      </c>
      <c r="F1868" s="1" t="s">
        <v>1503</v>
      </c>
      <c r="G1868" s="1" t="s">
        <v>84</v>
      </c>
      <c r="H1868" s="1" t="s">
        <v>1859</v>
      </c>
      <c r="I1868" s="1" t="s">
        <v>86</v>
      </c>
      <c r="J1868" s="1" t="s">
        <v>87</v>
      </c>
      <c r="K1868" s="1" t="s">
        <v>846</v>
      </c>
      <c r="L1868" s="1" t="s">
        <v>29</v>
      </c>
      <c r="M1868" s="1" t="s">
        <v>34</v>
      </c>
      <c r="N1868" s="1" t="s">
        <v>847</v>
      </c>
      <c r="O1868">
        <v>528.42999999999995</v>
      </c>
      <c r="P1868">
        <v>5</v>
      </c>
      <c r="Q1868">
        <v>0</v>
      </c>
      <c r="R1868" s="1" t="s">
        <v>4425</v>
      </c>
      <c r="S1868">
        <v>2016</v>
      </c>
      <c r="T1868" s="1" t="s">
        <v>66</v>
      </c>
    </row>
    <row r="1869" spans="1:20" x14ac:dyDescent="0.25">
      <c r="A1869" s="1" t="s">
        <v>4102</v>
      </c>
      <c r="B1869" s="2">
        <v>43082</v>
      </c>
      <c r="C1869" s="2">
        <v>43087</v>
      </c>
      <c r="D1869" s="1" t="s">
        <v>37</v>
      </c>
      <c r="E1869" s="1" t="s">
        <v>4103</v>
      </c>
      <c r="F1869" s="1" t="s">
        <v>4104</v>
      </c>
      <c r="G1869" s="1" t="s">
        <v>84</v>
      </c>
      <c r="H1869" s="1" t="s">
        <v>165</v>
      </c>
      <c r="I1869" s="1" t="s">
        <v>114</v>
      </c>
      <c r="J1869" s="1" t="s">
        <v>63</v>
      </c>
      <c r="K1869" s="1" t="s">
        <v>701</v>
      </c>
      <c r="L1869" s="1" t="s">
        <v>29</v>
      </c>
      <c r="M1869" s="1" t="s">
        <v>30</v>
      </c>
      <c r="N1869" s="1" t="s">
        <v>702</v>
      </c>
      <c r="O1869">
        <v>287.976</v>
      </c>
      <c r="P1869">
        <v>3</v>
      </c>
      <c r="Q1869">
        <v>7.1993999999999998</v>
      </c>
      <c r="R1869" s="1" t="s">
        <v>4422</v>
      </c>
      <c r="S1869">
        <v>2017</v>
      </c>
      <c r="T1869" s="1" t="s">
        <v>90</v>
      </c>
    </row>
    <row r="1870" spans="1:20" x14ac:dyDescent="0.25">
      <c r="A1870" s="1" t="s">
        <v>4105</v>
      </c>
      <c r="B1870" s="2">
        <v>42064</v>
      </c>
      <c r="C1870" s="2">
        <v>42067</v>
      </c>
      <c r="D1870" s="1" t="s">
        <v>81</v>
      </c>
      <c r="E1870" s="1" t="s">
        <v>3913</v>
      </c>
      <c r="F1870" s="1" t="s">
        <v>3914</v>
      </c>
      <c r="G1870" s="1" t="s">
        <v>84</v>
      </c>
      <c r="H1870" s="1" t="s">
        <v>95</v>
      </c>
      <c r="I1870" s="1" t="s">
        <v>86</v>
      </c>
      <c r="J1870" s="1" t="s">
        <v>87</v>
      </c>
      <c r="K1870" s="1" t="s">
        <v>990</v>
      </c>
      <c r="L1870" s="1" t="s">
        <v>29</v>
      </c>
      <c r="M1870" s="1" t="s">
        <v>30</v>
      </c>
      <c r="N1870" s="1" t="s">
        <v>991</v>
      </c>
      <c r="O1870">
        <v>1227.9983999999999</v>
      </c>
      <c r="P1870">
        <v>6</v>
      </c>
      <c r="Q1870">
        <v>-36.117600000000003</v>
      </c>
      <c r="R1870" s="1" t="s">
        <v>4420</v>
      </c>
      <c r="S1870">
        <v>2015</v>
      </c>
      <c r="T1870" s="1" t="s">
        <v>187</v>
      </c>
    </row>
    <row r="1871" spans="1:20" x14ac:dyDescent="0.25">
      <c r="A1871" s="1" t="s">
        <v>4106</v>
      </c>
      <c r="B1871" s="2">
        <v>42628</v>
      </c>
      <c r="C1871" s="2">
        <v>42633</v>
      </c>
      <c r="D1871" s="1" t="s">
        <v>37</v>
      </c>
      <c r="E1871" s="1" t="s">
        <v>666</v>
      </c>
      <c r="F1871" s="1" t="s">
        <v>667</v>
      </c>
      <c r="G1871" s="1" t="s">
        <v>84</v>
      </c>
      <c r="H1871" s="1" t="s">
        <v>4107</v>
      </c>
      <c r="I1871" s="1" t="s">
        <v>2271</v>
      </c>
      <c r="J1871" s="1" t="s">
        <v>51</v>
      </c>
      <c r="K1871" s="1" t="s">
        <v>298</v>
      </c>
      <c r="L1871" s="1" t="s">
        <v>29</v>
      </c>
      <c r="M1871" s="1" t="s">
        <v>43</v>
      </c>
      <c r="N1871" s="1" t="s">
        <v>299</v>
      </c>
      <c r="O1871">
        <v>1128.3900000000001</v>
      </c>
      <c r="P1871">
        <v>3</v>
      </c>
      <c r="Q1871">
        <v>259.52969999999999</v>
      </c>
      <c r="R1871" s="1" t="s">
        <v>4422</v>
      </c>
      <c r="S1871">
        <v>2016</v>
      </c>
      <c r="T1871" s="1" t="s">
        <v>72</v>
      </c>
    </row>
    <row r="1872" spans="1:20" x14ac:dyDescent="0.25">
      <c r="A1872" s="1" t="s">
        <v>4108</v>
      </c>
      <c r="B1872" s="2">
        <v>42901</v>
      </c>
      <c r="C1872" s="2">
        <v>42905</v>
      </c>
      <c r="D1872" s="1" t="s">
        <v>37</v>
      </c>
      <c r="E1872" s="1" t="s">
        <v>1600</v>
      </c>
      <c r="F1872" s="1" t="s">
        <v>1601</v>
      </c>
      <c r="G1872" s="1" t="s">
        <v>24</v>
      </c>
      <c r="H1872" s="1" t="s">
        <v>1026</v>
      </c>
      <c r="I1872" s="1" t="s">
        <v>1027</v>
      </c>
      <c r="J1872" s="1" t="s">
        <v>27</v>
      </c>
      <c r="K1872" s="1" t="s">
        <v>1297</v>
      </c>
      <c r="L1872" s="1" t="s">
        <v>29</v>
      </c>
      <c r="M1872" s="1" t="s">
        <v>34</v>
      </c>
      <c r="N1872" s="1" t="s">
        <v>1298</v>
      </c>
      <c r="O1872">
        <v>698.35199999999998</v>
      </c>
      <c r="P1872">
        <v>3</v>
      </c>
      <c r="Q1872">
        <v>52.376399999999997</v>
      </c>
      <c r="R1872" s="1" t="s">
        <v>4424</v>
      </c>
      <c r="S1872">
        <v>2017</v>
      </c>
      <c r="T1872" s="1" t="s">
        <v>55</v>
      </c>
    </row>
    <row r="1873" spans="1:20" x14ac:dyDescent="0.25">
      <c r="A1873" s="1" t="s">
        <v>4108</v>
      </c>
      <c r="B1873" s="2">
        <v>42901</v>
      </c>
      <c r="C1873" s="2">
        <v>42905</v>
      </c>
      <c r="D1873" s="1" t="s">
        <v>37</v>
      </c>
      <c r="E1873" s="1" t="s">
        <v>1600</v>
      </c>
      <c r="F1873" s="1" t="s">
        <v>1601</v>
      </c>
      <c r="G1873" s="1" t="s">
        <v>24</v>
      </c>
      <c r="H1873" s="1" t="s">
        <v>1026</v>
      </c>
      <c r="I1873" s="1" t="s">
        <v>1027</v>
      </c>
      <c r="J1873" s="1" t="s">
        <v>27</v>
      </c>
      <c r="K1873" s="1" t="s">
        <v>1594</v>
      </c>
      <c r="L1873" s="1" t="s">
        <v>29</v>
      </c>
      <c r="M1873" s="1" t="s">
        <v>30</v>
      </c>
      <c r="N1873" s="1" t="s">
        <v>1595</v>
      </c>
      <c r="O1873">
        <v>77.727999999999994</v>
      </c>
      <c r="P1873">
        <v>2</v>
      </c>
      <c r="Q1873">
        <v>-3.8864000000000001</v>
      </c>
      <c r="R1873" s="1" t="s">
        <v>4424</v>
      </c>
      <c r="S1873">
        <v>2017</v>
      </c>
      <c r="T1873" s="1" t="s">
        <v>55</v>
      </c>
    </row>
    <row r="1874" spans="1:20" x14ac:dyDescent="0.25">
      <c r="A1874" s="1" t="s">
        <v>4109</v>
      </c>
      <c r="B1874" s="2">
        <v>42684</v>
      </c>
      <c r="C1874" s="2">
        <v>42686</v>
      </c>
      <c r="D1874" s="1" t="s">
        <v>81</v>
      </c>
      <c r="E1874" s="1" t="s">
        <v>2990</v>
      </c>
      <c r="F1874" s="1" t="s">
        <v>2991</v>
      </c>
      <c r="G1874" s="1" t="s">
        <v>24</v>
      </c>
      <c r="H1874" s="1" t="s">
        <v>3007</v>
      </c>
      <c r="I1874" s="1" t="s">
        <v>1513</v>
      </c>
      <c r="J1874" s="1" t="s">
        <v>87</v>
      </c>
      <c r="K1874" s="1" t="s">
        <v>1447</v>
      </c>
      <c r="L1874" s="1" t="s">
        <v>29</v>
      </c>
      <c r="M1874" s="1" t="s">
        <v>30</v>
      </c>
      <c r="N1874" s="1" t="s">
        <v>1448</v>
      </c>
      <c r="O1874">
        <v>341.96</v>
      </c>
      <c r="P1874">
        <v>2</v>
      </c>
      <c r="Q1874">
        <v>54.7136</v>
      </c>
      <c r="R1874" s="1" t="s">
        <v>4423</v>
      </c>
      <c r="S1874">
        <v>2016</v>
      </c>
      <c r="T1874" s="1" t="s">
        <v>32</v>
      </c>
    </row>
    <row r="1875" spans="1:20" x14ac:dyDescent="0.25">
      <c r="A1875" s="1" t="s">
        <v>4110</v>
      </c>
      <c r="B1875" s="2">
        <v>42625</v>
      </c>
      <c r="C1875" s="2">
        <v>42629</v>
      </c>
      <c r="D1875" s="1" t="s">
        <v>37</v>
      </c>
      <c r="E1875" s="1" t="s">
        <v>1988</v>
      </c>
      <c r="F1875" s="1" t="s">
        <v>1989</v>
      </c>
      <c r="G1875" s="1" t="s">
        <v>84</v>
      </c>
      <c r="H1875" s="1" t="s">
        <v>4111</v>
      </c>
      <c r="I1875" s="1" t="s">
        <v>114</v>
      </c>
      <c r="J1875" s="1" t="s">
        <v>63</v>
      </c>
      <c r="K1875" s="1" t="s">
        <v>2956</v>
      </c>
      <c r="L1875" s="1" t="s">
        <v>29</v>
      </c>
      <c r="M1875" s="1" t="s">
        <v>53</v>
      </c>
      <c r="N1875" s="1" t="s">
        <v>2957</v>
      </c>
      <c r="O1875">
        <v>40.479999999999997</v>
      </c>
      <c r="P1875">
        <v>2</v>
      </c>
      <c r="Q1875">
        <v>14.572800000000001</v>
      </c>
      <c r="R1875" s="1" t="s">
        <v>4424</v>
      </c>
      <c r="S1875">
        <v>2016</v>
      </c>
      <c r="T1875" s="1" t="s">
        <v>72</v>
      </c>
    </row>
    <row r="1876" spans="1:20" x14ac:dyDescent="0.25">
      <c r="A1876" s="1" t="s">
        <v>4112</v>
      </c>
      <c r="B1876" s="2">
        <v>42211</v>
      </c>
      <c r="C1876" s="2">
        <v>42216</v>
      </c>
      <c r="D1876" s="1" t="s">
        <v>37</v>
      </c>
      <c r="E1876" s="1" t="s">
        <v>1236</v>
      </c>
      <c r="F1876" s="1" t="s">
        <v>1237</v>
      </c>
      <c r="G1876" s="1" t="s">
        <v>84</v>
      </c>
      <c r="H1876" s="1" t="s">
        <v>1293</v>
      </c>
      <c r="I1876" s="1" t="s">
        <v>511</v>
      </c>
      <c r="J1876" s="1" t="s">
        <v>51</v>
      </c>
      <c r="K1876" s="1" t="s">
        <v>812</v>
      </c>
      <c r="L1876" s="1" t="s">
        <v>29</v>
      </c>
      <c r="M1876" s="1" t="s">
        <v>34</v>
      </c>
      <c r="N1876" s="1" t="s">
        <v>813</v>
      </c>
      <c r="O1876">
        <v>266.35199999999998</v>
      </c>
      <c r="P1876">
        <v>3</v>
      </c>
      <c r="Q1876">
        <v>13.317600000000001</v>
      </c>
      <c r="R1876" s="1" t="s">
        <v>4422</v>
      </c>
      <c r="S1876">
        <v>2015</v>
      </c>
      <c r="T1876" s="1" t="s">
        <v>66</v>
      </c>
    </row>
    <row r="1877" spans="1:20" x14ac:dyDescent="0.25">
      <c r="A1877" s="1" t="s">
        <v>4113</v>
      </c>
      <c r="B1877" s="2">
        <v>42323</v>
      </c>
      <c r="C1877" s="2">
        <v>42327</v>
      </c>
      <c r="D1877" s="1" t="s">
        <v>37</v>
      </c>
      <c r="E1877" s="1" t="s">
        <v>2587</v>
      </c>
      <c r="F1877" s="1" t="s">
        <v>2588</v>
      </c>
      <c r="G1877" s="1" t="s">
        <v>94</v>
      </c>
      <c r="H1877" s="1" t="s">
        <v>1067</v>
      </c>
      <c r="I1877" s="1" t="s">
        <v>707</v>
      </c>
      <c r="J1877" s="1" t="s">
        <v>27</v>
      </c>
      <c r="K1877" s="1" t="s">
        <v>688</v>
      </c>
      <c r="L1877" s="1" t="s">
        <v>29</v>
      </c>
      <c r="M1877" s="1" t="s">
        <v>53</v>
      </c>
      <c r="N1877" s="1" t="s">
        <v>689</v>
      </c>
      <c r="O1877">
        <v>39.96</v>
      </c>
      <c r="P1877">
        <v>2</v>
      </c>
      <c r="Q1877">
        <v>14.3856</v>
      </c>
      <c r="R1877" s="1" t="s">
        <v>4424</v>
      </c>
      <c r="S1877">
        <v>2015</v>
      </c>
      <c r="T1877" s="1" t="s">
        <v>32</v>
      </c>
    </row>
    <row r="1878" spans="1:20" x14ac:dyDescent="0.25">
      <c r="A1878" s="1" t="s">
        <v>4114</v>
      </c>
      <c r="B1878" s="2">
        <v>42187</v>
      </c>
      <c r="C1878" s="2">
        <v>42189</v>
      </c>
      <c r="D1878" s="1" t="s">
        <v>81</v>
      </c>
      <c r="E1878" s="1" t="s">
        <v>1526</v>
      </c>
      <c r="F1878" s="1" t="s">
        <v>1527</v>
      </c>
      <c r="G1878" s="1" t="s">
        <v>84</v>
      </c>
      <c r="H1878" s="1" t="s">
        <v>2008</v>
      </c>
      <c r="I1878" s="1" t="s">
        <v>1027</v>
      </c>
      <c r="J1878" s="1" t="s">
        <v>27</v>
      </c>
      <c r="K1878" s="1" t="s">
        <v>1112</v>
      </c>
      <c r="L1878" s="1" t="s">
        <v>29</v>
      </c>
      <c r="M1878" s="1" t="s">
        <v>53</v>
      </c>
      <c r="N1878" s="1" t="s">
        <v>1113</v>
      </c>
      <c r="O1878">
        <v>159.84</v>
      </c>
      <c r="P1878">
        <v>10</v>
      </c>
      <c r="Q1878">
        <v>45.954000000000001</v>
      </c>
      <c r="R1878" s="1" t="s">
        <v>4423</v>
      </c>
      <c r="S1878">
        <v>2015</v>
      </c>
      <c r="T1878" s="1" t="s">
        <v>66</v>
      </c>
    </row>
    <row r="1879" spans="1:20" x14ac:dyDescent="0.25">
      <c r="A1879" s="1" t="s">
        <v>4115</v>
      </c>
      <c r="B1879" s="2">
        <v>42258</v>
      </c>
      <c r="C1879" s="2">
        <v>42265</v>
      </c>
      <c r="D1879" s="1" t="s">
        <v>37</v>
      </c>
      <c r="E1879" s="1" t="s">
        <v>1642</v>
      </c>
      <c r="F1879" s="1" t="s">
        <v>1643</v>
      </c>
      <c r="G1879" s="1" t="s">
        <v>94</v>
      </c>
      <c r="H1879" s="1" t="s">
        <v>3554</v>
      </c>
      <c r="I1879" s="1" t="s">
        <v>354</v>
      </c>
      <c r="J1879" s="1" t="s">
        <v>63</v>
      </c>
      <c r="K1879" s="1" t="s">
        <v>1903</v>
      </c>
      <c r="L1879" s="1" t="s">
        <v>29</v>
      </c>
      <c r="M1879" s="1" t="s">
        <v>53</v>
      </c>
      <c r="N1879" s="1" t="s">
        <v>1904</v>
      </c>
      <c r="O1879">
        <v>8.92</v>
      </c>
      <c r="P1879">
        <v>4</v>
      </c>
      <c r="Q1879">
        <v>3.9247999999999998</v>
      </c>
      <c r="R1879" s="1" t="s">
        <v>4421</v>
      </c>
      <c r="S1879">
        <v>2015</v>
      </c>
      <c r="T1879" s="1" t="s">
        <v>72</v>
      </c>
    </row>
    <row r="1880" spans="1:20" x14ac:dyDescent="0.25">
      <c r="A1880" s="1" t="s">
        <v>4116</v>
      </c>
      <c r="B1880" s="2">
        <v>41902</v>
      </c>
      <c r="C1880" s="2">
        <v>41905</v>
      </c>
      <c r="D1880" s="1" t="s">
        <v>81</v>
      </c>
      <c r="E1880" s="1" t="s">
        <v>4117</v>
      </c>
      <c r="F1880" s="1" t="s">
        <v>4118</v>
      </c>
      <c r="G1880" s="1" t="s">
        <v>24</v>
      </c>
      <c r="H1880" s="1" t="s">
        <v>125</v>
      </c>
      <c r="I1880" s="1" t="s">
        <v>126</v>
      </c>
      <c r="J1880" s="1" t="s">
        <v>87</v>
      </c>
      <c r="K1880" s="1" t="s">
        <v>2613</v>
      </c>
      <c r="L1880" s="1" t="s">
        <v>29</v>
      </c>
      <c r="M1880" s="1" t="s">
        <v>30</v>
      </c>
      <c r="N1880" s="1" t="s">
        <v>2614</v>
      </c>
      <c r="O1880">
        <v>493.43</v>
      </c>
      <c r="P1880">
        <v>5</v>
      </c>
      <c r="Q1880">
        <v>-70.489999999999995</v>
      </c>
      <c r="R1880" s="1" t="s">
        <v>4420</v>
      </c>
      <c r="S1880">
        <v>2014</v>
      </c>
      <c r="T1880" s="1" t="s">
        <v>72</v>
      </c>
    </row>
    <row r="1881" spans="1:20" x14ac:dyDescent="0.25">
      <c r="A1881" s="1" t="s">
        <v>4119</v>
      </c>
      <c r="B1881" s="2">
        <v>43070</v>
      </c>
      <c r="C1881" s="2">
        <v>43075</v>
      </c>
      <c r="D1881" s="1" t="s">
        <v>37</v>
      </c>
      <c r="E1881" s="1" t="s">
        <v>2015</v>
      </c>
      <c r="F1881" s="1" t="s">
        <v>2016</v>
      </c>
      <c r="G1881" s="1" t="s">
        <v>84</v>
      </c>
      <c r="H1881" s="1" t="s">
        <v>183</v>
      </c>
      <c r="I1881" s="1" t="s">
        <v>184</v>
      </c>
      <c r="J1881" s="1" t="s">
        <v>51</v>
      </c>
      <c r="K1881" s="1" t="s">
        <v>414</v>
      </c>
      <c r="L1881" s="1" t="s">
        <v>29</v>
      </c>
      <c r="M1881" s="1" t="s">
        <v>53</v>
      </c>
      <c r="N1881" s="1" t="s">
        <v>415</v>
      </c>
      <c r="O1881">
        <v>70.680000000000007</v>
      </c>
      <c r="P1881">
        <v>12</v>
      </c>
      <c r="Q1881">
        <v>31.0992</v>
      </c>
      <c r="R1881" s="1" t="s">
        <v>4422</v>
      </c>
      <c r="S1881">
        <v>2017</v>
      </c>
      <c r="T1881" s="1" t="s">
        <v>90</v>
      </c>
    </row>
    <row r="1882" spans="1:20" x14ac:dyDescent="0.25">
      <c r="A1882" s="1" t="s">
        <v>4120</v>
      </c>
      <c r="B1882" s="2">
        <v>43070</v>
      </c>
      <c r="C1882" s="2">
        <v>43076</v>
      </c>
      <c r="D1882" s="1" t="s">
        <v>37</v>
      </c>
      <c r="E1882" s="1" t="s">
        <v>1470</v>
      </c>
      <c r="F1882" s="1" t="s">
        <v>1471</v>
      </c>
      <c r="G1882" s="1" t="s">
        <v>94</v>
      </c>
      <c r="H1882" s="1" t="s">
        <v>4121</v>
      </c>
      <c r="I1882" s="1" t="s">
        <v>50</v>
      </c>
      <c r="J1882" s="1" t="s">
        <v>51</v>
      </c>
      <c r="K1882" s="1" t="s">
        <v>716</v>
      </c>
      <c r="L1882" s="1" t="s">
        <v>29</v>
      </c>
      <c r="M1882" s="1" t="s">
        <v>53</v>
      </c>
      <c r="N1882" s="1" t="s">
        <v>717</v>
      </c>
      <c r="O1882">
        <v>629.64</v>
      </c>
      <c r="P1882">
        <v>9</v>
      </c>
      <c r="Q1882">
        <v>107.03879999999999</v>
      </c>
      <c r="R1882" s="1" t="s">
        <v>4426</v>
      </c>
      <c r="S1882">
        <v>2017</v>
      </c>
      <c r="T1882" s="1" t="s">
        <v>90</v>
      </c>
    </row>
    <row r="1883" spans="1:20" x14ac:dyDescent="0.25">
      <c r="A1883" s="1" t="s">
        <v>4122</v>
      </c>
      <c r="B1883" s="2">
        <v>42629</v>
      </c>
      <c r="C1883" s="2">
        <v>42631</v>
      </c>
      <c r="D1883" s="1" t="s">
        <v>81</v>
      </c>
      <c r="E1883" s="1" t="s">
        <v>4123</v>
      </c>
      <c r="F1883" s="1" t="s">
        <v>4124</v>
      </c>
      <c r="G1883" s="1" t="s">
        <v>94</v>
      </c>
      <c r="H1883" s="1" t="s">
        <v>339</v>
      </c>
      <c r="I1883" s="1" t="s">
        <v>658</v>
      </c>
      <c r="J1883" s="1" t="s">
        <v>27</v>
      </c>
      <c r="K1883" s="1" t="s">
        <v>127</v>
      </c>
      <c r="L1883" s="1" t="s">
        <v>29</v>
      </c>
      <c r="M1883" s="1" t="s">
        <v>34</v>
      </c>
      <c r="N1883" s="1" t="s">
        <v>128</v>
      </c>
      <c r="O1883">
        <v>121.78</v>
      </c>
      <c r="P1883">
        <v>2</v>
      </c>
      <c r="Q1883">
        <v>30.445</v>
      </c>
      <c r="R1883" s="1" t="s">
        <v>4423</v>
      </c>
      <c r="S1883">
        <v>2016</v>
      </c>
      <c r="T1883" s="1" t="s">
        <v>72</v>
      </c>
    </row>
    <row r="1884" spans="1:20" x14ac:dyDescent="0.25">
      <c r="A1884" s="1" t="s">
        <v>4125</v>
      </c>
      <c r="B1884" s="2">
        <v>42339</v>
      </c>
      <c r="C1884" s="2">
        <v>42344</v>
      </c>
      <c r="D1884" s="1" t="s">
        <v>37</v>
      </c>
      <c r="E1884" s="1" t="s">
        <v>3921</v>
      </c>
      <c r="F1884" s="1" t="s">
        <v>3922</v>
      </c>
      <c r="G1884" s="1" t="s">
        <v>94</v>
      </c>
      <c r="H1884" s="1" t="s">
        <v>630</v>
      </c>
      <c r="I1884" s="1" t="s">
        <v>50</v>
      </c>
      <c r="J1884" s="1" t="s">
        <v>51</v>
      </c>
      <c r="K1884" s="1" t="s">
        <v>1086</v>
      </c>
      <c r="L1884" s="1" t="s">
        <v>29</v>
      </c>
      <c r="M1884" s="1" t="s">
        <v>34</v>
      </c>
      <c r="N1884" s="1" t="s">
        <v>1087</v>
      </c>
      <c r="O1884">
        <v>2676.672</v>
      </c>
      <c r="P1884">
        <v>9</v>
      </c>
      <c r="Q1884">
        <v>267.66719999999998</v>
      </c>
      <c r="R1884" s="1" t="s">
        <v>4422</v>
      </c>
      <c r="S1884">
        <v>2015</v>
      </c>
      <c r="T1884" s="1" t="s">
        <v>90</v>
      </c>
    </row>
    <row r="1885" spans="1:20" x14ac:dyDescent="0.25">
      <c r="A1885" s="1" t="s">
        <v>4126</v>
      </c>
      <c r="B1885" s="2">
        <v>41856</v>
      </c>
      <c r="C1885" s="2">
        <v>41863</v>
      </c>
      <c r="D1885" s="1" t="s">
        <v>37</v>
      </c>
      <c r="E1885" s="1" t="s">
        <v>2781</v>
      </c>
      <c r="F1885" s="1" t="s">
        <v>2782</v>
      </c>
      <c r="G1885" s="1" t="s">
        <v>24</v>
      </c>
      <c r="H1885" s="1" t="s">
        <v>3523</v>
      </c>
      <c r="I1885" s="1" t="s">
        <v>86</v>
      </c>
      <c r="J1885" s="1" t="s">
        <v>87</v>
      </c>
      <c r="K1885" s="1" t="s">
        <v>1452</v>
      </c>
      <c r="L1885" s="1" t="s">
        <v>29</v>
      </c>
      <c r="M1885" s="1" t="s">
        <v>43</v>
      </c>
      <c r="N1885" s="1" t="s">
        <v>1453</v>
      </c>
      <c r="O1885">
        <v>489.23</v>
      </c>
      <c r="P1885">
        <v>2</v>
      </c>
      <c r="Q1885">
        <v>41.933999999999997</v>
      </c>
      <c r="R1885" s="1" t="s">
        <v>4421</v>
      </c>
      <c r="S1885">
        <v>2014</v>
      </c>
      <c r="T1885" s="1" t="s">
        <v>245</v>
      </c>
    </row>
    <row r="1886" spans="1:20" x14ac:dyDescent="0.25">
      <c r="A1886" s="1" t="s">
        <v>4127</v>
      </c>
      <c r="B1886" s="2">
        <v>42597</v>
      </c>
      <c r="C1886" s="2">
        <v>42604</v>
      </c>
      <c r="D1886" s="1" t="s">
        <v>37</v>
      </c>
      <c r="E1886" s="1" t="s">
        <v>590</v>
      </c>
      <c r="F1886" s="1" t="s">
        <v>591</v>
      </c>
      <c r="G1886" s="1" t="s">
        <v>24</v>
      </c>
      <c r="H1886" s="1" t="s">
        <v>49</v>
      </c>
      <c r="I1886" s="1" t="s">
        <v>50</v>
      </c>
      <c r="J1886" s="1" t="s">
        <v>51</v>
      </c>
      <c r="K1886" s="1" t="s">
        <v>708</v>
      </c>
      <c r="L1886" s="1" t="s">
        <v>29</v>
      </c>
      <c r="M1886" s="1" t="s">
        <v>53</v>
      </c>
      <c r="N1886" s="1" t="s">
        <v>709</v>
      </c>
      <c r="O1886">
        <v>312.02999999999997</v>
      </c>
      <c r="P1886">
        <v>3</v>
      </c>
      <c r="Q1886">
        <v>43.684199999999997</v>
      </c>
      <c r="R1886" s="1" t="s">
        <v>4421</v>
      </c>
      <c r="S1886">
        <v>2016</v>
      </c>
      <c r="T1886" s="1" t="s">
        <v>245</v>
      </c>
    </row>
    <row r="1887" spans="1:20" x14ac:dyDescent="0.25">
      <c r="A1887" s="1" t="s">
        <v>4128</v>
      </c>
      <c r="B1887" s="2">
        <v>42521</v>
      </c>
      <c r="C1887" s="2">
        <v>42525</v>
      </c>
      <c r="D1887" s="1" t="s">
        <v>37</v>
      </c>
      <c r="E1887" s="1" t="s">
        <v>1198</v>
      </c>
      <c r="F1887" s="1" t="s">
        <v>1199</v>
      </c>
      <c r="G1887" s="1" t="s">
        <v>24</v>
      </c>
      <c r="H1887" s="1" t="s">
        <v>504</v>
      </c>
      <c r="I1887" s="1" t="s">
        <v>126</v>
      </c>
      <c r="J1887" s="1" t="s">
        <v>87</v>
      </c>
      <c r="K1887" s="1" t="s">
        <v>3910</v>
      </c>
      <c r="L1887" s="1" t="s">
        <v>29</v>
      </c>
      <c r="M1887" s="1" t="s">
        <v>53</v>
      </c>
      <c r="N1887" s="1" t="s">
        <v>3911</v>
      </c>
      <c r="O1887">
        <v>32.064</v>
      </c>
      <c r="P1887">
        <v>3</v>
      </c>
      <c r="Q1887">
        <v>-12.8256</v>
      </c>
      <c r="R1887" s="1" t="s">
        <v>4424</v>
      </c>
      <c r="S1887">
        <v>2016</v>
      </c>
      <c r="T1887" s="1" t="s">
        <v>153</v>
      </c>
    </row>
    <row r="1888" spans="1:20" x14ac:dyDescent="0.25">
      <c r="A1888" s="1" t="s">
        <v>4128</v>
      </c>
      <c r="B1888" s="2">
        <v>42521</v>
      </c>
      <c r="C1888" s="2">
        <v>42525</v>
      </c>
      <c r="D1888" s="1" t="s">
        <v>37</v>
      </c>
      <c r="E1888" s="1" t="s">
        <v>1198</v>
      </c>
      <c r="F1888" s="1" t="s">
        <v>1199</v>
      </c>
      <c r="G1888" s="1" t="s">
        <v>24</v>
      </c>
      <c r="H1888" s="1" t="s">
        <v>504</v>
      </c>
      <c r="I1888" s="1" t="s">
        <v>126</v>
      </c>
      <c r="J1888" s="1" t="s">
        <v>87</v>
      </c>
      <c r="K1888" s="1" t="s">
        <v>2171</v>
      </c>
      <c r="L1888" s="1" t="s">
        <v>29</v>
      </c>
      <c r="M1888" s="1" t="s">
        <v>34</v>
      </c>
      <c r="N1888" s="1" t="s">
        <v>2172</v>
      </c>
      <c r="O1888">
        <v>191.07900000000001</v>
      </c>
      <c r="P1888">
        <v>3</v>
      </c>
      <c r="Q1888">
        <v>-38.215800000000002</v>
      </c>
      <c r="R1888" s="1" t="s">
        <v>4424</v>
      </c>
      <c r="S1888">
        <v>2016</v>
      </c>
      <c r="T1888" s="1" t="s">
        <v>153</v>
      </c>
    </row>
    <row r="1889" spans="1:20" x14ac:dyDescent="0.25">
      <c r="A1889" s="1" t="s">
        <v>4129</v>
      </c>
      <c r="B1889" s="2">
        <v>41731</v>
      </c>
      <c r="C1889" s="2">
        <v>41737</v>
      </c>
      <c r="D1889" s="1" t="s">
        <v>37</v>
      </c>
      <c r="E1889" s="1" t="s">
        <v>2567</v>
      </c>
      <c r="F1889" s="1" t="s">
        <v>2568</v>
      </c>
      <c r="G1889" s="1" t="s">
        <v>84</v>
      </c>
      <c r="H1889" s="1" t="s">
        <v>3530</v>
      </c>
      <c r="I1889" s="1" t="s">
        <v>707</v>
      </c>
      <c r="J1889" s="1" t="s">
        <v>27</v>
      </c>
      <c r="K1889" s="1" t="s">
        <v>3148</v>
      </c>
      <c r="L1889" s="1" t="s">
        <v>29</v>
      </c>
      <c r="M1889" s="1" t="s">
        <v>53</v>
      </c>
      <c r="N1889" s="1" t="s">
        <v>3149</v>
      </c>
      <c r="O1889">
        <v>177.68</v>
      </c>
      <c r="P1889">
        <v>2</v>
      </c>
      <c r="Q1889">
        <v>46.196800000000003</v>
      </c>
      <c r="R1889" s="1" t="s">
        <v>4426</v>
      </c>
      <c r="S1889">
        <v>2014</v>
      </c>
      <c r="T1889" s="1" t="s">
        <v>107</v>
      </c>
    </row>
    <row r="1890" spans="1:20" x14ac:dyDescent="0.25">
      <c r="A1890" s="1" t="s">
        <v>4130</v>
      </c>
      <c r="B1890" s="2">
        <v>42647</v>
      </c>
      <c r="C1890" s="2">
        <v>42651</v>
      </c>
      <c r="D1890" s="1" t="s">
        <v>37</v>
      </c>
      <c r="E1890" s="1" t="s">
        <v>2567</v>
      </c>
      <c r="F1890" s="1" t="s">
        <v>2568</v>
      </c>
      <c r="G1890" s="1" t="s">
        <v>84</v>
      </c>
      <c r="H1890" s="1" t="s">
        <v>4131</v>
      </c>
      <c r="I1890" s="1" t="s">
        <v>41</v>
      </c>
      <c r="J1890" s="1" t="s">
        <v>27</v>
      </c>
      <c r="K1890" s="1" t="s">
        <v>950</v>
      </c>
      <c r="L1890" s="1" t="s">
        <v>29</v>
      </c>
      <c r="M1890" s="1" t="s">
        <v>53</v>
      </c>
      <c r="N1890" s="1" t="s">
        <v>951</v>
      </c>
      <c r="O1890">
        <v>11.568</v>
      </c>
      <c r="P1890">
        <v>3</v>
      </c>
      <c r="Q1890">
        <v>2.6027999999999998</v>
      </c>
      <c r="R1890" s="1" t="s">
        <v>4424</v>
      </c>
      <c r="S1890">
        <v>2016</v>
      </c>
      <c r="T1890" s="1" t="s">
        <v>45</v>
      </c>
    </row>
    <row r="1891" spans="1:20" x14ac:dyDescent="0.25">
      <c r="A1891" s="1" t="s">
        <v>4132</v>
      </c>
      <c r="B1891" s="2">
        <v>42399</v>
      </c>
      <c r="C1891" s="2">
        <v>42403</v>
      </c>
      <c r="D1891" s="1" t="s">
        <v>37</v>
      </c>
      <c r="E1891" s="1" t="s">
        <v>4133</v>
      </c>
      <c r="F1891" s="1" t="s">
        <v>4134</v>
      </c>
      <c r="G1891" s="1" t="s">
        <v>24</v>
      </c>
      <c r="H1891" s="1" t="s">
        <v>993</v>
      </c>
      <c r="I1891" s="1" t="s">
        <v>126</v>
      </c>
      <c r="J1891" s="1" t="s">
        <v>87</v>
      </c>
      <c r="K1891" s="1" t="s">
        <v>603</v>
      </c>
      <c r="L1891" s="1" t="s">
        <v>29</v>
      </c>
      <c r="M1891" s="1" t="s">
        <v>43</v>
      </c>
      <c r="N1891" s="1" t="s">
        <v>604</v>
      </c>
      <c r="O1891">
        <v>626.1</v>
      </c>
      <c r="P1891">
        <v>3</v>
      </c>
      <c r="Q1891">
        <v>-538.44600000000003</v>
      </c>
      <c r="R1891" s="1" t="s">
        <v>4424</v>
      </c>
      <c r="S1891">
        <v>2016</v>
      </c>
      <c r="T1891" s="1" t="s">
        <v>161</v>
      </c>
    </row>
    <row r="1892" spans="1:20" x14ac:dyDescent="0.25">
      <c r="A1892" s="1" t="s">
        <v>4135</v>
      </c>
      <c r="B1892" s="2">
        <v>42107</v>
      </c>
      <c r="C1892" s="2">
        <v>42111</v>
      </c>
      <c r="D1892" s="1" t="s">
        <v>37</v>
      </c>
      <c r="E1892" s="1" t="s">
        <v>3043</v>
      </c>
      <c r="F1892" s="1" t="s">
        <v>3044</v>
      </c>
      <c r="G1892" s="1" t="s">
        <v>24</v>
      </c>
      <c r="H1892" s="1" t="s">
        <v>1859</v>
      </c>
      <c r="I1892" s="1" t="s">
        <v>86</v>
      </c>
      <c r="J1892" s="1" t="s">
        <v>87</v>
      </c>
      <c r="K1892" s="1" t="s">
        <v>690</v>
      </c>
      <c r="L1892" s="1" t="s">
        <v>29</v>
      </c>
      <c r="M1892" s="1" t="s">
        <v>43</v>
      </c>
      <c r="N1892" s="1" t="s">
        <v>691</v>
      </c>
      <c r="O1892">
        <v>609.98</v>
      </c>
      <c r="P1892">
        <v>4</v>
      </c>
      <c r="Q1892">
        <v>-113.282</v>
      </c>
      <c r="R1892" s="1" t="s">
        <v>4424</v>
      </c>
      <c r="S1892">
        <v>2015</v>
      </c>
      <c r="T1892" s="1" t="s">
        <v>107</v>
      </c>
    </row>
    <row r="1893" spans="1:20" x14ac:dyDescent="0.25">
      <c r="A1893" s="1" t="s">
        <v>4135</v>
      </c>
      <c r="B1893" s="2">
        <v>42107</v>
      </c>
      <c r="C1893" s="2">
        <v>42111</v>
      </c>
      <c r="D1893" s="1" t="s">
        <v>37</v>
      </c>
      <c r="E1893" s="1" t="s">
        <v>3043</v>
      </c>
      <c r="F1893" s="1" t="s">
        <v>3044</v>
      </c>
      <c r="G1893" s="1" t="s">
        <v>24</v>
      </c>
      <c r="H1893" s="1" t="s">
        <v>1859</v>
      </c>
      <c r="I1893" s="1" t="s">
        <v>86</v>
      </c>
      <c r="J1893" s="1" t="s">
        <v>87</v>
      </c>
      <c r="K1893" s="1" t="s">
        <v>1275</v>
      </c>
      <c r="L1893" s="1" t="s">
        <v>29</v>
      </c>
      <c r="M1893" s="1" t="s">
        <v>43</v>
      </c>
      <c r="N1893" s="1" t="s">
        <v>1276</v>
      </c>
      <c r="O1893">
        <v>211.37200000000001</v>
      </c>
      <c r="P1893">
        <v>2</v>
      </c>
      <c r="Q1893">
        <v>-45.293999999999997</v>
      </c>
      <c r="R1893" s="1" t="s">
        <v>4424</v>
      </c>
      <c r="S1893">
        <v>2015</v>
      </c>
      <c r="T1893" s="1" t="s">
        <v>107</v>
      </c>
    </row>
    <row r="1894" spans="1:20" x14ac:dyDescent="0.25">
      <c r="A1894" s="1" t="s">
        <v>4136</v>
      </c>
      <c r="B1894" s="2">
        <v>43087</v>
      </c>
      <c r="C1894" s="2">
        <v>43093</v>
      </c>
      <c r="D1894" s="1" t="s">
        <v>37</v>
      </c>
      <c r="E1894" s="1" t="s">
        <v>4019</v>
      </c>
      <c r="F1894" s="1" t="s">
        <v>4020</v>
      </c>
      <c r="G1894" s="1" t="s">
        <v>84</v>
      </c>
      <c r="H1894" s="1" t="s">
        <v>896</v>
      </c>
      <c r="I1894" s="1" t="s">
        <v>230</v>
      </c>
      <c r="J1894" s="1" t="s">
        <v>87</v>
      </c>
      <c r="K1894" s="1" t="s">
        <v>3573</v>
      </c>
      <c r="L1894" s="1" t="s">
        <v>29</v>
      </c>
      <c r="M1894" s="1" t="s">
        <v>53</v>
      </c>
      <c r="N1894" s="1" t="s">
        <v>3574</v>
      </c>
      <c r="O1894">
        <v>99.95</v>
      </c>
      <c r="P1894">
        <v>5</v>
      </c>
      <c r="Q1894">
        <v>22.988499999999998</v>
      </c>
      <c r="R1894" s="1" t="s">
        <v>4426</v>
      </c>
      <c r="S1894">
        <v>2017</v>
      </c>
      <c r="T1894" s="1" t="s">
        <v>90</v>
      </c>
    </row>
    <row r="1895" spans="1:20" x14ac:dyDescent="0.25">
      <c r="A1895" s="1" t="s">
        <v>4137</v>
      </c>
      <c r="B1895" s="2">
        <v>42443</v>
      </c>
      <c r="C1895" s="2">
        <v>42448</v>
      </c>
      <c r="D1895" s="1" t="s">
        <v>37</v>
      </c>
      <c r="E1895" s="1" t="s">
        <v>3488</v>
      </c>
      <c r="F1895" s="1" t="s">
        <v>3489</v>
      </c>
      <c r="G1895" s="1" t="s">
        <v>84</v>
      </c>
      <c r="H1895" s="1" t="s">
        <v>4138</v>
      </c>
      <c r="I1895" s="1" t="s">
        <v>230</v>
      </c>
      <c r="J1895" s="1" t="s">
        <v>87</v>
      </c>
      <c r="K1895" s="1" t="s">
        <v>1138</v>
      </c>
      <c r="L1895" s="1" t="s">
        <v>29</v>
      </c>
      <c r="M1895" s="1" t="s">
        <v>53</v>
      </c>
      <c r="N1895" s="1" t="s">
        <v>1139</v>
      </c>
      <c r="O1895">
        <v>16.739999999999998</v>
      </c>
      <c r="P1895">
        <v>2</v>
      </c>
      <c r="Q1895">
        <v>4.3524000000000003</v>
      </c>
      <c r="R1895" s="1" t="s">
        <v>4422</v>
      </c>
      <c r="S1895">
        <v>2016</v>
      </c>
      <c r="T1895" s="1" t="s">
        <v>187</v>
      </c>
    </row>
    <row r="1896" spans="1:20" x14ac:dyDescent="0.25">
      <c r="A1896" s="1" t="s">
        <v>4139</v>
      </c>
      <c r="B1896" s="2">
        <v>43018</v>
      </c>
      <c r="C1896" s="2">
        <v>43024</v>
      </c>
      <c r="D1896" s="1" t="s">
        <v>37</v>
      </c>
      <c r="E1896" s="1" t="s">
        <v>3339</v>
      </c>
      <c r="F1896" s="1" t="s">
        <v>3340</v>
      </c>
      <c r="G1896" s="1" t="s">
        <v>24</v>
      </c>
      <c r="H1896" s="1" t="s">
        <v>171</v>
      </c>
      <c r="I1896" s="1" t="s">
        <v>126</v>
      </c>
      <c r="J1896" s="1" t="s">
        <v>87</v>
      </c>
      <c r="K1896" s="1" t="s">
        <v>3207</v>
      </c>
      <c r="L1896" s="1" t="s">
        <v>29</v>
      </c>
      <c r="M1896" s="1" t="s">
        <v>34</v>
      </c>
      <c r="N1896" s="1" t="s">
        <v>3208</v>
      </c>
      <c r="O1896">
        <v>239.358</v>
      </c>
      <c r="P1896">
        <v>3</v>
      </c>
      <c r="Q1896">
        <v>-47.871600000000001</v>
      </c>
      <c r="R1896" s="1" t="s">
        <v>4426</v>
      </c>
      <c r="S1896">
        <v>2017</v>
      </c>
      <c r="T1896" s="1" t="s">
        <v>45</v>
      </c>
    </row>
    <row r="1897" spans="1:20" x14ac:dyDescent="0.25">
      <c r="A1897" s="1" t="s">
        <v>4140</v>
      </c>
      <c r="B1897" s="2">
        <v>43091</v>
      </c>
      <c r="C1897" s="2">
        <v>43097</v>
      </c>
      <c r="D1897" s="1" t="s">
        <v>37</v>
      </c>
      <c r="E1897" s="1" t="s">
        <v>4141</v>
      </c>
      <c r="F1897" s="1" t="s">
        <v>4142</v>
      </c>
      <c r="G1897" s="1" t="s">
        <v>24</v>
      </c>
      <c r="H1897" s="1" t="s">
        <v>468</v>
      </c>
      <c r="I1897" s="1" t="s">
        <v>133</v>
      </c>
      <c r="J1897" s="1" t="s">
        <v>27</v>
      </c>
      <c r="K1897" s="1" t="s">
        <v>334</v>
      </c>
      <c r="L1897" s="1" t="s">
        <v>29</v>
      </c>
      <c r="M1897" s="1" t="s">
        <v>43</v>
      </c>
      <c r="N1897" s="1" t="s">
        <v>335</v>
      </c>
      <c r="O1897">
        <v>934.95600000000002</v>
      </c>
      <c r="P1897">
        <v>6</v>
      </c>
      <c r="Q1897">
        <v>-249.32159999999999</v>
      </c>
      <c r="R1897" s="1" t="s">
        <v>4426</v>
      </c>
      <c r="S1897">
        <v>2017</v>
      </c>
      <c r="T1897" s="1" t="s">
        <v>90</v>
      </c>
    </row>
    <row r="1898" spans="1:20" x14ac:dyDescent="0.25">
      <c r="A1898" s="1" t="s">
        <v>4143</v>
      </c>
      <c r="B1898" s="2">
        <v>41859</v>
      </c>
      <c r="C1898" s="2">
        <v>41861</v>
      </c>
      <c r="D1898" s="1" t="s">
        <v>21</v>
      </c>
      <c r="E1898" s="1" t="s">
        <v>956</v>
      </c>
      <c r="F1898" s="1" t="s">
        <v>957</v>
      </c>
      <c r="G1898" s="1" t="s">
        <v>24</v>
      </c>
      <c r="H1898" s="1" t="s">
        <v>597</v>
      </c>
      <c r="I1898" s="1" t="s">
        <v>41</v>
      </c>
      <c r="J1898" s="1" t="s">
        <v>27</v>
      </c>
      <c r="K1898" s="1" t="s">
        <v>1594</v>
      </c>
      <c r="L1898" s="1" t="s">
        <v>29</v>
      </c>
      <c r="M1898" s="1" t="s">
        <v>30</v>
      </c>
      <c r="N1898" s="1" t="s">
        <v>1595</v>
      </c>
      <c r="O1898">
        <v>155.45599999999999</v>
      </c>
      <c r="P1898">
        <v>4</v>
      </c>
      <c r="Q1898">
        <v>-7.7728000000000002</v>
      </c>
      <c r="R1898" s="1" t="s">
        <v>4423</v>
      </c>
      <c r="S1898">
        <v>2014</v>
      </c>
      <c r="T1898" s="1" t="s">
        <v>245</v>
      </c>
    </row>
    <row r="1899" spans="1:20" x14ac:dyDescent="0.25">
      <c r="A1899" s="1" t="s">
        <v>4144</v>
      </c>
      <c r="B1899" s="2">
        <v>43094</v>
      </c>
      <c r="C1899" s="2">
        <v>43097</v>
      </c>
      <c r="D1899" s="1" t="s">
        <v>81</v>
      </c>
      <c r="E1899" s="1" t="s">
        <v>4145</v>
      </c>
      <c r="F1899" s="1" t="s">
        <v>4146</v>
      </c>
      <c r="G1899" s="1" t="s">
        <v>24</v>
      </c>
      <c r="H1899" s="1" t="s">
        <v>2041</v>
      </c>
      <c r="I1899" s="1" t="s">
        <v>41</v>
      </c>
      <c r="J1899" s="1" t="s">
        <v>27</v>
      </c>
      <c r="K1899" s="1" t="s">
        <v>2180</v>
      </c>
      <c r="L1899" s="1" t="s">
        <v>29</v>
      </c>
      <c r="M1899" s="1" t="s">
        <v>53</v>
      </c>
      <c r="N1899" s="1" t="s">
        <v>2181</v>
      </c>
      <c r="O1899">
        <v>21</v>
      </c>
      <c r="P1899">
        <v>3</v>
      </c>
      <c r="Q1899">
        <v>5.7750000000000004</v>
      </c>
      <c r="R1899" s="1" t="s">
        <v>4420</v>
      </c>
      <c r="S1899">
        <v>2017</v>
      </c>
      <c r="T1899" s="1" t="s">
        <v>90</v>
      </c>
    </row>
    <row r="1900" spans="1:20" x14ac:dyDescent="0.25">
      <c r="A1900" s="1" t="s">
        <v>4147</v>
      </c>
      <c r="B1900" s="2">
        <v>43064</v>
      </c>
      <c r="C1900" s="2">
        <v>43069</v>
      </c>
      <c r="D1900" s="1" t="s">
        <v>37</v>
      </c>
      <c r="E1900" s="1" t="s">
        <v>536</v>
      </c>
      <c r="F1900" s="1" t="s">
        <v>537</v>
      </c>
      <c r="G1900" s="1" t="s">
        <v>24</v>
      </c>
      <c r="H1900" s="1" t="s">
        <v>95</v>
      </c>
      <c r="I1900" s="1" t="s">
        <v>86</v>
      </c>
      <c r="J1900" s="1" t="s">
        <v>87</v>
      </c>
      <c r="K1900" s="1" t="s">
        <v>1073</v>
      </c>
      <c r="L1900" s="1" t="s">
        <v>29</v>
      </c>
      <c r="M1900" s="1" t="s">
        <v>34</v>
      </c>
      <c r="N1900" s="1" t="s">
        <v>1074</v>
      </c>
      <c r="O1900">
        <v>853.93</v>
      </c>
      <c r="P1900">
        <v>5</v>
      </c>
      <c r="Q1900">
        <v>-24.398</v>
      </c>
      <c r="R1900" s="1" t="s">
        <v>4422</v>
      </c>
      <c r="S1900">
        <v>2017</v>
      </c>
      <c r="T1900" s="1" t="s">
        <v>32</v>
      </c>
    </row>
    <row r="1901" spans="1:20" x14ac:dyDescent="0.25">
      <c r="A1901" s="1" t="s">
        <v>4148</v>
      </c>
      <c r="B1901" s="2">
        <v>42679</v>
      </c>
      <c r="C1901" s="2">
        <v>42681</v>
      </c>
      <c r="D1901" s="1" t="s">
        <v>81</v>
      </c>
      <c r="E1901" s="1" t="s">
        <v>3436</v>
      </c>
      <c r="F1901" s="1" t="s">
        <v>3437</v>
      </c>
      <c r="G1901" s="1" t="s">
        <v>24</v>
      </c>
      <c r="H1901" s="1" t="s">
        <v>3530</v>
      </c>
      <c r="I1901" s="1" t="s">
        <v>707</v>
      </c>
      <c r="J1901" s="1" t="s">
        <v>27</v>
      </c>
      <c r="K1901" s="1" t="s">
        <v>1948</v>
      </c>
      <c r="L1901" s="1" t="s">
        <v>29</v>
      </c>
      <c r="M1901" s="1" t="s">
        <v>53</v>
      </c>
      <c r="N1901" s="1" t="s">
        <v>1949</v>
      </c>
      <c r="O1901">
        <v>273.95999999999998</v>
      </c>
      <c r="P1901">
        <v>2</v>
      </c>
      <c r="Q1901">
        <v>71.229600000000005</v>
      </c>
      <c r="R1901" s="1" t="s">
        <v>4423</v>
      </c>
      <c r="S1901">
        <v>2016</v>
      </c>
      <c r="T1901" s="1" t="s">
        <v>32</v>
      </c>
    </row>
    <row r="1902" spans="1:20" x14ac:dyDescent="0.25">
      <c r="A1902" s="1" t="s">
        <v>4148</v>
      </c>
      <c r="B1902" s="2">
        <v>42679</v>
      </c>
      <c r="C1902" s="2">
        <v>42681</v>
      </c>
      <c r="D1902" s="1" t="s">
        <v>81</v>
      </c>
      <c r="E1902" s="1" t="s">
        <v>3436</v>
      </c>
      <c r="F1902" s="1" t="s">
        <v>3437</v>
      </c>
      <c r="G1902" s="1" t="s">
        <v>24</v>
      </c>
      <c r="H1902" s="1" t="s">
        <v>3530</v>
      </c>
      <c r="I1902" s="1" t="s">
        <v>707</v>
      </c>
      <c r="J1902" s="1" t="s">
        <v>27</v>
      </c>
      <c r="K1902" s="1" t="s">
        <v>3667</v>
      </c>
      <c r="L1902" s="1" t="s">
        <v>29</v>
      </c>
      <c r="M1902" s="1" t="s">
        <v>53</v>
      </c>
      <c r="N1902" s="1" t="s">
        <v>3668</v>
      </c>
      <c r="O1902">
        <v>756.8</v>
      </c>
      <c r="P1902">
        <v>5</v>
      </c>
      <c r="Q1902">
        <v>75.680000000000007</v>
      </c>
      <c r="R1902" s="1" t="s">
        <v>4423</v>
      </c>
      <c r="S1902">
        <v>2016</v>
      </c>
      <c r="T1902" s="1" t="s">
        <v>32</v>
      </c>
    </row>
    <row r="1903" spans="1:20" x14ac:dyDescent="0.25">
      <c r="A1903" s="1" t="s">
        <v>4149</v>
      </c>
      <c r="B1903" s="2">
        <v>42677</v>
      </c>
      <c r="C1903" s="2">
        <v>42681</v>
      </c>
      <c r="D1903" s="1" t="s">
        <v>37</v>
      </c>
      <c r="E1903" s="1" t="s">
        <v>2072</v>
      </c>
      <c r="F1903" s="1" t="s">
        <v>2073</v>
      </c>
      <c r="G1903" s="1" t="s">
        <v>94</v>
      </c>
      <c r="H1903" s="1" t="s">
        <v>61</v>
      </c>
      <c r="I1903" s="1" t="s">
        <v>62</v>
      </c>
      <c r="J1903" s="1" t="s">
        <v>63</v>
      </c>
      <c r="K1903" s="1" t="s">
        <v>457</v>
      </c>
      <c r="L1903" s="1" t="s">
        <v>29</v>
      </c>
      <c r="M1903" s="1" t="s">
        <v>34</v>
      </c>
      <c r="N1903" s="1" t="s">
        <v>458</v>
      </c>
      <c r="O1903">
        <v>470.15499999999997</v>
      </c>
      <c r="P1903">
        <v>7</v>
      </c>
      <c r="Q1903">
        <v>-13.433</v>
      </c>
      <c r="R1903" s="1" t="s">
        <v>4424</v>
      </c>
      <c r="S1903">
        <v>2016</v>
      </c>
      <c r="T1903" s="1" t="s">
        <v>32</v>
      </c>
    </row>
    <row r="1904" spans="1:20" x14ac:dyDescent="0.25">
      <c r="A1904" s="1" t="s">
        <v>4150</v>
      </c>
      <c r="B1904" s="2">
        <v>42818</v>
      </c>
      <c r="C1904" s="2">
        <v>42822</v>
      </c>
      <c r="D1904" s="1" t="s">
        <v>37</v>
      </c>
      <c r="E1904" s="1" t="s">
        <v>1782</v>
      </c>
      <c r="F1904" s="1" t="s">
        <v>1783</v>
      </c>
      <c r="G1904" s="1" t="s">
        <v>24</v>
      </c>
      <c r="H1904" s="1" t="s">
        <v>165</v>
      </c>
      <c r="I1904" s="1" t="s">
        <v>114</v>
      </c>
      <c r="J1904" s="1" t="s">
        <v>63</v>
      </c>
      <c r="K1904" s="1" t="s">
        <v>846</v>
      </c>
      <c r="L1904" s="1" t="s">
        <v>29</v>
      </c>
      <c r="M1904" s="1" t="s">
        <v>34</v>
      </c>
      <c r="N1904" s="1" t="s">
        <v>847</v>
      </c>
      <c r="O1904">
        <v>271.76400000000001</v>
      </c>
      <c r="P1904">
        <v>2</v>
      </c>
      <c r="Q1904">
        <v>60.392000000000003</v>
      </c>
      <c r="R1904" s="1" t="s">
        <v>4424</v>
      </c>
      <c r="S1904">
        <v>2017</v>
      </c>
      <c r="T1904" s="1" t="s">
        <v>187</v>
      </c>
    </row>
    <row r="1905" spans="1:20" x14ac:dyDescent="0.25">
      <c r="A1905" s="1" t="s">
        <v>4151</v>
      </c>
      <c r="B1905" s="2">
        <v>42850</v>
      </c>
      <c r="C1905" s="2">
        <v>42852</v>
      </c>
      <c r="D1905" s="1" t="s">
        <v>21</v>
      </c>
      <c r="E1905" s="1" t="s">
        <v>2858</v>
      </c>
      <c r="F1905" s="1" t="s">
        <v>2859</v>
      </c>
      <c r="G1905" s="1" t="s">
        <v>24</v>
      </c>
      <c r="H1905" s="1" t="s">
        <v>49</v>
      </c>
      <c r="I1905" s="1" t="s">
        <v>50</v>
      </c>
      <c r="J1905" s="1" t="s">
        <v>51</v>
      </c>
      <c r="K1905" s="1" t="s">
        <v>340</v>
      </c>
      <c r="L1905" s="1" t="s">
        <v>29</v>
      </c>
      <c r="M1905" s="1" t="s">
        <v>30</v>
      </c>
      <c r="N1905" s="1" t="s">
        <v>341</v>
      </c>
      <c r="O1905">
        <v>344.98099999999999</v>
      </c>
      <c r="P1905">
        <v>7</v>
      </c>
      <c r="Q1905">
        <v>28.4102</v>
      </c>
      <c r="R1905" s="1" t="s">
        <v>4423</v>
      </c>
      <c r="S1905">
        <v>2017</v>
      </c>
      <c r="T1905" s="1" t="s">
        <v>107</v>
      </c>
    </row>
    <row r="1906" spans="1:20" x14ac:dyDescent="0.25">
      <c r="A1906" s="1" t="s">
        <v>4152</v>
      </c>
      <c r="B1906" s="2">
        <v>43062</v>
      </c>
      <c r="C1906" s="2">
        <v>43065</v>
      </c>
      <c r="D1906" s="1" t="s">
        <v>81</v>
      </c>
      <c r="E1906" s="1" t="s">
        <v>2315</v>
      </c>
      <c r="F1906" s="1" t="s">
        <v>2316</v>
      </c>
      <c r="G1906" s="1" t="s">
        <v>84</v>
      </c>
      <c r="H1906" s="1" t="s">
        <v>1730</v>
      </c>
      <c r="I1906" s="1" t="s">
        <v>86</v>
      </c>
      <c r="J1906" s="1" t="s">
        <v>87</v>
      </c>
      <c r="K1906" s="1" t="s">
        <v>1225</v>
      </c>
      <c r="L1906" s="1" t="s">
        <v>29</v>
      </c>
      <c r="M1906" s="1" t="s">
        <v>43</v>
      </c>
      <c r="N1906" s="1" t="s">
        <v>1226</v>
      </c>
      <c r="O1906">
        <v>127.785</v>
      </c>
      <c r="P1906">
        <v>1</v>
      </c>
      <c r="Q1906">
        <v>-31.0335</v>
      </c>
      <c r="R1906" s="1" t="s">
        <v>4420</v>
      </c>
      <c r="S1906">
        <v>2017</v>
      </c>
      <c r="T1906" s="1" t="s">
        <v>32</v>
      </c>
    </row>
    <row r="1907" spans="1:20" x14ac:dyDescent="0.25">
      <c r="A1907" s="1" t="s">
        <v>4153</v>
      </c>
      <c r="B1907" s="2">
        <v>42435</v>
      </c>
      <c r="C1907" s="2">
        <v>42441</v>
      </c>
      <c r="D1907" s="1" t="s">
        <v>37</v>
      </c>
      <c r="E1907" s="1" t="s">
        <v>169</v>
      </c>
      <c r="F1907" s="1" t="s">
        <v>170</v>
      </c>
      <c r="G1907" s="1" t="s">
        <v>24</v>
      </c>
      <c r="H1907" s="1" t="s">
        <v>125</v>
      </c>
      <c r="I1907" s="1" t="s">
        <v>126</v>
      </c>
      <c r="J1907" s="1" t="s">
        <v>87</v>
      </c>
      <c r="K1907" s="1" t="s">
        <v>210</v>
      </c>
      <c r="L1907" s="1" t="s">
        <v>29</v>
      </c>
      <c r="M1907" s="1" t="s">
        <v>53</v>
      </c>
      <c r="N1907" s="1" t="s">
        <v>211</v>
      </c>
      <c r="O1907">
        <v>159.04</v>
      </c>
      <c r="P1907">
        <v>5</v>
      </c>
      <c r="Q1907">
        <v>-194.82400000000001</v>
      </c>
      <c r="R1907" s="1" t="s">
        <v>4426</v>
      </c>
      <c r="S1907">
        <v>2016</v>
      </c>
      <c r="T1907" s="1" t="s">
        <v>187</v>
      </c>
    </row>
    <row r="1908" spans="1:20" x14ac:dyDescent="0.25">
      <c r="A1908" s="1" t="s">
        <v>4153</v>
      </c>
      <c r="B1908" s="2">
        <v>42435</v>
      </c>
      <c r="C1908" s="2">
        <v>42441</v>
      </c>
      <c r="D1908" s="1" t="s">
        <v>37</v>
      </c>
      <c r="E1908" s="1" t="s">
        <v>169</v>
      </c>
      <c r="F1908" s="1" t="s">
        <v>170</v>
      </c>
      <c r="G1908" s="1" t="s">
        <v>24</v>
      </c>
      <c r="H1908" s="1" t="s">
        <v>125</v>
      </c>
      <c r="I1908" s="1" t="s">
        <v>126</v>
      </c>
      <c r="J1908" s="1" t="s">
        <v>87</v>
      </c>
      <c r="K1908" s="1" t="s">
        <v>1891</v>
      </c>
      <c r="L1908" s="1" t="s">
        <v>29</v>
      </c>
      <c r="M1908" s="1" t="s">
        <v>43</v>
      </c>
      <c r="N1908" s="1" t="s">
        <v>1892</v>
      </c>
      <c r="O1908">
        <v>145.97999999999999</v>
      </c>
      <c r="P1908">
        <v>2</v>
      </c>
      <c r="Q1908">
        <v>-99.266400000000004</v>
      </c>
      <c r="R1908" s="1" t="s">
        <v>4426</v>
      </c>
      <c r="S1908">
        <v>2016</v>
      </c>
      <c r="T1908" s="1" t="s">
        <v>187</v>
      </c>
    </row>
    <row r="1909" spans="1:20" x14ac:dyDescent="0.25">
      <c r="A1909" s="1" t="s">
        <v>4154</v>
      </c>
      <c r="B1909" s="2">
        <v>42341</v>
      </c>
      <c r="C1909" s="2">
        <v>42345</v>
      </c>
      <c r="D1909" s="1" t="s">
        <v>37</v>
      </c>
      <c r="E1909" s="1" t="s">
        <v>4155</v>
      </c>
      <c r="F1909" s="1" t="s">
        <v>4156</v>
      </c>
      <c r="G1909" s="1" t="s">
        <v>24</v>
      </c>
      <c r="H1909" s="1" t="s">
        <v>597</v>
      </c>
      <c r="I1909" s="1" t="s">
        <v>1027</v>
      </c>
      <c r="J1909" s="1" t="s">
        <v>27</v>
      </c>
      <c r="K1909" s="1" t="s">
        <v>747</v>
      </c>
      <c r="L1909" s="1" t="s">
        <v>29</v>
      </c>
      <c r="M1909" s="1" t="s">
        <v>53</v>
      </c>
      <c r="N1909" s="1" t="s">
        <v>748</v>
      </c>
      <c r="O1909">
        <v>77.951999999999998</v>
      </c>
      <c r="P1909">
        <v>3</v>
      </c>
      <c r="Q1909">
        <v>12.667199999999999</v>
      </c>
      <c r="R1909" s="1" t="s">
        <v>4424</v>
      </c>
      <c r="S1909">
        <v>2015</v>
      </c>
      <c r="T1909" s="1" t="s">
        <v>90</v>
      </c>
    </row>
    <row r="1910" spans="1:20" x14ac:dyDescent="0.25">
      <c r="A1910" s="1" t="s">
        <v>4157</v>
      </c>
      <c r="B1910" s="2">
        <v>42362</v>
      </c>
      <c r="C1910" s="2">
        <v>42368</v>
      </c>
      <c r="D1910" s="1" t="s">
        <v>37</v>
      </c>
      <c r="E1910" s="1" t="s">
        <v>1857</v>
      </c>
      <c r="F1910" s="1" t="s">
        <v>1858</v>
      </c>
      <c r="G1910" s="1" t="s">
        <v>84</v>
      </c>
      <c r="H1910" s="1" t="s">
        <v>869</v>
      </c>
      <c r="I1910" s="1" t="s">
        <v>556</v>
      </c>
      <c r="J1910" s="1" t="s">
        <v>87</v>
      </c>
      <c r="K1910" s="1" t="s">
        <v>2515</v>
      </c>
      <c r="L1910" s="1" t="s">
        <v>29</v>
      </c>
      <c r="M1910" s="1" t="s">
        <v>53</v>
      </c>
      <c r="N1910" s="1" t="s">
        <v>2516</v>
      </c>
      <c r="O1910">
        <v>9.68</v>
      </c>
      <c r="P1910">
        <v>2</v>
      </c>
      <c r="Q1910">
        <v>3.7751999999999999</v>
      </c>
      <c r="R1910" s="1" t="s">
        <v>4426</v>
      </c>
      <c r="S1910">
        <v>2015</v>
      </c>
      <c r="T1910" s="1" t="s">
        <v>90</v>
      </c>
    </row>
    <row r="1911" spans="1:20" x14ac:dyDescent="0.25">
      <c r="A1911" s="1" t="s">
        <v>4158</v>
      </c>
      <c r="B1911" s="2">
        <v>43024</v>
      </c>
      <c r="C1911" s="2">
        <v>43029</v>
      </c>
      <c r="D1911" s="1" t="s">
        <v>37</v>
      </c>
      <c r="E1911" s="1" t="s">
        <v>3518</v>
      </c>
      <c r="F1911" s="1" t="s">
        <v>3519</v>
      </c>
      <c r="G1911" s="1" t="s">
        <v>84</v>
      </c>
      <c r="H1911" s="1" t="s">
        <v>149</v>
      </c>
      <c r="I1911" s="1" t="s">
        <v>133</v>
      </c>
      <c r="J1911" s="1" t="s">
        <v>27</v>
      </c>
      <c r="K1911" s="1" t="s">
        <v>1802</v>
      </c>
      <c r="L1911" s="1" t="s">
        <v>29</v>
      </c>
      <c r="M1911" s="1" t="s">
        <v>43</v>
      </c>
      <c r="N1911" s="1" t="s">
        <v>1803</v>
      </c>
      <c r="O1911">
        <v>1875.258</v>
      </c>
      <c r="P1911">
        <v>7</v>
      </c>
      <c r="Q1911">
        <v>-968.88329999999996</v>
      </c>
      <c r="R1911" s="1" t="s">
        <v>4422</v>
      </c>
      <c r="S1911">
        <v>2017</v>
      </c>
      <c r="T1911" s="1" t="s">
        <v>45</v>
      </c>
    </row>
    <row r="1912" spans="1:20" x14ac:dyDescent="0.25">
      <c r="A1912" s="1" t="s">
        <v>4159</v>
      </c>
      <c r="B1912" s="2">
        <v>42868</v>
      </c>
      <c r="C1912" s="2">
        <v>42872</v>
      </c>
      <c r="D1912" s="1" t="s">
        <v>37</v>
      </c>
      <c r="E1912" s="1" t="s">
        <v>1135</v>
      </c>
      <c r="F1912" s="1" t="s">
        <v>1136</v>
      </c>
      <c r="G1912" s="1" t="s">
        <v>94</v>
      </c>
      <c r="H1912" s="1" t="s">
        <v>61</v>
      </c>
      <c r="I1912" s="1" t="s">
        <v>62</v>
      </c>
      <c r="J1912" s="1" t="s">
        <v>63</v>
      </c>
      <c r="K1912" s="1" t="s">
        <v>659</v>
      </c>
      <c r="L1912" s="1" t="s">
        <v>29</v>
      </c>
      <c r="M1912" s="1" t="s">
        <v>34</v>
      </c>
      <c r="N1912" s="1" t="s">
        <v>660</v>
      </c>
      <c r="O1912">
        <v>458.43</v>
      </c>
      <c r="P1912">
        <v>5</v>
      </c>
      <c r="Q1912">
        <v>-124.431</v>
      </c>
      <c r="R1912" s="1" t="s">
        <v>4424</v>
      </c>
      <c r="S1912">
        <v>2017</v>
      </c>
      <c r="T1912" s="1" t="s">
        <v>153</v>
      </c>
    </row>
    <row r="1913" spans="1:20" x14ac:dyDescent="0.25">
      <c r="A1913" s="1" t="s">
        <v>4160</v>
      </c>
      <c r="B1913" s="2">
        <v>43057</v>
      </c>
      <c r="C1913" s="2">
        <v>43057</v>
      </c>
      <c r="D1913" s="1" t="s">
        <v>417</v>
      </c>
      <c r="E1913" s="1" t="s">
        <v>773</v>
      </c>
      <c r="F1913" s="1" t="s">
        <v>774</v>
      </c>
      <c r="G1913" s="1" t="s">
        <v>84</v>
      </c>
      <c r="H1913" s="1" t="s">
        <v>896</v>
      </c>
      <c r="I1913" s="1" t="s">
        <v>230</v>
      </c>
      <c r="J1913" s="1" t="s">
        <v>87</v>
      </c>
      <c r="K1913" s="1" t="s">
        <v>491</v>
      </c>
      <c r="L1913" s="1" t="s">
        <v>29</v>
      </c>
      <c r="M1913" s="1" t="s">
        <v>53</v>
      </c>
      <c r="N1913" s="1" t="s">
        <v>492</v>
      </c>
      <c r="O1913">
        <v>5.82</v>
      </c>
      <c r="P1913">
        <v>2</v>
      </c>
      <c r="Q1913">
        <v>2.7353999999999998</v>
      </c>
      <c r="R1913" s="1" t="s">
        <v>4427</v>
      </c>
      <c r="S1913">
        <v>2017</v>
      </c>
      <c r="T1913" s="1" t="s">
        <v>32</v>
      </c>
    </row>
    <row r="1914" spans="1:20" x14ac:dyDescent="0.25">
      <c r="A1914" s="1" t="s">
        <v>4161</v>
      </c>
      <c r="B1914" s="2">
        <v>42421</v>
      </c>
      <c r="C1914" s="2">
        <v>42422</v>
      </c>
      <c r="D1914" s="1" t="s">
        <v>81</v>
      </c>
      <c r="E1914" s="1" t="s">
        <v>1502</v>
      </c>
      <c r="F1914" s="1" t="s">
        <v>1503</v>
      </c>
      <c r="G1914" s="1" t="s">
        <v>84</v>
      </c>
      <c r="H1914" s="1" t="s">
        <v>165</v>
      </c>
      <c r="I1914" s="1" t="s">
        <v>114</v>
      </c>
      <c r="J1914" s="1" t="s">
        <v>63</v>
      </c>
      <c r="K1914" s="1" t="s">
        <v>355</v>
      </c>
      <c r="L1914" s="1" t="s">
        <v>29</v>
      </c>
      <c r="M1914" s="1" t="s">
        <v>53</v>
      </c>
      <c r="N1914" s="1" t="s">
        <v>356</v>
      </c>
      <c r="O1914">
        <v>135.80000000000001</v>
      </c>
      <c r="P1914">
        <v>7</v>
      </c>
      <c r="Q1914">
        <v>66.542000000000002</v>
      </c>
      <c r="R1914" s="1" t="s">
        <v>4425</v>
      </c>
      <c r="S1914">
        <v>2016</v>
      </c>
      <c r="T1914" s="1" t="s">
        <v>289</v>
      </c>
    </row>
    <row r="1915" spans="1:20" x14ac:dyDescent="0.25">
      <c r="A1915" s="1" t="s">
        <v>4162</v>
      </c>
      <c r="B1915" s="2">
        <v>41989</v>
      </c>
      <c r="C1915" s="2">
        <v>41991</v>
      </c>
      <c r="D1915" s="1" t="s">
        <v>21</v>
      </c>
      <c r="E1915" s="1" t="s">
        <v>784</v>
      </c>
      <c r="F1915" s="1" t="s">
        <v>785</v>
      </c>
      <c r="G1915" s="1" t="s">
        <v>24</v>
      </c>
      <c r="H1915" s="1" t="s">
        <v>869</v>
      </c>
      <c r="I1915" s="1" t="s">
        <v>707</v>
      </c>
      <c r="J1915" s="1" t="s">
        <v>27</v>
      </c>
      <c r="K1915" s="1" t="s">
        <v>1090</v>
      </c>
      <c r="L1915" s="1" t="s">
        <v>29</v>
      </c>
      <c r="M1915" s="1" t="s">
        <v>53</v>
      </c>
      <c r="N1915" s="1" t="s">
        <v>1091</v>
      </c>
      <c r="O1915">
        <v>29.46</v>
      </c>
      <c r="P1915">
        <v>6</v>
      </c>
      <c r="Q1915">
        <v>9.7218</v>
      </c>
      <c r="R1915" s="1" t="s">
        <v>4423</v>
      </c>
      <c r="S1915">
        <v>2014</v>
      </c>
      <c r="T1915" s="1" t="s">
        <v>90</v>
      </c>
    </row>
    <row r="1916" spans="1:20" x14ac:dyDescent="0.25">
      <c r="A1916" s="1" t="s">
        <v>4163</v>
      </c>
      <c r="B1916" s="2">
        <v>42604</v>
      </c>
      <c r="C1916" s="2">
        <v>42605</v>
      </c>
      <c r="D1916" s="1" t="s">
        <v>81</v>
      </c>
      <c r="E1916" s="1" t="s">
        <v>2267</v>
      </c>
      <c r="F1916" s="1" t="s">
        <v>2268</v>
      </c>
      <c r="G1916" s="1" t="s">
        <v>94</v>
      </c>
      <c r="H1916" s="1" t="s">
        <v>2334</v>
      </c>
      <c r="I1916" s="1" t="s">
        <v>172</v>
      </c>
      <c r="J1916" s="1" t="s">
        <v>51</v>
      </c>
      <c r="K1916" s="1" t="s">
        <v>631</v>
      </c>
      <c r="L1916" s="1" t="s">
        <v>29</v>
      </c>
      <c r="M1916" s="1" t="s">
        <v>53</v>
      </c>
      <c r="N1916" s="1" t="s">
        <v>632</v>
      </c>
      <c r="O1916">
        <v>98.328000000000003</v>
      </c>
      <c r="P1916">
        <v>3</v>
      </c>
      <c r="Q1916">
        <v>9.8328000000000007</v>
      </c>
      <c r="R1916" s="1" t="s">
        <v>4425</v>
      </c>
      <c r="S1916">
        <v>2016</v>
      </c>
      <c r="T1916" s="1" t="s">
        <v>245</v>
      </c>
    </row>
    <row r="1917" spans="1:20" x14ac:dyDescent="0.25">
      <c r="A1917" s="1" t="s">
        <v>4164</v>
      </c>
      <c r="B1917" s="2">
        <v>42184</v>
      </c>
      <c r="C1917" s="2">
        <v>42187</v>
      </c>
      <c r="D1917" s="1" t="s">
        <v>81</v>
      </c>
      <c r="E1917" s="1" t="s">
        <v>1359</v>
      </c>
      <c r="F1917" s="1" t="s">
        <v>1360</v>
      </c>
      <c r="G1917" s="1" t="s">
        <v>24</v>
      </c>
      <c r="H1917" s="1" t="s">
        <v>165</v>
      </c>
      <c r="I1917" s="1" t="s">
        <v>114</v>
      </c>
      <c r="J1917" s="1" t="s">
        <v>63</v>
      </c>
      <c r="K1917" s="1" t="s">
        <v>659</v>
      </c>
      <c r="L1917" s="1" t="s">
        <v>29</v>
      </c>
      <c r="M1917" s="1" t="s">
        <v>34</v>
      </c>
      <c r="N1917" s="1" t="s">
        <v>660</v>
      </c>
      <c r="O1917">
        <v>117.88200000000001</v>
      </c>
      <c r="P1917">
        <v>1</v>
      </c>
      <c r="Q1917">
        <v>1.3098000000000001</v>
      </c>
      <c r="R1917" s="1" t="s">
        <v>4420</v>
      </c>
      <c r="S1917">
        <v>2015</v>
      </c>
      <c r="T1917" s="1" t="s">
        <v>55</v>
      </c>
    </row>
    <row r="1918" spans="1:20" x14ac:dyDescent="0.25">
      <c r="A1918" s="1" t="s">
        <v>4165</v>
      </c>
      <c r="B1918" s="2">
        <v>42547</v>
      </c>
      <c r="C1918" s="2">
        <v>42553</v>
      </c>
      <c r="D1918" s="1" t="s">
        <v>37</v>
      </c>
      <c r="E1918" s="1" t="s">
        <v>3518</v>
      </c>
      <c r="F1918" s="1" t="s">
        <v>3519</v>
      </c>
      <c r="G1918" s="1" t="s">
        <v>84</v>
      </c>
      <c r="H1918" s="1" t="s">
        <v>165</v>
      </c>
      <c r="I1918" s="1" t="s">
        <v>114</v>
      </c>
      <c r="J1918" s="1" t="s">
        <v>63</v>
      </c>
      <c r="K1918" s="1" t="s">
        <v>1259</v>
      </c>
      <c r="L1918" s="1" t="s">
        <v>29</v>
      </c>
      <c r="M1918" s="1" t="s">
        <v>53</v>
      </c>
      <c r="N1918" s="1" t="s">
        <v>1260</v>
      </c>
      <c r="O1918">
        <v>37.74</v>
      </c>
      <c r="P1918">
        <v>3</v>
      </c>
      <c r="Q1918">
        <v>12.8316</v>
      </c>
      <c r="R1918" s="1" t="s">
        <v>4426</v>
      </c>
      <c r="S1918">
        <v>2016</v>
      </c>
      <c r="T1918" s="1" t="s">
        <v>55</v>
      </c>
    </row>
    <row r="1919" spans="1:20" x14ac:dyDescent="0.25">
      <c r="A1919" s="1" t="s">
        <v>4166</v>
      </c>
      <c r="B1919" s="2">
        <v>42630</v>
      </c>
      <c r="C1919" s="2">
        <v>42635</v>
      </c>
      <c r="D1919" s="1" t="s">
        <v>37</v>
      </c>
      <c r="E1919" s="1" t="s">
        <v>147</v>
      </c>
      <c r="F1919" s="1" t="s">
        <v>148</v>
      </c>
      <c r="G1919" s="1" t="s">
        <v>24</v>
      </c>
      <c r="H1919" s="1" t="s">
        <v>4167</v>
      </c>
      <c r="I1919" s="1" t="s">
        <v>425</v>
      </c>
      <c r="J1919" s="1" t="s">
        <v>63</v>
      </c>
      <c r="K1919" s="1" t="s">
        <v>793</v>
      </c>
      <c r="L1919" s="1" t="s">
        <v>29</v>
      </c>
      <c r="M1919" s="1" t="s">
        <v>53</v>
      </c>
      <c r="N1919" s="1" t="s">
        <v>794</v>
      </c>
      <c r="O1919">
        <v>14.82</v>
      </c>
      <c r="P1919">
        <v>3</v>
      </c>
      <c r="Q1919">
        <v>6.2244000000000002</v>
      </c>
      <c r="R1919" s="1" t="s">
        <v>4422</v>
      </c>
      <c r="S1919">
        <v>2016</v>
      </c>
      <c r="T1919" s="1" t="s">
        <v>72</v>
      </c>
    </row>
    <row r="1920" spans="1:20" x14ac:dyDescent="0.25">
      <c r="A1920" s="1" t="s">
        <v>4166</v>
      </c>
      <c r="B1920" s="2">
        <v>42630</v>
      </c>
      <c r="C1920" s="2">
        <v>42635</v>
      </c>
      <c r="D1920" s="1" t="s">
        <v>37</v>
      </c>
      <c r="E1920" s="1" t="s">
        <v>147</v>
      </c>
      <c r="F1920" s="1" t="s">
        <v>148</v>
      </c>
      <c r="G1920" s="1" t="s">
        <v>24</v>
      </c>
      <c r="H1920" s="1" t="s">
        <v>4167</v>
      </c>
      <c r="I1920" s="1" t="s">
        <v>425</v>
      </c>
      <c r="J1920" s="1" t="s">
        <v>63</v>
      </c>
      <c r="K1920" s="1" t="s">
        <v>542</v>
      </c>
      <c r="L1920" s="1" t="s">
        <v>29</v>
      </c>
      <c r="M1920" s="1" t="s">
        <v>53</v>
      </c>
      <c r="N1920" s="1" t="s">
        <v>543</v>
      </c>
      <c r="O1920">
        <v>191.82</v>
      </c>
      <c r="P1920">
        <v>3</v>
      </c>
      <c r="Q1920">
        <v>61.382399999999997</v>
      </c>
      <c r="R1920" s="1" t="s">
        <v>4422</v>
      </c>
      <c r="S1920">
        <v>2016</v>
      </c>
      <c r="T1920" s="1" t="s">
        <v>72</v>
      </c>
    </row>
    <row r="1921" spans="1:20" x14ac:dyDescent="0.25">
      <c r="A1921" s="1" t="s">
        <v>4168</v>
      </c>
      <c r="B1921" s="2">
        <v>42979</v>
      </c>
      <c r="C1921" s="2">
        <v>42979</v>
      </c>
      <c r="D1921" s="1" t="s">
        <v>417</v>
      </c>
      <c r="E1921" s="1" t="s">
        <v>1579</v>
      </c>
      <c r="F1921" s="1" t="s">
        <v>1580</v>
      </c>
      <c r="G1921" s="1" t="s">
        <v>84</v>
      </c>
      <c r="H1921" s="1" t="s">
        <v>183</v>
      </c>
      <c r="I1921" s="1" t="s">
        <v>184</v>
      </c>
      <c r="J1921" s="1" t="s">
        <v>51</v>
      </c>
      <c r="K1921" s="1" t="s">
        <v>309</v>
      </c>
      <c r="L1921" s="1" t="s">
        <v>29</v>
      </c>
      <c r="M1921" s="1" t="s">
        <v>43</v>
      </c>
      <c r="N1921" s="1" t="s">
        <v>310</v>
      </c>
      <c r="O1921">
        <v>283.56</v>
      </c>
      <c r="P1921">
        <v>4</v>
      </c>
      <c r="Q1921">
        <v>45.369599999999998</v>
      </c>
      <c r="R1921" s="1" t="s">
        <v>4427</v>
      </c>
      <c r="S1921">
        <v>2017</v>
      </c>
      <c r="T1921" s="1" t="s">
        <v>72</v>
      </c>
    </row>
    <row r="1922" spans="1:20" x14ac:dyDescent="0.25">
      <c r="A1922" s="1" t="s">
        <v>4169</v>
      </c>
      <c r="B1922" s="2">
        <v>42908</v>
      </c>
      <c r="C1922" s="2">
        <v>42912</v>
      </c>
      <c r="D1922" s="1" t="s">
        <v>37</v>
      </c>
      <c r="E1922" s="1" t="s">
        <v>662</v>
      </c>
      <c r="F1922" s="1" t="s">
        <v>663</v>
      </c>
      <c r="G1922" s="1" t="s">
        <v>94</v>
      </c>
      <c r="H1922" s="1" t="s">
        <v>280</v>
      </c>
      <c r="I1922" s="1" t="s">
        <v>281</v>
      </c>
      <c r="J1922" s="1" t="s">
        <v>87</v>
      </c>
      <c r="K1922" s="1" t="s">
        <v>33</v>
      </c>
      <c r="L1922" s="1" t="s">
        <v>29</v>
      </c>
      <c r="M1922" s="1" t="s">
        <v>34</v>
      </c>
      <c r="N1922" s="1" t="s">
        <v>35</v>
      </c>
      <c r="O1922">
        <v>487.96</v>
      </c>
      <c r="P1922">
        <v>2</v>
      </c>
      <c r="Q1922">
        <v>146.38800000000001</v>
      </c>
      <c r="R1922" s="1" t="s">
        <v>4424</v>
      </c>
      <c r="S1922">
        <v>2017</v>
      </c>
      <c r="T1922" s="1" t="s">
        <v>55</v>
      </c>
    </row>
    <row r="1923" spans="1:20" x14ac:dyDescent="0.25">
      <c r="A1923" s="1" t="s">
        <v>4170</v>
      </c>
      <c r="B1923" s="2">
        <v>41901</v>
      </c>
      <c r="C1923" s="2">
        <v>41906</v>
      </c>
      <c r="D1923" s="1" t="s">
        <v>37</v>
      </c>
      <c r="E1923" s="1" t="s">
        <v>4171</v>
      </c>
      <c r="F1923" s="1" t="s">
        <v>4172</v>
      </c>
      <c r="G1923" s="1" t="s">
        <v>84</v>
      </c>
      <c r="H1923" s="1" t="s">
        <v>3049</v>
      </c>
      <c r="I1923" s="1" t="s">
        <v>511</v>
      </c>
      <c r="J1923" s="1" t="s">
        <v>51</v>
      </c>
      <c r="K1923" s="1" t="s">
        <v>1456</v>
      </c>
      <c r="L1923" s="1" t="s">
        <v>29</v>
      </c>
      <c r="M1923" s="1" t="s">
        <v>43</v>
      </c>
      <c r="N1923" s="1" t="s">
        <v>1457</v>
      </c>
      <c r="O1923">
        <v>73.915000000000006</v>
      </c>
      <c r="P1923">
        <v>1</v>
      </c>
      <c r="Q1923">
        <v>-45.827300000000001</v>
      </c>
      <c r="R1923" s="1" t="s">
        <v>4422</v>
      </c>
      <c r="S1923">
        <v>2014</v>
      </c>
      <c r="T1923" s="1" t="s">
        <v>72</v>
      </c>
    </row>
    <row r="1924" spans="1:20" x14ac:dyDescent="0.25">
      <c r="A1924" s="1" t="s">
        <v>4173</v>
      </c>
      <c r="B1924" s="2">
        <v>41910</v>
      </c>
      <c r="C1924" s="2">
        <v>41915</v>
      </c>
      <c r="D1924" s="1" t="s">
        <v>37</v>
      </c>
      <c r="E1924" s="1" t="s">
        <v>3440</v>
      </c>
      <c r="F1924" s="1" t="s">
        <v>3441</v>
      </c>
      <c r="G1924" s="1" t="s">
        <v>24</v>
      </c>
      <c r="H1924" s="1" t="s">
        <v>4174</v>
      </c>
      <c r="I1924" s="1" t="s">
        <v>41</v>
      </c>
      <c r="J1924" s="1" t="s">
        <v>27</v>
      </c>
      <c r="K1924" s="1" t="s">
        <v>3608</v>
      </c>
      <c r="L1924" s="1" t="s">
        <v>29</v>
      </c>
      <c r="M1924" s="1" t="s">
        <v>53</v>
      </c>
      <c r="N1924" s="1" t="s">
        <v>3609</v>
      </c>
      <c r="O1924">
        <v>337.08800000000002</v>
      </c>
      <c r="P1924">
        <v>4</v>
      </c>
      <c r="Q1924">
        <v>16.854399999999998</v>
      </c>
      <c r="R1924" s="1" t="s">
        <v>4422</v>
      </c>
      <c r="S1924">
        <v>2014</v>
      </c>
      <c r="T1924" s="1" t="s">
        <v>72</v>
      </c>
    </row>
    <row r="1925" spans="1:20" x14ac:dyDescent="0.25">
      <c r="A1925" s="1" t="s">
        <v>4175</v>
      </c>
      <c r="B1925" s="2">
        <v>42310</v>
      </c>
      <c r="C1925" s="2">
        <v>42312</v>
      </c>
      <c r="D1925" s="1" t="s">
        <v>81</v>
      </c>
      <c r="E1925" s="1" t="s">
        <v>2642</v>
      </c>
      <c r="F1925" s="1" t="s">
        <v>2643</v>
      </c>
      <c r="G1925" s="1" t="s">
        <v>94</v>
      </c>
      <c r="H1925" s="1" t="s">
        <v>165</v>
      </c>
      <c r="I1925" s="1" t="s">
        <v>114</v>
      </c>
      <c r="J1925" s="1" t="s">
        <v>63</v>
      </c>
      <c r="K1925" s="1" t="s">
        <v>3582</v>
      </c>
      <c r="L1925" s="1" t="s">
        <v>29</v>
      </c>
      <c r="M1925" s="1" t="s">
        <v>34</v>
      </c>
      <c r="N1925" s="1" t="s">
        <v>3583</v>
      </c>
      <c r="O1925">
        <v>2621.3220000000001</v>
      </c>
      <c r="P1925">
        <v>11</v>
      </c>
      <c r="Q1925">
        <v>553.39020000000005</v>
      </c>
      <c r="R1925" s="1" t="s">
        <v>4423</v>
      </c>
      <c r="S1925">
        <v>2015</v>
      </c>
      <c r="T1925" s="1" t="s">
        <v>32</v>
      </c>
    </row>
    <row r="1926" spans="1:20" x14ac:dyDescent="0.25">
      <c r="A1926" s="1" t="s">
        <v>4176</v>
      </c>
      <c r="B1926" s="2">
        <v>42297</v>
      </c>
      <c r="C1926" s="2">
        <v>42301</v>
      </c>
      <c r="D1926" s="1" t="s">
        <v>37</v>
      </c>
      <c r="E1926" s="1" t="s">
        <v>2908</v>
      </c>
      <c r="F1926" s="1" t="s">
        <v>2909</v>
      </c>
      <c r="G1926" s="1" t="s">
        <v>24</v>
      </c>
      <c r="H1926" s="1" t="s">
        <v>49</v>
      </c>
      <c r="I1926" s="1" t="s">
        <v>50</v>
      </c>
      <c r="J1926" s="1" t="s">
        <v>51</v>
      </c>
      <c r="K1926" s="1" t="s">
        <v>2876</v>
      </c>
      <c r="L1926" s="1" t="s">
        <v>29</v>
      </c>
      <c r="M1926" s="1" t="s">
        <v>53</v>
      </c>
      <c r="N1926" s="1" t="s">
        <v>2877</v>
      </c>
      <c r="O1926">
        <v>74.760000000000005</v>
      </c>
      <c r="P1926">
        <v>7</v>
      </c>
      <c r="Q1926">
        <v>23.923200000000001</v>
      </c>
      <c r="R1926" s="1" t="s">
        <v>4424</v>
      </c>
      <c r="S1926">
        <v>2015</v>
      </c>
      <c r="T1926" s="1" t="s">
        <v>45</v>
      </c>
    </row>
    <row r="1927" spans="1:20" x14ac:dyDescent="0.25">
      <c r="A1927" s="1" t="s">
        <v>4176</v>
      </c>
      <c r="B1927" s="2">
        <v>42297</v>
      </c>
      <c r="C1927" s="2">
        <v>42301</v>
      </c>
      <c r="D1927" s="1" t="s">
        <v>37</v>
      </c>
      <c r="E1927" s="1" t="s">
        <v>2908</v>
      </c>
      <c r="F1927" s="1" t="s">
        <v>2909</v>
      </c>
      <c r="G1927" s="1" t="s">
        <v>24</v>
      </c>
      <c r="H1927" s="1" t="s">
        <v>49</v>
      </c>
      <c r="I1927" s="1" t="s">
        <v>50</v>
      </c>
      <c r="J1927" s="1" t="s">
        <v>51</v>
      </c>
      <c r="K1927" s="1" t="s">
        <v>3180</v>
      </c>
      <c r="L1927" s="1" t="s">
        <v>29</v>
      </c>
      <c r="M1927" s="1" t="s">
        <v>43</v>
      </c>
      <c r="N1927" s="1" t="s">
        <v>3181</v>
      </c>
      <c r="O1927">
        <v>364.77600000000001</v>
      </c>
      <c r="P1927">
        <v>3</v>
      </c>
      <c r="Q1927">
        <v>27.3582</v>
      </c>
      <c r="R1927" s="1" t="s">
        <v>4424</v>
      </c>
      <c r="S1927">
        <v>2015</v>
      </c>
      <c r="T1927" s="1" t="s">
        <v>45</v>
      </c>
    </row>
    <row r="1928" spans="1:20" x14ac:dyDescent="0.25">
      <c r="A1928" s="1" t="s">
        <v>4177</v>
      </c>
      <c r="B1928" s="2">
        <v>42535</v>
      </c>
      <c r="C1928" s="2">
        <v>42539</v>
      </c>
      <c r="D1928" s="1" t="s">
        <v>37</v>
      </c>
      <c r="E1928" s="1" t="s">
        <v>671</v>
      </c>
      <c r="F1928" s="1" t="s">
        <v>672</v>
      </c>
      <c r="G1928" s="1" t="s">
        <v>84</v>
      </c>
      <c r="H1928" s="1" t="s">
        <v>183</v>
      </c>
      <c r="I1928" s="1" t="s">
        <v>184</v>
      </c>
      <c r="J1928" s="1" t="s">
        <v>51</v>
      </c>
      <c r="K1928" s="1" t="s">
        <v>1125</v>
      </c>
      <c r="L1928" s="1" t="s">
        <v>29</v>
      </c>
      <c r="M1928" s="1" t="s">
        <v>43</v>
      </c>
      <c r="N1928" s="1" t="s">
        <v>1126</v>
      </c>
      <c r="O1928">
        <v>1115.17</v>
      </c>
      <c r="P1928">
        <v>7</v>
      </c>
      <c r="Q1928">
        <v>334.55099999999999</v>
      </c>
      <c r="R1928" s="1" t="s">
        <v>4424</v>
      </c>
      <c r="S1928">
        <v>2016</v>
      </c>
      <c r="T1928" s="1" t="s">
        <v>55</v>
      </c>
    </row>
    <row r="1929" spans="1:20" x14ac:dyDescent="0.25">
      <c r="A1929" s="1" t="s">
        <v>4178</v>
      </c>
      <c r="B1929" s="2">
        <v>42615</v>
      </c>
      <c r="C1929" s="2">
        <v>42618</v>
      </c>
      <c r="D1929" s="1" t="s">
        <v>21</v>
      </c>
      <c r="E1929" s="1" t="s">
        <v>235</v>
      </c>
      <c r="F1929" s="1" t="s">
        <v>236</v>
      </c>
      <c r="G1929" s="1" t="s">
        <v>24</v>
      </c>
      <c r="H1929" s="1" t="s">
        <v>791</v>
      </c>
      <c r="I1929" s="1" t="s">
        <v>184</v>
      </c>
      <c r="J1929" s="1" t="s">
        <v>51</v>
      </c>
      <c r="K1929" s="1" t="s">
        <v>108</v>
      </c>
      <c r="L1929" s="1" t="s">
        <v>29</v>
      </c>
      <c r="M1929" s="1" t="s">
        <v>34</v>
      </c>
      <c r="N1929" s="1" t="s">
        <v>109</v>
      </c>
      <c r="O1929">
        <v>215.976</v>
      </c>
      <c r="P1929">
        <v>3</v>
      </c>
      <c r="Q1929">
        <v>-2.6997</v>
      </c>
      <c r="R1929" s="1" t="s">
        <v>4420</v>
      </c>
      <c r="S1929">
        <v>2016</v>
      </c>
      <c r="T1929" s="1" t="s">
        <v>72</v>
      </c>
    </row>
    <row r="1930" spans="1:20" x14ac:dyDescent="0.25">
      <c r="A1930" s="1" t="s">
        <v>4179</v>
      </c>
      <c r="B1930" s="2">
        <v>43073</v>
      </c>
      <c r="C1930" s="2">
        <v>43074</v>
      </c>
      <c r="D1930" s="1" t="s">
        <v>81</v>
      </c>
      <c r="E1930" s="1" t="s">
        <v>2583</v>
      </c>
      <c r="F1930" s="1" t="s">
        <v>2584</v>
      </c>
      <c r="G1930" s="1" t="s">
        <v>84</v>
      </c>
      <c r="H1930" s="1" t="s">
        <v>61</v>
      </c>
      <c r="I1930" s="1" t="s">
        <v>62</v>
      </c>
      <c r="J1930" s="1" t="s">
        <v>63</v>
      </c>
      <c r="K1930" s="1" t="s">
        <v>371</v>
      </c>
      <c r="L1930" s="1" t="s">
        <v>29</v>
      </c>
      <c r="M1930" s="1" t="s">
        <v>53</v>
      </c>
      <c r="N1930" s="1" t="s">
        <v>372</v>
      </c>
      <c r="O1930">
        <v>11.352</v>
      </c>
      <c r="P1930">
        <v>3</v>
      </c>
      <c r="Q1930">
        <v>2.6960999999999999</v>
      </c>
      <c r="R1930" s="1" t="s">
        <v>4425</v>
      </c>
      <c r="S1930">
        <v>2017</v>
      </c>
      <c r="T1930" s="1" t="s">
        <v>90</v>
      </c>
    </row>
    <row r="1931" spans="1:20" x14ac:dyDescent="0.25">
      <c r="A1931" s="1" t="s">
        <v>4180</v>
      </c>
      <c r="B1931" s="2">
        <v>42416</v>
      </c>
      <c r="C1931" s="2">
        <v>42423</v>
      </c>
      <c r="D1931" s="1" t="s">
        <v>37</v>
      </c>
      <c r="E1931" s="1" t="s">
        <v>3988</v>
      </c>
      <c r="F1931" s="1" t="s">
        <v>3989</v>
      </c>
      <c r="G1931" s="1" t="s">
        <v>24</v>
      </c>
      <c r="H1931" s="1" t="s">
        <v>25</v>
      </c>
      <c r="I1931" s="1" t="s">
        <v>26</v>
      </c>
      <c r="J1931" s="1" t="s">
        <v>27</v>
      </c>
      <c r="K1931" s="1" t="s">
        <v>210</v>
      </c>
      <c r="L1931" s="1" t="s">
        <v>29</v>
      </c>
      <c r="M1931" s="1" t="s">
        <v>53</v>
      </c>
      <c r="N1931" s="1" t="s">
        <v>211</v>
      </c>
      <c r="O1931">
        <v>318.08</v>
      </c>
      <c r="P1931">
        <v>4</v>
      </c>
      <c r="Q1931">
        <v>34.988799999999998</v>
      </c>
      <c r="R1931" s="1" t="s">
        <v>4421</v>
      </c>
      <c r="S1931">
        <v>2016</v>
      </c>
      <c r="T1931" s="1" t="s">
        <v>289</v>
      </c>
    </row>
    <row r="1932" spans="1:20" x14ac:dyDescent="0.25">
      <c r="A1932" s="1" t="s">
        <v>4181</v>
      </c>
      <c r="B1932" s="2">
        <v>42639</v>
      </c>
      <c r="C1932" s="2">
        <v>42643</v>
      </c>
      <c r="D1932" s="1" t="s">
        <v>37</v>
      </c>
      <c r="E1932" s="1" t="s">
        <v>4182</v>
      </c>
      <c r="F1932" s="1" t="s">
        <v>4183</v>
      </c>
      <c r="G1932" s="1" t="s">
        <v>84</v>
      </c>
      <c r="H1932" s="1" t="s">
        <v>95</v>
      </c>
      <c r="I1932" s="1" t="s">
        <v>86</v>
      </c>
      <c r="J1932" s="1" t="s">
        <v>87</v>
      </c>
      <c r="K1932" s="1" t="s">
        <v>134</v>
      </c>
      <c r="L1932" s="1" t="s">
        <v>29</v>
      </c>
      <c r="M1932" s="1" t="s">
        <v>34</v>
      </c>
      <c r="N1932" s="1" t="s">
        <v>135</v>
      </c>
      <c r="O1932">
        <v>454.96499999999997</v>
      </c>
      <c r="P1932">
        <v>5</v>
      </c>
      <c r="Q1932">
        <v>-136.48949999999999</v>
      </c>
      <c r="R1932" s="1" t="s">
        <v>4424</v>
      </c>
      <c r="S1932">
        <v>2016</v>
      </c>
      <c r="T1932" s="1" t="s">
        <v>72</v>
      </c>
    </row>
    <row r="1933" spans="1:20" x14ac:dyDescent="0.25">
      <c r="A1933" s="1" t="s">
        <v>4184</v>
      </c>
      <c r="B1933" s="2">
        <v>42183</v>
      </c>
      <c r="C1933" s="2">
        <v>42188</v>
      </c>
      <c r="D1933" s="1" t="s">
        <v>21</v>
      </c>
      <c r="E1933" s="1" t="s">
        <v>1929</v>
      </c>
      <c r="F1933" s="1" t="s">
        <v>1930</v>
      </c>
      <c r="G1933" s="1" t="s">
        <v>84</v>
      </c>
      <c r="H1933" s="1" t="s">
        <v>113</v>
      </c>
      <c r="I1933" s="1" t="s">
        <v>223</v>
      </c>
      <c r="J1933" s="1" t="s">
        <v>63</v>
      </c>
      <c r="K1933" s="1" t="s">
        <v>1539</v>
      </c>
      <c r="L1933" s="1" t="s">
        <v>29</v>
      </c>
      <c r="M1933" s="1" t="s">
        <v>30</v>
      </c>
      <c r="N1933" s="1" t="s">
        <v>1540</v>
      </c>
      <c r="O1933">
        <v>482.94</v>
      </c>
      <c r="P1933">
        <v>6</v>
      </c>
      <c r="Q1933">
        <v>-376.69319999999999</v>
      </c>
      <c r="R1933" s="1" t="s">
        <v>4422</v>
      </c>
      <c r="S1933">
        <v>2015</v>
      </c>
      <c r="T1933" s="1" t="s">
        <v>55</v>
      </c>
    </row>
    <row r="1934" spans="1:20" x14ac:dyDescent="0.25">
      <c r="A1934" s="1" t="s">
        <v>4185</v>
      </c>
      <c r="B1934" s="2">
        <v>42315</v>
      </c>
      <c r="C1934" s="2">
        <v>42320</v>
      </c>
      <c r="D1934" s="1" t="s">
        <v>37</v>
      </c>
      <c r="E1934" s="1" t="s">
        <v>1253</v>
      </c>
      <c r="F1934" s="1" t="s">
        <v>1254</v>
      </c>
      <c r="G1934" s="1" t="s">
        <v>24</v>
      </c>
      <c r="H1934" s="1" t="s">
        <v>95</v>
      </c>
      <c r="I1934" s="1" t="s">
        <v>86</v>
      </c>
      <c r="J1934" s="1" t="s">
        <v>87</v>
      </c>
      <c r="K1934" s="1" t="s">
        <v>2386</v>
      </c>
      <c r="L1934" s="1" t="s">
        <v>29</v>
      </c>
      <c r="M1934" s="1" t="s">
        <v>53</v>
      </c>
      <c r="N1934" s="1" t="s">
        <v>2387</v>
      </c>
      <c r="O1934">
        <v>64.959999999999994</v>
      </c>
      <c r="P1934">
        <v>5</v>
      </c>
      <c r="Q1934">
        <v>-84.447999999999993</v>
      </c>
      <c r="R1934" s="1" t="s">
        <v>4422</v>
      </c>
      <c r="S1934">
        <v>2015</v>
      </c>
      <c r="T1934" s="1" t="s">
        <v>32</v>
      </c>
    </row>
    <row r="1935" spans="1:20" x14ac:dyDescent="0.25">
      <c r="A1935" s="1" t="s">
        <v>4186</v>
      </c>
      <c r="B1935" s="2">
        <v>42754</v>
      </c>
      <c r="C1935" s="2">
        <v>42759</v>
      </c>
      <c r="D1935" s="1" t="s">
        <v>21</v>
      </c>
      <c r="E1935" s="1" t="s">
        <v>1754</v>
      </c>
      <c r="F1935" s="1" t="s">
        <v>1755</v>
      </c>
      <c r="G1935" s="1" t="s">
        <v>24</v>
      </c>
      <c r="H1935" s="1" t="s">
        <v>61</v>
      </c>
      <c r="I1935" s="1" t="s">
        <v>62</v>
      </c>
      <c r="J1935" s="1" t="s">
        <v>63</v>
      </c>
      <c r="K1935" s="1" t="s">
        <v>688</v>
      </c>
      <c r="L1935" s="1" t="s">
        <v>29</v>
      </c>
      <c r="M1935" s="1" t="s">
        <v>53</v>
      </c>
      <c r="N1935" s="1" t="s">
        <v>689</v>
      </c>
      <c r="O1935">
        <v>31.968</v>
      </c>
      <c r="P1935">
        <v>2</v>
      </c>
      <c r="Q1935">
        <v>6.3936000000000002</v>
      </c>
      <c r="R1935" s="1" t="s">
        <v>4422</v>
      </c>
      <c r="S1935">
        <v>2017</v>
      </c>
      <c r="T1935" s="1" t="s">
        <v>161</v>
      </c>
    </row>
    <row r="1936" spans="1:20" x14ac:dyDescent="0.25">
      <c r="A1936" s="1" t="s">
        <v>4186</v>
      </c>
      <c r="B1936" s="2">
        <v>42754</v>
      </c>
      <c r="C1936" s="2">
        <v>42759</v>
      </c>
      <c r="D1936" s="1" t="s">
        <v>21</v>
      </c>
      <c r="E1936" s="1" t="s">
        <v>1754</v>
      </c>
      <c r="F1936" s="1" t="s">
        <v>1755</v>
      </c>
      <c r="G1936" s="1" t="s">
        <v>24</v>
      </c>
      <c r="H1936" s="1" t="s">
        <v>61</v>
      </c>
      <c r="I1936" s="1" t="s">
        <v>62</v>
      </c>
      <c r="J1936" s="1" t="s">
        <v>63</v>
      </c>
      <c r="K1936" s="1" t="s">
        <v>972</v>
      </c>
      <c r="L1936" s="1" t="s">
        <v>29</v>
      </c>
      <c r="M1936" s="1" t="s">
        <v>34</v>
      </c>
      <c r="N1936" s="1" t="s">
        <v>973</v>
      </c>
      <c r="O1936">
        <v>887.27099999999996</v>
      </c>
      <c r="P1936">
        <v>3</v>
      </c>
      <c r="Q1936">
        <v>-63.3765</v>
      </c>
      <c r="R1936" s="1" t="s">
        <v>4422</v>
      </c>
      <c r="S1936">
        <v>2017</v>
      </c>
      <c r="T1936" s="1" t="s">
        <v>161</v>
      </c>
    </row>
    <row r="1937" spans="1:20" x14ac:dyDescent="0.25">
      <c r="A1937" s="1" t="s">
        <v>4187</v>
      </c>
      <c r="B1937" s="2">
        <v>42600</v>
      </c>
      <c r="C1937" s="2">
        <v>42602</v>
      </c>
      <c r="D1937" s="1" t="s">
        <v>21</v>
      </c>
      <c r="E1937" s="1" t="s">
        <v>3024</v>
      </c>
      <c r="F1937" s="1" t="s">
        <v>3025</v>
      </c>
      <c r="G1937" s="1" t="s">
        <v>94</v>
      </c>
      <c r="H1937" s="1" t="s">
        <v>95</v>
      </c>
      <c r="I1937" s="1" t="s">
        <v>86</v>
      </c>
      <c r="J1937" s="1" t="s">
        <v>87</v>
      </c>
      <c r="K1937" s="1" t="s">
        <v>918</v>
      </c>
      <c r="L1937" s="1" t="s">
        <v>29</v>
      </c>
      <c r="M1937" s="1" t="s">
        <v>53</v>
      </c>
      <c r="N1937" s="1" t="s">
        <v>308</v>
      </c>
      <c r="O1937">
        <v>9.5519999999999996</v>
      </c>
      <c r="P1937">
        <v>3</v>
      </c>
      <c r="Q1937">
        <v>-3.8208000000000002</v>
      </c>
      <c r="R1937" s="1" t="s">
        <v>4423</v>
      </c>
      <c r="S1937">
        <v>2016</v>
      </c>
      <c r="T1937" s="1" t="s">
        <v>245</v>
      </c>
    </row>
    <row r="1938" spans="1:20" x14ac:dyDescent="0.25">
      <c r="A1938" s="1" t="s">
        <v>4187</v>
      </c>
      <c r="B1938" s="2">
        <v>42600</v>
      </c>
      <c r="C1938" s="2">
        <v>42602</v>
      </c>
      <c r="D1938" s="1" t="s">
        <v>21</v>
      </c>
      <c r="E1938" s="1" t="s">
        <v>3024</v>
      </c>
      <c r="F1938" s="1" t="s">
        <v>3025</v>
      </c>
      <c r="G1938" s="1" t="s">
        <v>94</v>
      </c>
      <c r="H1938" s="1" t="s">
        <v>95</v>
      </c>
      <c r="I1938" s="1" t="s">
        <v>86</v>
      </c>
      <c r="J1938" s="1" t="s">
        <v>87</v>
      </c>
      <c r="K1938" s="1" t="s">
        <v>2416</v>
      </c>
      <c r="L1938" s="1" t="s">
        <v>29</v>
      </c>
      <c r="M1938" s="1" t="s">
        <v>53</v>
      </c>
      <c r="N1938" s="1" t="s">
        <v>2417</v>
      </c>
      <c r="O1938">
        <v>5.3440000000000003</v>
      </c>
      <c r="P1938">
        <v>4</v>
      </c>
      <c r="Q1938">
        <v>-2.1375999999999999</v>
      </c>
      <c r="R1938" s="1" t="s">
        <v>4423</v>
      </c>
      <c r="S1938">
        <v>2016</v>
      </c>
      <c r="T1938" s="1" t="s">
        <v>245</v>
      </c>
    </row>
    <row r="1939" spans="1:20" x14ac:dyDescent="0.25">
      <c r="A1939" s="1" t="s">
        <v>4188</v>
      </c>
      <c r="B1939" s="2">
        <v>42453</v>
      </c>
      <c r="C1939" s="2">
        <v>42455</v>
      </c>
      <c r="D1939" s="1" t="s">
        <v>21</v>
      </c>
      <c r="E1939" s="1" t="s">
        <v>3869</v>
      </c>
      <c r="F1939" s="1" t="s">
        <v>3870</v>
      </c>
      <c r="G1939" s="1" t="s">
        <v>24</v>
      </c>
      <c r="H1939" s="1" t="s">
        <v>684</v>
      </c>
      <c r="I1939" s="1" t="s">
        <v>223</v>
      </c>
      <c r="J1939" s="1" t="s">
        <v>63</v>
      </c>
      <c r="K1939" s="1" t="s">
        <v>1958</v>
      </c>
      <c r="L1939" s="1" t="s">
        <v>29</v>
      </c>
      <c r="M1939" s="1" t="s">
        <v>30</v>
      </c>
      <c r="N1939" s="1" t="s">
        <v>1959</v>
      </c>
      <c r="O1939">
        <v>301.47000000000003</v>
      </c>
      <c r="P1939">
        <v>3</v>
      </c>
      <c r="Q1939">
        <v>-241.17599999999999</v>
      </c>
      <c r="R1939" s="1" t="s">
        <v>4423</v>
      </c>
      <c r="S1939">
        <v>2016</v>
      </c>
      <c r="T1939" s="1" t="s">
        <v>187</v>
      </c>
    </row>
    <row r="1940" spans="1:20" x14ac:dyDescent="0.25">
      <c r="A1940" s="1" t="s">
        <v>4189</v>
      </c>
      <c r="B1940" s="2">
        <v>42883</v>
      </c>
      <c r="C1940" s="2">
        <v>42887</v>
      </c>
      <c r="D1940" s="1" t="s">
        <v>37</v>
      </c>
      <c r="E1940" s="1" t="s">
        <v>2085</v>
      </c>
      <c r="F1940" s="1" t="s">
        <v>2086</v>
      </c>
      <c r="G1940" s="1" t="s">
        <v>84</v>
      </c>
      <c r="H1940" s="1" t="s">
        <v>4190</v>
      </c>
      <c r="I1940" s="1" t="s">
        <v>1080</v>
      </c>
      <c r="J1940" s="1" t="s">
        <v>63</v>
      </c>
      <c r="K1940" s="1" t="s">
        <v>1281</v>
      </c>
      <c r="L1940" s="1" t="s">
        <v>29</v>
      </c>
      <c r="M1940" s="1" t="s">
        <v>53</v>
      </c>
      <c r="N1940" s="1" t="s">
        <v>1282</v>
      </c>
      <c r="O1940">
        <v>27.46</v>
      </c>
      <c r="P1940">
        <v>2</v>
      </c>
      <c r="Q1940">
        <v>9.8856000000000002</v>
      </c>
      <c r="R1940" s="1" t="s">
        <v>4424</v>
      </c>
      <c r="S1940">
        <v>2017</v>
      </c>
      <c r="T1940" s="1" t="s">
        <v>153</v>
      </c>
    </row>
    <row r="1941" spans="1:20" x14ac:dyDescent="0.25">
      <c r="A1941" s="1" t="s">
        <v>4191</v>
      </c>
      <c r="B1941" s="2">
        <v>42583</v>
      </c>
      <c r="C1941" s="2">
        <v>42585</v>
      </c>
      <c r="D1941" s="1" t="s">
        <v>21</v>
      </c>
      <c r="E1941" s="1" t="s">
        <v>4192</v>
      </c>
      <c r="F1941" s="1" t="s">
        <v>4193</v>
      </c>
      <c r="G1941" s="1" t="s">
        <v>24</v>
      </c>
      <c r="H1941" s="1" t="s">
        <v>61</v>
      </c>
      <c r="I1941" s="1" t="s">
        <v>62</v>
      </c>
      <c r="J1941" s="1" t="s">
        <v>63</v>
      </c>
      <c r="K1941" s="1" t="s">
        <v>542</v>
      </c>
      <c r="L1941" s="1" t="s">
        <v>29</v>
      </c>
      <c r="M1941" s="1" t="s">
        <v>53</v>
      </c>
      <c r="N1941" s="1" t="s">
        <v>3116</v>
      </c>
      <c r="O1941">
        <v>19.312000000000001</v>
      </c>
      <c r="P1941">
        <v>2</v>
      </c>
      <c r="Q1941">
        <v>3.1381999999999999</v>
      </c>
      <c r="R1941" s="1" t="s">
        <v>4423</v>
      </c>
      <c r="S1941">
        <v>2016</v>
      </c>
      <c r="T1941" s="1" t="s">
        <v>245</v>
      </c>
    </row>
    <row r="1942" spans="1:20" x14ac:dyDescent="0.25">
      <c r="A1942" s="1" t="s">
        <v>4194</v>
      </c>
      <c r="B1942" s="2">
        <v>42712</v>
      </c>
      <c r="C1942" s="2">
        <v>42716</v>
      </c>
      <c r="D1942" s="1" t="s">
        <v>37</v>
      </c>
      <c r="E1942" s="1" t="s">
        <v>1463</v>
      </c>
      <c r="F1942" s="1" t="s">
        <v>1464</v>
      </c>
      <c r="G1942" s="1" t="s">
        <v>24</v>
      </c>
      <c r="H1942" s="1" t="s">
        <v>4195</v>
      </c>
      <c r="I1942" s="1" t="s">
        <v>230</v>
      </c>
      <c r="J1942" s="1" t="s">
        <v>87</v>
      </c>
      <c r="K1942" s="1" t="s">
        <v>1944</v>
      </c>
      <c r="L1942" s="1" t="s">
        <v>29</v>
      </c>
      <c r="M1942" s="1" t="s">
        <v>30</v>
      </c>
      <c r="N1942" s="1" t="s">
        <v>1945</v>
      </c>
      <c r="O1942">
        <v>405.86</v>
      </c>
      <c r="P1942">
        <v>7</v>
      </c>
      <c r="Q1942">
        <v>32.468800000000002</v>
      </c>
      <c r="R1942" s="1" t="s">
        <v>4424</v>
      </c>
      <c r="S1942">
        <v>2016</v>
      </c>
      <c r="T1942" s="1" t="s">
        <v>90</v>
      </c>
    </row>
    <row r="1943" spans="1:20" x14ac:dyDescent="0.25">
      <c r="A1943" s="1" t="s">
        <v>4194</v>
      </c>
      <c r="B1943" s="2">
        <v>42712</v>
      </c>
      <c r="C1943" s="2">
        <v>42716</v>
      </c>
      <c r="D1943" s="1" t="s">
        <v>37</v>
      </c>
      <c r="E1943" s="1" t="s">
        <v>1463</v>
      </c>
      <c r="F1943" s="1" t="s">
        <v>1464</v>
      </c>
      <c r="G1943" s="1" t="s">
        <v>24</v>
      </c>
      <c r="H1943" s="1" t="s">
        <v>4195</v>
      </c>
      <c r="I1943" s="1" t="s">
        <v>230</v>
      </c>
      <c r="J1943" s="1" t="s">
        <v>87</v>
      </c>
      <c r="K1943" s="1" t="s">
        <v>796</v>
      </c>
      <c r="L1943" s="1" t="s">
        <v>29</v>
      </c>
      <c r="M1943" s="1" t="s">
        <v>34</v>
      </c>
      <c r="N1943" s="1" t="s">
        <v>797</v>
      </c>
      <c r="O1943">
        <v>680.01</v>
      </c>
      <c r="P1943">
        <v>3</v>
      </c>
      <c r="Q1943">
        <v>176.80260000000001</v>
      </c>
      <c r="R1943" s="1" t="s">
        <v>4424</v>
      </c>
      <c r="S1943">
        <v>2016</v>
      </c>
      <c r="T1943" s="1" t="s">
        <v>90</v>
      </c>
    </row>
    <row r="1944" spans="1:20" x14ac:dyDescent="0.25">
      <c r="A1944" s="1" t="s">
        <v>4196</v>
      </c>
      <c r="B1944" s="2">
        <v>42705</v>
      </c>
      <c r="C1944" s="2">
        <v>42705</v>
      </c>
      <c r="D1944" s="1" t="s">
        <v>417</v>
      </c>
      <c r="E1944" s="1" t="s">
        <v>2430</v>
      </c>
      <c r="F1944" s="1" t="s">
        <v>2431</v>
      </c>
      <c r="G1944" s="1" t="s">
        <v>94</v>
      </c>
      <c r="H1944" s="1" t="s">
        <v>3438</v>
      </c>
      <c r="I1944" s="1" t="s">
        <v>50</v>
      </c>
      <c r="J1944" s="1" t="s">
        <v>51</v>
      </c>
      <c r="K1944" s="1" t="s">
        <v>576</v>
      </c>
      <c r="L1944" s="1" t="s">
        <v>29</v>
      </c>
      <c r="M1944" s="1" t="s">
        <v>53</v>
      </c>
      <c r="N1944" s="1" t="s">
        <v>577</v>
      </c>
      <c r="O1944">
        <v>31.96</v>
      </c>
      <c r="P1944">
        <v>2</v>
      </c>
      <c r="Q1944">
        <v>1.5980000000000001</v>
      </c>
      <c r="R1944" s="1" t="s">
        <v>4427</v>
      </c>
      <c r="S1944">
        <v>2016</v>
      </c>
      <c r="T1944" s="1" t="s">
        <v>90</v>
      </c>
    </row>
    <row r="1945" spans="1:20" x14ac:dyDescent="0.25">
      <c r="A1945" s="1" t="s">
        <v>4197</v>
      </c>
      <c r="B1945" s="2">
        <v>42954</v>
      </c>
      <c r="C1945" s="2">
        <v>42958</v>
      </c>
      <c r="D1945" s="1" t="s">
        <v>37</v>
      </c>
      <c r="E1945" s="1" t="s">
        <v>405</v>
      </c>
      <c r="F1945" s="1" t="s">
        <v>406</v>
      </c>
      <c r="G1945" s="1" t="s">
        <v>24</v>
      </c>
      <c r="H1945" s="1" t="s">
        <v>3762</v>
      </c>
      <c r="I1945" s="1" t="s">
        <v>50</v>
      </c>
      <c r="J1945" s="1" t="s">
        <v>51</v>
      </c>
      <c r="K1945" s="1" t="s">
        <v>78</v>
      </c>
      <c r="L1945" s="1" t="s">
        <v>29</v>
      </c>
      <c r="M1945" s="1" t="s">
        <v>53</v>
      </c>
      <c r="N1945" s="1" t="s">
        <v>79</v>
      </c>
      <c r="O1945">
        <v>51.75</v>
      </c>
      <c r="P1945">
        <v>1</v>
      </c>
      <c r="Q1945">
        <v>15.525</v>
      </c>
      <c r="R1945" s="1" t="s">
        <v>4424</v>
      </c>
      <c r="S1945">
        <v>2017</v>
      </c>
      <c r="T1945" s="1" t="s">
        <v>245</v>
      </c>
    </row>
    <row r="1946" spans="1:20" x14ac:dyDescent="0.25">
      <c r="A1946" s="1" t="s">
        <v>4197</v>
      </c>
      <c r="B1946" s="2">
        <v>42954</v>
      </c>
      <c r="C1946" s="2">
        <v>42958</v>
      </c>
      <c r="D1946" s="1" t="s">
        <v>37</v>
      </c>
      <c r="E1946" s="1" t="s">
        <v>405</v>
      </c>
      <c r="F1946" s="1" t="s">
        <v>406</v>
      </c>
      <c r="G1946" s="1" t="s">
        <v>24</v>
      </c>
      <c r="H1946" s="1" t="s">
        <v>3762</v>
      </c>
      <c r="I1946" s="1" t="s">
        <v>50</v>
      </c>
      <c r="J1946" s="1" t="s">
        <v>51</v>
      </c>
      <c r="K1946" s="1" t="s">
        <v>4198</v>
      </c>
      <c r="L1946" s="1" t="s">
        <v>29</v>
      </c>
      <c r="M1946" s="1" t="s">
        <v>34</v>
      </c>
      <c r="N1946" s="1" t="s">
        <v>4199</v>
      </c>
      <c r="O1946">
        <v>207.184</v>
      </c>
      <c r="P1946">
        <v>1</v>
      </c>
      <c r="Q1946">
        <v>25.898</v>
      </c>
      <c r="R1946" s="1" t="s">
        <v>4424</v>
      </c>
      <c r="S1946">
        <v>2017</v>
      </c>
      <c r="T1946" s="1" t="s">
        <v>245</v>
      </c>
    </row>
    <row r="1947" spans="1:20" x14ac:dyDescent="0.25">
      <c r="A1947" s="1" t="s">
        <v>4200</v>
      </c>
      <c r="B1947" s="2">
        <v>41769</v>
      </c>
      <c r="C1947" s="2">
        <v>41774</v>
      </c>
      <c r="D1947" s="1" t="s">
        <v>37</v>
      </c>
      <c r="E1947" s="1" t="s">
        <v>1117</v>
      </c>
      <c r="F1947" s="1" t="s">
        <v>1118</v>
      </c>
      <c r="G1947" s="1" t="s">
        <v>24</v>
      </c>
      <c r="H1947" s="1" t="s">
        <v>1482</v>
      </c>
      <c r="I1947" s="1" t="s">
        <v>50</v>
      </c>
      <c r="J1947" s="1" t="s">
        <v>51</v>
      </c>
      <c r="K1947" s="1" t="s">
        <v>2264</v>
      </c>
      <c r="L1947" s="1" t="s">
        <v>29</v>
      </c>
      <c r="M1947" s="1" t="s">
        <v>34</v>
      </c>
      <c r="N1947" s="1" t="s">
        <v>2265</v>
      </c>
      <c r="O1947">
        <v>256.78399999999999</v>
      </c>
      <c r="P1947">
        <v>1</v>
      </c>
      <c r="Q1947">
        <v>32.097999999999999</v>
      </c>
      <c r="R1947" s="1" t="s">
        <v>4422</v>
      </c>
      <c r="S1947">
        <v>2014</v>
      </c>
      <c r="T1947" s="1" t="s">
        <v>153</v>
      </c>
    </row>
    <row r="1948" spans="1:20" x14ac:dyDescent="0.25">
      <c r="A1948" s="1" t="s">
        <v>4201</v>
      </c>
      <c r="B1948" s="2">
        <v>42660</v>
      </c>
      <c r="C1948" s="2">
        <v>42663</v>
      </c>
      <c r="D1948" s="1" t="s">
        <v>81</v>
      </c>
      <c r="E1948" s="1" t="s">
        <v>2927</v>
      </c>
      <c r="F1948" s="1" t="s">
        <v>2928</v>
      </c>
      <c r="G1948" s="1" t="s">
        <v>24</v>
      </c>
      <c r="H1948" s="1" t="s">
        <v>4202</v>
      </c>
      <c r="I1948" s="1" t="s">
        <v>354</v>
      </c>
      <c r="J1948" s="1" t="s">
        <v>63</v>
      </c>
      <c r="K1948" s="1" t="s">
        <v>533</v>
      </c>
      <c r="L1948" s="1" t="s">
        <v>29</v>
      </c>
      <c r="M1948" s="1" t="s">
        <v>30</v>
      </c>
      <c r="N1948" s="1" t="s">
        <v>534</v>
      </c>
      <c r="O1948">
        <v>120.98</v>
      </c>
      <c r="P1948">
        <v>1</v>
      </c>
      <c r="Q1948">
        <v>12.098000000000001</v>
      </c>
      <c r="R1948" s="1" t="s">
        <v>4420</v>
      </c>
      <c r="S1948">
        <v>2016</v>
      </c>
      <c r="T1948" s="1" t="s">
        <v>45</v>
      </c>
    </row>
    <row r="1949" spans="1:20" x14ac:dyDescent="0.25">
      <c r="A1949" s="1" t="s">
        <v>4203</v>
      </c>
      <c r="B1949" s="2">
        <v>41981</v>
      </c>
      <c r="C1949" s="2">
        <v>41988</v>
      </c>
      <c r="D1949" s="1" t="s">
        <v>37</v>
      </c>
      <c r="E1949" s="1" t="s">
        <v>655</v>
      </c>
      <c r="F1949" s="1" t="s">
        <v>656</v>
      </c>
      <c r="G1949" s="1" t="s">
        <v>84</v>
      </c>
      <c r="H1949" s="1" t="s">
        <v>320</v>
      </c>
      <c r="I1949" s="1" t="s">
        <v>50</v>
      </c>
      <c r="J1949" s="1" t="s">
        <v>51</v>
      </c>
      <c r="K1949" s="1" t="s">
        <v>120</v>
      </c>
      <c r="L1949" s="1" t="s">
        <v>29</v>
      </c>
      <c r="M1949" s="1" t="s">
        <v>53</v>
      </c>
      <c r="N1949" s="1" t="s">
        <v>121</v>
      </c>
      <c r="O1949">
        <v>39.880000000000003</v>
      </c>
      <c r="P1949">
        <v>2</v>
      </c>
      <c r="Q1949">
        <v>11.166399999999999</v>
      </c>
      <c r="R1949" s="1" t="s">
        <v>4421</v>
      </c>
      <c r="S1949">
        <v>2014</v>
      </c>
      <c r="T1949" s="1" t="s">
        <v>90</v>
      </c>
    </row>
    <row r="1950" spans="1:20" x14ac:dyDescent="0.25">
      <c r="A1950" s="1" t="s">
        <v>4203</v>
      </c>
      <c r="B1950" s="2">
        <v>41981</v>
      </c>
      <c r="C1950" s="2">
        <v>41988</v>
      </c>
      <c r="D1950" s="1" t="s">
        <v>37</v>
      </c>
      <c r="E1950" s="1" t="s">
        <v>655</v>
      </c>
      <c r="F1950" s="1" t="s">
        <v>656</v>
      </c>
      <c r="G1950" s="1" t="s">
        <v>84</v>
      </c>
      <c r="H1950" s="1" t="s">
        <v>320</v>
      </c>
      <c r="I1950" s="1" t="s">
        <v>50</v>
      </c>
      <c r="J1950" s="1" t="s">
        <v>51</v>
      </c>
      <c r="K1950" s="1" t="s">
        <v>1412</v>
      </c>
      <c r="L1950" s="1" t="s">
        <v>29</v>
      </c>
      <c r="M1950" s="1" t="s">
        <v>53</v>
      </c>
      <c r="N1950" s="1" t="s">
        <v>1413</v>
      </c>
      <c r="O1950">
        <v>79.44</v>
      </c>
      <c r="P1950">
        <v>3</v>
      </c>
      <c r="Q1950">
        <v>28.598400000000002</v>
      </c>
      <c r="R1950" s="1" t="s">
        <v>4421</v>
      </c>
      <c r="S1950">
        <v>2014</v>
      </c>
      <c r="T1950" s="1" t="s">
        <v>90</v>
      </c>
    </row>
    <row r="1951" spans="1:20" x14ac:dyDescent="0.25">
      <c r="A1951" s="1" t="s">
        <v>4204</v>
      </c>
      <c r="B1951" s="2">
        <v>42232</v>
      </c>
      <c r="C1951" s="2">
        <v>42236</v>
      </c>
      <c r="D1951" s="1" t="s">
        <v>37</v>
      </c>
      <c r="E1951" s="1" t="s">
        <v>1459</v>
      </c>
      <c r="F1951" s="1" t="s">
        <v>1460</v>
      </c>
      <c r="G1951" s="1" t="s">
        <v>24</v>
      </c>
      <c r="H1951" s="1" t="s">
        <v>61</v>
      </c>
      <c r="I1951" s="1" t="s">
        <v>62</v>
      </c>
      <c r="J1951" s="1" t="s">
        <v>63</v>
      </c>
      <c r="K1951" s="1" t="s">
        <v>1860</v>
      </c>
      <c r="L1951" s="1" t="s">
        <v>29</v>
      </c>
      <c r="M1951" s="1" t="s">
        <v>30</v>
      </c>
      <c r="N1951" s="1" t="s">
        <v>1861</v>
      </c>
      <c r="O1951">
        <v>301.47000000000003</v>
      </c>
      <c r="P1951">
        <v>3</v>
      </c>
      <c r="Q1951">
        <v>-204.99959999999999</v>
      </c>
      <c r="R1951" s="1" t="s">
        <v>4424</v>
      </c>
      <c r="S1951">
        <v>2015</v>
      </c>
      <c r="T1951" s="1" t="s">
        <v>245</v>
      </c>
    </row>
    <row r="1952" spans="1:20" x14ac:dyDescent="0.25">
      <c r="A1952" s="1" t="s">
        <v>4205</v>
      </c>
      <c r="B1952" s="2">
        <v>43021</v>
      </c>
      <c r="C1952" s="2">
        <v>43022</v>
      </c>
      <c r="D1952" s="1" t="s">
        <v>81</v>
      </c>
      <c r="E1952" s="1" t="s">
        <v>2098</v>
      </c>
      <c r="F1952" s="1" t="s">
        <v>2099</v>
      </c>
      <c r="G1952" s="1" t="s">
        <v>24</v>
      </c>
      <c r="H1952" s="1" t="s">
        <v>1396</v>
      </c>
      <c r="I1952" s="1" t="s">
        <v>1397</v>
      </c>
      <c r="J1952" s="1" t="s">
        <v>27</v>
      </c>
      <c r="K1952" s="1" t="s">
        <v>298</v>
      </c>
      <c r="L1952" s="1" t="s">
        <v>29</v>
      </c>
      <c r="M1952" s="1" t="s">
        <v>43</v>
      </c>
      <c r="N1952" s="1" t="s">
        <v>299</v>
      </c>
      <c r="O1952">
        <v>1504.52</v>
      </c>
      <c r="P1952">
        <v>4</v>
      </c>
      <c r="Q1952">
        <v>346.03960000000001</v>
      </c>
      <c r="R1952" s="1" t="s">
        <v>4425</v>
      </c>
      <c r="S1952">
        <v>2017</v>
      </c>
      <c r="T1952" s="1" t="s">
        <v>45</v>
      </c>
    </row>
    <row r="1953" spans="1:20" x14ac:dyDescent="0.25">
      <c r="A1953" s="1" t="s">
        <v>4206</v>
      </c>
      <c r="B1953" s="2">
        <v>42615</v>
      </c>
      <c r="C1953" s="2">
        <v>42619</v>
      </c>
      <c r="D1953" s="1" t="s">
        <v>37</v>
      </c>
      <c r="E1953" s="1" t="s">
        <v>628</v>
      </c>
      <c r="F1953" s="1" t="s">
        <v>629</v>
      </c>
      <c r="G1953" s="1" t="s">
        <v>24</v>
      </c>
      <c r="H1953" s="1" t="s">
        <v>49</v>
      </c>
      <c r="I1953" s="1" t="s">
        <v>50</v>
      </c>
      <c r="J1953" s="1" t="s">
        <v>51</v>
      </c>
      <c r="K1953" s="1" t="s">
        <v>1568</v>
      </c>
      <c r="L1953" s="1" t="s">
        <v>29</v>
      </c>
      <c r="M1953" s="1" t="s">
        <v>53</v>
      </c>
      <c r="N1953" s="1" t="s">
        <v>1569</v>
      </c>
      <c r="O1953">
        <v>94.68</v>
      </c>
      <c r="P1953">
        <v>9</v>
      </c>
      <c r="Q1953">
        <v>31.244399999999999</v>
      </c>
      <c r="R1953" s="1" t="s">
        <v>4424</v>
      </c>
      <c r="S1953">
        <v>2016</v>
      </c>
      <c r="T1953" s="1" t="s">
        <v>72</v>
      </c>
    </row>
    <row r="1954" spans="1:20" x14ac:dyDescent="0.25">
      <c r="A1954" s="1" t="s">
        <v>4206</v>
      </c>
      <c r="B1954" s="2">
        <v>42615</v>
      </c>
      <c r="C1954" s="2">
        <v>42619</v>
      </c>
      <c r="D1954" s="1" t="s">
        <v>37</v>
      </c>
      <c r="E1954" s="1" t="s">
        <v>628</v>
      </c>
      <c r="F1954" s="1" t="s">
        <v>629</v>
      </c>
      <c r="G1954" s="1" t="s">
        <v>24</v>
      </c>
      <c r="H1954" s="1" t="s">
        <v>49</v>
      </c>
      <c r="I1954" s="1" t="s">
        <v>50</v>
      </c>
      <c r="J1954" s="1" t="s">
        <v>51</v>
      </c>
      <c r="K1954" s="1" t="s">
        <v>56</v>
      </c>
      <c r="L1954" s="1" t="s">
        <v>29</v>
      </c>
      <c r="M1954" s="1" t="s">
        <v>43</v>
      </c>
      <c r="N1954" s="1" t="s">
        <v>57</v>
      </c>
      <c r="O1954">
        <v>568.72799999999995</v>
      </c>
      <c r="P1954">
        <v>3</v>
      </c>
      <c r="Q1954">
        <v>28.436399999999999</v>
      </c>
      <c r="R1954" s="1" t="s">
        <v>4424</v>
      </c>
      <c r="S1954">
        <v>2016</v>
      </c>
      <c r="T1954" s="1" t="s">
        <v>72</v>
      </c>
    </row>
    <row r="1955" spans="1:20" x14ac:dyDescent="0.25">
      <c r="A1955" s="1" t="s">
        <v>4207</v>
      </c>
      <c r="B1955" s="2">
        <v>42777</v>
      </c>
      <c r="C1955" s="2">
        <v>42780</v>
      </c>
      <c r="D1955" s="1" t="s">
        <v>81</v>
      </c>
      <c r="E1955" s="1" t="s">
        <v>1675</v>
      </c>
      <c r="F1955" s="1" t="s">
        <v>1676</v>
      </c>
      <c r="G1955" s="1" t="s">
        <v>24</v>
      </c>
      <c r="H1955" s="1" t="s">
        <v>339</v>
      </c>
      <c r="I1955" s="1" t="s">
        <v>223</v>
      </c>
      <c r="J1955" s="1" t="s">
        <v>63</v>
      </c>
      <c r="K1955" s="1" t="s">
        <v>911</v>
      </c>
      <c r="L1955" s="1" t="s">
        <v>29</v>
      </c>
      <c r="M1955" s="1" t="s">
        <v>53</v>
      </c>
      <c r="N1955" s="1" t="s">
        <v>912</v>
      </c>
      <c r="O1955">
        <v>147.56800000000001</v>
      </c>
      <c r="P1955">
        <v>2</v>
      </c>
      <c r="Q1955">
        <v>-3.6892</v>
      </c>
      <c r="R1955" s="1" t="s">
        <v>4420</v>
      </c>
      <c r="S1955">
        <v>2017</v>
      </c>
      <c r="T1955" s="1" t="s">
        <v>289</v>
      </c>
    </row>
    <row r="1956" spans="1:20" x14ac:dyDescent="0.25">
      <c r="A1956" s="1" t="s">
        <v>4208</v>
      </c>
      <c r="B1956" s="2">
        <v>41829</v>
      </c>
      <c r="C1956" s="2">
        <v>41834</v>
      </c>
      <c r="D1956" s="1" t="s">
        <v>37</v>
      </c>
      <c r="E1956" s="1" t="s">
        <v>756</v>
      </c>
      <c r="F1956" s="1" t="s">
        <v>757</v>
      </c>
      <c r="G1956" s="1" t="s">
        <v>94</v>
      </c>
      <c r="H1956" s="1" t="s">
        <v>320</v>
      </c>
      <c r="I1956" s="1" t="s">
        <v>50</v>
      </c>
      <c r="J1956" s="1" t="s">
        <v>51</v>
      </c>
      <c r="K1956" s="1" t="s">
        <v>2613</v>
      </c>
      <c r="L1956" s="1" t="s">
        <v>29</v>
      </c>
      <c r="M1956" s="1" t="s">
        <v>30</v>
      </c>
      <c r="N1956" s="1" t="s">
        <v>2614</v>
      </c>
      <c r="O1956">
        <v>119.833</v>
      </c>
      <c r="P1956">
        <v>1</v>
      </c>
      <c r="Q1956">
        <v>7.0490000000000004</v>
      </c>
      <c r="R1956" s="1" t="s">
        <v>4422</v>
      </c>
      <c r="S1956">
        <v>2014</v>
      </c>
      <c r="T1956" s="1" t="s">
        <v>66</v>
      </c>
    </row>
    <row r="1957" spans="1:20" x14ac:dyDescent="0.25">
      <c r="A1957" s="1" t="s">
        <v>4209</v>
      </c>
      <c r="B1957" s="2">
        <v>41681</v>
      </c>
      <c r="C1957" s="2">
        <v>41685</v>
      </c>
      <c r="D1957" s="1" t="s">
        <v>21</v>
      </c>
      <c r="E1957" s="1" t="s">
        <v>858</v>
      </c>
      <c r="F1957" s="1" t="s">
        <v>859</v>
      </c>
      <c r="G1957" s="1" t="s">
        <v>24</v>
      </c>
      <c r="H1957" s="1" t="s">
        <v>149</v>
      </c>
      <c r="I1957" s="1" t="s">
        <v>556</v>
      </c>
      <c r="J1957" s="1" t="s">
        <v>87</v>
      </c>
      <c r="K1957" s="1" t="s">
        <v>127</v>
      </c>
      <c r="L1957" s="1" t="s">
        <v>29</v>
      </c>
      <c r="M1957" s="1" t="s">
        <v>34</v>
      </c>
      <c r="N1957" s="1" t="s">
        <v>128</v>
      </c>
      <c r="O1957">
        <v>60.89</v>
      </c>
      <c r="P1957">
        <v>1</v>
      </c>
      <c r="Q1957">
        <v>15.2225</v>
      </c>
      <c r="R1957" s="1" t="s">
        <v>4424</v>
      </c>
      <c r="S1957">
        <v>2014</v>
      </c>
      <c r="T1957" s="1" t="s">
        <v>289</v>
      </c>
    </row>
    <row r="1958" spans="1:20" x14ac:dyDescent="0.25">
      <c r="A1958" s="1" t="s">
        <v>4209</v>
      </c>
      <c r="B1958" s="2">
        <v>41681</v>
      </c>
      <c r="C1958" s="2">
        <v>41685</v>
      </c>
      <c r="D1958" s="1" t="s">
        <v>21</v>
      </c>
      <c r="E1958" s="1" t="s">
        <v>858</v>
      </c>
      <c r="F1958" s="1" t="s">
        <v>859</v>
      </c>
      <c r="G1958" s="1" t="s">
        <v>24</v>
      </c>
      <c r="H1958" s="1" t="s">
        <v>149</v>
      </c>
      <c r="I1958" s="1" t="s">
        <v>556</v>
      </c>
      <c r="J1958" s="1" t="s">
        <v>87</v>
      </c>
      <c r="K1958" s="1" t="s">
        <v>1844</v>
      </c>
      <c r="L1958" s="1" t="s">
        <v>29</v>
      </c>
      <c r="M1958" s="1" t="s">
        <v>53</v>
      </c>
      <c r="N1958" s="1" t="s">
        <v>1845</v>
      </c>
      <c r="O1958">
        <v>332.94</v>
      </c>
      <c r="P1958">
        <v>3</v>
      </c>
      <c r="Q1958">
        <v>53.270400000000002</v>
      </c>
      <c r="R1958" s="1" t="s">
        <v>4424</v>
      </c>
      <c r="S1958">
        <v>2014</v>
      </c>
      <c r="T1958" s="1" t="s">
        <v>289</v>
      </c>
    </row>
    <row r="1959" spans="1:20" x14ac:dyDescent="0.25">
      <c r="A1959" s="1" t="s">
        <v>4210</v>
      </c>
      <c r="B1959" s="2">
        <v>42980</v>
      </c>
      <c r="C1959" s="2">
        <v>42980</v>
      </c>
      <c r="D1959" s="1" t="s">
        <v>417</v>
      </c>
      <c r="E1959" s="1" t="s">
        <v>3190</v>
      </c>
      <c r="F1959" s="1" t="s">
        <v>3191</v>
      </c>
      <c r="G1959" s="1" t="s">
        <v>94</v>
      </c>
      <c r="H1959" s="1" t="s">
        <v>183</v>
      </c>
      <c r="I1959" s="1" t="s">
        <v>184</v>
      </c>
      <c r="J1959" s="1" t="s">
        <v>51</v>
      </c>
      <c r="K1959" s="1" t="s">
        <v>108</v>
      </c>
      <c r="L1959" s="1" t="s">
        <v>29</v>
      </c>
      <c r="M1959" s="1" t="s">
        <v>34</v>
      </c>
      <c r="N1959" s="1" t="s">
        <v>109</v>
      </c>
      <c r="O1959">
        <v>215.976</v>
      </c>
      <c r="P1959">
        <v>3</v>
      </c>
      <c r="Q1959">
        <v>-2.6997</v>
      </c>
      <c r="R1959" s="1" t="s">
        <v>4427</v>
      </c>
      <c r="S1959">
        <v>2017</v>
      </c>
      <c r="T1959" s="1" t="s">
        <v>72</v>
      </c>
    </row>
    <row r="1960" spans="1:20" x14ac:dyDescent="0.25">
      <c r="A1960" s="1" t="s">
        <v>4211</v>
      </c>
      <c r="B1960" s="2">
        <v>42286</v>
      </c>
      <c r="C1960" s="2">
        <v>42290</v>
      </c>
      <c r="D1960" s="1" t="s">
        <v>37</v>
      </c>
      <c r="E1960" s="1" t="s">
        <v>4212</v>
      </c>
      <c r="F1960" s="1" t="s">
        <v>4213</v>
      </c>
      <c r="G1960" s="1" t="s">
        <v>24</v>
      </c>
      <c r="H1960" s="1" t="s">
        <v>280</v>
      </c>
      <c r="I1960" s="1" t="s">
        <v>281</v>
      </c>
      <c r="J1960" s="1" t="s">
        <v>87</v>
      </c>
      <c r="K1960" s="1" t="s">
        <v>134</v>
      </c>
      <c r="L1960" s="1" t="s">
        <v>29</v>
      </c>
      <c r="M1960" s="1" t="s">
        <v>34</v>
      </c>
      <c r="N1960" s="1" t="s">
        <v>135</v>
      </c>
      <c r="O1960">
        <v>389.97</v>
      </c>
      <c r="P1960">
        <v>3</v>
      </c>
      <c r="Q1960">
        <v>35.097299999999997</v>
      </c>
      <c r="R1960" s="1" t="s">
        <v>4424</v>
      </c>
      <c r="S1960">
        <v>2015</v>
      </c>
      <c r="T1960" s="1" t="s">
        <v>45</v>
      </c>
    </row>
    <row r="1961" spans="1:20" x14ac:dyDescent="0.25">
      <c r="A1961" s="1" t="s">
        <v>4214</v>
      </c>
      <c r="B1961" s="2">
        <v>41678</v>
      </c>
      <c r="C1961" s="2">
        <v>41679</v>
      </c>
      <c r="D1961" s="1" t="s">
        <v>81</v>
      </c>
      <c r="E1961" s="1" t="s">
        <v>384</v>
      </c>
      <c r="F1961" s="1" t="s">
        <v>385</v>
      </c>
      <c r="G1961" s="1" t="s">
        <v>94</v>
      </c>
      <c r="H1961" s="1" t="s">
        <v>1330</v>
      </c>
      <c r="I1961" s="1" t="s">
        <v>1331</v>
      </c>
      <c r="J1961" s="1" t="s">
        <v>51</v>
      </c>
      <c r="K1961" s="1" t="s">
        <v>2868</v>
      </c>
      <c r="L1961" s="1" t="s">
        <v>29</v>
      </c>
      <c r="M1961" s="1" t="s">
        <v>53</v>
      </c>
      <c r="N1961" s="1" t="s">
        <v>2869</v>
      </c>
      <c r="O1961">
        <v>14.56</v>
      </c>
      <c r="P1961">
        <v>2</v>
      </c>
      <c r="Q1961">
        <v>5.5327999999999999</v>
      </c>
      <c r="R1961" s="1" t="s">
        <v>4425</v>
      </c>
      <c r="S1961">
        <v>2014</v>
      </c>
      <c r="T1961" s="1" t="s">
        <v>289</v>
      </c>
    </row>
    <row r="1962" spans="1:20" x14ac:dyDescent="0.25">
      <c r="A1962" s="1" t="s">
        <v>4215</v>
      </c>
      <c r="B1962" s="2">
        <v>42272</v>
      </c>
      <c r="C1962" s="2">
        <v>42272</v>
      </c>
      <c r="D1962" s="1" t="s">
        <v>417</v>
      </c>
      <c r="E1962" s="1" t="s">
        <v>619</v>
      </c>
      <c r="F1962" s="1" t="s">
        <v>620</v>
      </c>
      <c r="G1962" s="1" t="s">
        <v>24</v>
      </c>
      <c r="H1962" s="1" t="s">
        <v>2719</v>
      </c>
      <c r="I1962" s="1" t="s">
        <v>114</v>
      </c>
      <c r="J1962" s="1" t="s">
        <v>63</v>
      </c>
      <c r="K1962" s="1" t="s">
        <v>3207</v>
      </c>
      <c r="L1962" s="1" t="s">
        <v>29</v>
      </c>
      <c r="M1962" s="1" t="s">
        <v>34</v>
      </c>
      <c r="N1962" s="1" t="s">
        <v>3208</v>
      </c>
      <c r="O1962">
        <v>102.58199999999999</v>
      </c>
      <c r="P1962">
        <v>1</v>
      </c>
      <c r="Q1962">
        <v>6.8388</v>
      </c>
      <c r="R1962" s="1" t="s">
        <v>4427</v>
      </c>
      <c r="S1962">
        <v>2015</v>
      </c>
      <c r="T1962" s="1" t="s">
        <v>72</v>
      </c>
    </row>
    <row r="1963" spans="1:20" x14ac:dyDescent="0.25">
      <c r="A1963" s="1" t="s">
        <v>4216</v>
      </c>
      <c r="B1963" s="2">
        <v>42502</v>
      </c>
      <c r="C1963" s="2">
        <v>42507</v>
      </c>
      <c r="D1963" s="1" t="s">
        <v>37</v>
      </c>
      <c r="E1963" s="1" t="s">
        <v>1857</v>
      </c>
      <c r="F1963" s="1" t="s">
        <v>1858</v>
      </c>
      <c r="G1963" s="1" t="s">
        <v>84</v>
      </c>
      <c r="H1963" s="1" t="s">
        <v>165</v>
      </c>
      <c r="I1963" s="1" t="s">
        <v>114</v>
      </c>
      <c r="J1963" s="1" t="s">
        <v>63</v>
      </c>
      <c r="K1963" s="1" t="s">
        <v>2416</v>
      </c>
      <c r="L1963" s="1" t="s">
        <v>29</v>
      </c>
      <c r="M1963" s="1" t="s">
        <v>53</v>
      </c>
      <c r="N1963" s="1" t="s">
        <v>2417</v>
      </c>
      <c r="O1963">
        <v>10.02</v>
      </c>
      <c r="P1963">
        <v>3</v>
      </c>
      <c r="Q1963">
        <v>4.4088000000000003</v>
      </c>
      <c r="R1963" s="1" t="s">
        <v>4422</v>
      </c>
      <c r="S1963">
        <v>2016</v>
      </c>
      <c r="T1963" s="1" t="s">
        <v>153</v>
      </c>
    </row>
    <row r="1964" spans="1:20" x14ac:dyDescent="0.25">
      <c r="A1964" s="1" t="s">
        <v>4217</v>
      </c>
      <c r="B1964" s="2">
        <v>43070</v>
      </c>
      <c r="C1964" s="2">
        <v>43074</v>
      </c>
      <c r="D1964" s="1" t="s">
        <v>37</v>
      </c>
      <c r="E1964" s="1" t="s">
        <v>3674</v>
      </c>
      <c r="F1964" s="1" t="s">
        <v>3675</v>
      </c>
      <c r="G1964" s="1" t="s">
        <v>24</v>
      </c>
      <c r="H1964" s="1" t="s">
        <v>61</v>
      </c>
      <c r="I1964" s="1" t="s">
        <v>62</v>
      </c>
      <c r="J1964" s="1" t="s">
        <v>63</v>
      </c>
      <c r="K1964" s="1" t="s">
        <v>566</v>
      </c>
      <c r="L1964" s="1" t="s">
        <v>29</v>
      </c>
      <c r="M1964" s="1" t="s">
        <v>34</v>
      </c>
      <c r="N1964" s="1" t="s">
        <v>567</v>
      </c>
      <c r="O1964">
        <v>398.97199999999998</v>
      </c>
      <c r="P1964">
        <v>2</v>
      </c>
      <c r="Q1964">
        <v>-28.498000000000001</v>
      </c>
      <c r="R1964" s="1" t="s">
        <v>4424</v>
      </c>
      <c r="S1964">
        <v>2017</v>
      </c>
      <c r="T1964" s="1" t="s">
        <v>90</v>
      </c>
    </row>
    <row r="1965" spans="1:20" x14ac:dyDescent="0.25">
      <c r="A1965" s="1" t="s">
        <v>4218</v>
      </c>
      <c r="B1965" s="2">
        <v>42633</v>
      </c>
      <c r="C1965" s="2">
        <v>42637</v>
      </c>
      <c r="D1965" s="1" t="s">
        <v>37</v>
      </c>
      <c r="E1965" s="1" t="s">
        <v>4219</v>
      </c>
      <c r="F1965" s="1" t="s">
        <v>4220</v>
      </c>
      <c r="G1965" s="1" t="s">
        <v>94</v>
      </c>
      <c r="H1965" s="1" t="s">
        <v>183</v>
      </c>
      <c r="I1965" s="1" t="s">
        <v>184</v>
      </c>
      <c r="J1965" s="1" t="s">
        <v>51</v>
      </c>
      <c r="K1965" s="1" t="s">
        <v>2724</v>
      </c>
      <c r="L1965" s="1" t="s">
        <v>29</v>
      </c>
      <c r="M1965" s="1" t="s">
        <v>30</v>
      </c>
      <c r="N1965" s="1" t="s">
        <v>2725</v>
      </c>
      <c r="O1965">
        <v>163.88</v>
      </c>
      <c r="P1965">
        <v>2</v>
      </c>
      <c r="Q1965">
        <v>40.97</v>
      </c>
      <c r="R1965" s="1" t="s">
        <v>4424</v>
      </c>
      <c r="S1965">
        <v>2016</v>
      </c>
      <c r="T1965" s="1" t="s">
        <v>72</v>
      </c>
    </row>
    <row r="1966" spans="1:20" x14ac:dyDescent="0.25">
      <c r="A1966" s="1" t="s">
        <v>4221</v>
      </c>
      <c r="B1966" s="2">
        <v>41961</v>
      </c>
      <c r="C1966" s="2">
        <v>41966</v>
      </c>
      <c r="D1966" s="1" t="s">
        <v>37</v>
      </c>
      <c r="E1966" s="1" t="s">
        <v>418</v>
      </c>
      <c r="F1966" s="1" t="s">
        <v>419</v>
      </c>
      <c r="G1966" s="1" t="s">
        <v>84</v>
      </c>
      <c r="H1966" s="1" t="s">
        <v>229</v>
      </c>
      <c r="I1966" s="1" t="s">
        <v>230</v>
      </c>
      <c r="J1966" s="1" t="s">
        <v>87</v>
      </c>
      <c r="K1966" s="1" t="s">
        <v>659</v>
      </c>
      <c r="L1966" s="1" t="s">
        <v>29</v>
      </c>
      <c r="M1966" s="1" t="s">
        <v>34</v>
      </c>
      <c r="N1966" s="1" t="s">
        <v>660</v>
      </c>
      <c r="O1966">
        <v>392.94</v>
      </c>
      <c r="P1966">
        <v>3</v>
      </c>
      <c r="Q1966">
        <v>43.223399999999998</v>
      </c>
      <c r="R1966" s="1" t="s">
        <v>4422</v>
      </c>
      <c r="S1966">
        <v>2014</v>
      </c>
      <c r="T1966" s="1" t="s">
        <v>32</v>
      </c>
    </row>
    <row r="1967" spans="1:20" x14ac:dyDescent="0.25">
      <c r="A1967" s="1" t="s">
        <v>4222</v>
      </c>
      <c r="B1967" s="2">
        <v>42329</v>
      </c>
      <c r="C1967" s="2">
        <v>42332</v>
      </c>
      <c r="D1967" s="1" t="s">
        <v>81</v>
      </c>
      <c r="E1967" s="1" t="s">
        <v>4223</v>
      </c>
      <c r="F1967" s="1" t="s">
        <v>4224</v>
      </c>
      <c r="G1967" s="1" t="s">
        <v>24</v>
      </c>
      <c r="H1967" s="1" t="s">
        <v>1026</v>
      </c>
      <c r="I1967" s="1" t="s">
        <v>1027</v>
      </c>
      <c r="J1967" s="1" t="s">
        <v>27</v>
      </c>
      <c r="K1967" s="1" t="s">
        <v>275</v>
      </c>
      <c r="L1967" s="1" t="s">
        <v>29</v>
      </c>
      <c r="M1967" s="1" t="s">
        <v>53</v>
      </c>
      <c r="N1967" s="1" t="s">
        <v>276</v>
      </c>
      <c r="O1967">
        <v>18.175999999999998</v>
      </c>
      <c r="P1967">
        <v>1</v>
      </c>
      <c r="Q1967">
        <v>4.7712000000000003</v>
      </c>
      <c r="R1967" s="1" t="s">
        <v>4420</v>
      </c>
      <c r="S1967">
        <v>2015</v>
      </c>
      <c r="T1967" s="1" t="s">
        <v>32</v>
      </c>
    </row>
    <row r="1968" spans="1:20" x14ac:dyDescent="0.25">
      <c r="A1968" s="1" t="s">
        <v>4225</v>
      </c>
      <c r="B1968" s="2">
        <v>42905</v>
      </c>
      <c r="C1968" s="2">
        <v>42912</v>
      </c>
      <c r="D1968" s="1" t="s">
        <v>37</v>
      </c>
      <c r="E1968" s="1" t="s">
        <v>3387</v>
      </c>
      <c r="F1968" s="1" t="s">
        <v>3388</v>
      </c>
      <c r="G1968" s="1" t="s">
        <v>94</v>
      </c>
      <c r="H1968" s="1" t="s">
        <v>1730</v>
      </c>
      <c r="I1968" s="1" t="s">
        <v>86</v>
      </c>
      <c r="J1968" s="1" t="s">
        <v>87</v>
      </c>
      <c r="K1968" s="1" t="s">
        <v>690</v>
      </c>
      <c r="L1968" s="1" t="s">
        <v>29</v>
      </c>
      <c r="M1968" s="1" t="s">
        <v>43</v>
      </c>
      <c r="N1968" s="1" t="s">
        <v>691</v>
      </c>
      <c r="O1968">
        <v>457.48500000000001</v>
      </c>
      <c r="P1968">
        <v>3</v>
      </c>
      <c r="Q1968">
        <v>-84.961500000000001</v>
      </c>
      <c r="R1968" s="1" t="s">
        <v>4421</v>
      </c>
      <c r="S1968">
        <v>2017</v>
      </c>
      <c r="T1968" s="1" t="s">
        <v>55</v>
      </c>
    </row>
    <row r="1969" spans="1:20" x14ac:dyDescent="0.25">
      <c r="A1969" s="1" t="s">
        <v>4226</v>
      </c>
      <c r="B1969" s="2">
        <v>43069</v>
      </c>
      <c r="C1969" s="2">
        <v>43072</v>
      </c>
      <c r="D1969" s="1" t="s">
        <v>81</v>
      </c>
      <c r="E1969" s="1" t="s">
        <v>1706</v>
      </c>
      <c r="F1969" s="1" t="s">
        <v>1707</v>
      </c>
      <c r="G1969" s="1" t="s">
        <v>24</v>
      </c>
      <c r="H1969" s="1" t="s">
        <v>61</v>
      </c>
      <c r="I1969" s="1" t="s">
        <v>62</v>
      </c>
      <c r="J1969" s="1" t="s">
        <v>63</v>
      </c>
      <c r="K1969" s="1" t="s">
        <v>1591</v>
      </c>
      <c r="L1969" s="1" t="s">
        <v>29</v>
      </c>
      <c r="M1969" s="1" t="s">
        <v>34</v>
      </c>
      <c r="N1969" s="1" t="s">
        <v>1592</v>
      </c>
      <c r="O1969">
        <v>1079.316</v>
      </c>
      <c r="P1969">
        <v>6</v>
      </c>
      <c r="Q1969">
        <v>-15.418799999999999</v>
      </c>
      <c r="R1969" s="1" t="s">
        <v>4420</v>
      </c>
      <c r="S1969">
        <v>2017</v>
      </c>
      <c r="T1969" s="1" t="s">
        <v>32</v>
      </c>
    </row>
    <row r="1970" spans="1:20" x14ac:dyDescent="0.25">
      <c r="A1970" s="1" t="s">
        <v>4227</v>
      </c>
      <c r="B1970" s="2">
        <v>42883</v>
      </c>
      <c r="C1970" s="2">
        <v>42887</v>
      </c>
      <c r="D1970" s="1" t="s">
        <v>37</v>
      </c>
      <c r="E1970" s="1" t="s">
        <v>4228</v>
      </c>
      <c r="F1970" s="1" t="s">
        <v>4229</v>
      </c>
      <c r="G1970" s="1" t="s">
        <v>84</v>
      </c>
      <c r="H1970" s="1" t="s">
        <v>684</v>
      </c>
      <c r="I1970" s="1" t="s">
        <v>223</v>
      </c>
      <c r="J1970" s="1" t="s">
        <v>63</v>
      </c>
      <c r="K1970" s="1" t="s">
        <v>340</v>
      </c>
      <c r="L1970" s="1" t="s">
        <v>29</v>
      </c>
      <c r="M1970" s="1" t="s">
        <v>30</v>
      </c>
      <c r="N1970" s="1" t="s">
        <v>341</v>
      </c>
      <c r="O1970">
        <v>115.96</v>
      </c>
      <c r="P1970">
        <v>4</v>
      </c>
      <c r="Q1970">
        <v>-64.937600000000003</v>
      </c>
      <c r="R1970" s="1" t="s">
        <v>4424</v>
      </c>
      <c r="S1970">
        <v>2017</v>
      </c>
      <c r="T1970" s="1" t="s">
        <v>153</v>
      </c>
    </row>
    <row r="1971" spans="1:20" x14ac:dyDescent="0.25">
      <c r="A1971" s="1" t="s">
        <v>4230</v>
      </c>
      <c r="B1971" s="2">
        <v>42112</v>
      </c>
      <c r="C1971" s="2">
        <v>42116</v>
      </c>
      <c r="D1971" s="1" t="s">
        <v>21</v>
      </c>
      <c r="E1971" s="1" t="s">
        <v>460</v>
      </c>
      <c r="F1971" s="1" t="s">
        <v>461</v>
      </c>
      <c r="G1971" s="1" t="s">
        <v>84</v>
      </c>
      <c r="H1971" s="1" t="s">
        <v>4231</v>
      </c>
      <c r="I1971" s="1" t="s">
        <v>86</v>
      </c>
      <c r="J1971" s="1" t="s">
        <v>87</v>
      </c>
      <c r="K1971" s="1" t="s">
        <v>501</v>
      </c>
      <c r="L1971" s="1" t="s">
        <v>29</v>
      </c>
      <c r="M1971" s="1" t="s">
        <v>34</v>
      </c>
      <c r="N1971" s="1" t="s">
        <v>502</v>
      </c>
      <c r="O1971">
        <v>56.686</v>
      </c>
      <c r="P1971">
        <v>1</v>
      </c>
      <c r="Q1971">
        <v>-20.245000000000001</v>
      </c>
      <c r="R1971" s="1" t="s">
        <v>4424</v>
      </c>
      <c r="S1971">
        <v>2015</v>
      </c>
      <c r="T1971" s="1" t="s">
        <v>107</v>
      </c>
    </row>
    <row r="1972" spans="1:20" x14ac:dyDescent="0.25">
      <c r="A1972" s="1" t="s">
        <v>4232</v>
      </c>
      <c r="B1972" s="2">
        <v>42936</v>
      </c>
      <c r="C1972" s="2">
        <v>42941</v>
      </c>
      <c r="D1972" s="1" t="s">
        <v>37</v>
      </c>
      <c r="E1972" s="1" t="s">
        <v>671</v>
      </c>
      <c r="F1972" s="1" t="s">
        <v>672</v>
      </c>
      <c r="G1972" s="1" t="s">
        <v>84</v>
      </c>
      <c r="H1972" s="1" t="s">
        <v>165</v>
      </c>
      <c r="I1972" s="1" t="s">
        <v>114</v>
      </c>
      <c r="J1972" s="1" t="s">
        <v>63</v>
      </c>
      <c r="K1972" s="1" t="s">
        <v>4233</v>
      </c>
      <c r="L1972" s="1" t="s">
        <v>29</v>
      </c>
      <c r="M1972" s="1" t="s">
        <v>34</v>
      </c>
      <c r="N1972" s="1" t="s">
        <v>4234</v>
      </c>
      <c r="O1972">
        <v>163.76400000000001</v>
      </c>
      <c r="P1972">
        <v>2</v>
      </c>
      <c r="Q1972">
        <v>25.474399999999999</v>
      </c>
      <c r="R1972" s="1" t="s">
        <v>4422</v>
      </c>
      <c r="S1972">
        <v>2017</v>
      </c>
      <c r="T1972" s="1" t="s">
        <v>66</v>
      </c>
    </row>
    <row r="1973" spans="1:20" x14ac:dyDescent="0.25">
      <c r="A1973" s="1" t="s">
        <v>4232</v>
      </c>
      <c r="B1973" s="2">
        <v>42936</v>
      </c>
      <c r="C1973" s="2">
        <v>42941</v>
      </c>
      <c r="D1973" s="1" t="s">
        <v>37</v>
      </c>
      <c r="E1973" s="1" t="s">
        <v>671</v>
      </c>
      <c r="F1973" s="1" t="s">
        <v>672</v>
      </c>
      <c r="G1973" s="1" t="s">
        <v>84</v>
      </c>
      <c r="H1973" s="1" t="s">
        <v>165</v>
      </c>
      <c r="I1973" s="1" t="s">
        <v>114</v>
      </c>
      <c r="J1973" s="1" t="s">
        <v>63</v>
      </c>
      <c r="K1973" s="1" t="s">
        <v>3279</v>
      </c>
      <c r="L1973" s="1" t="s">
        <v>29</v>
      </c>
      <c r="M1973" s="1" t="s">
        <v>53</v>
      </c>
      <c r="N1973" s="1" t="s">
        <v>3280</v>
      </c>
      <c r="O1973">
        <v>183.92</v>
      </c>
      <c r="P1973">
        <v>4</v>
      </c>
      <c r="Q1973">
        <v>31.266400000000001</v>
      </c>
      <c r="R1973" s="1" t="s">
        <v>4422</v>
      </c>
      <c r="S1973">
        <v>2017</v>
      </c>
      <c r="T1973" s="1" t="s">
        <v>66</v>
      </c>
    </row>
    <row r="1974" spans="1:20" x14ac:dyDescent="0.25">
      <c r="A1974" s="1" t="s">
        <v>4235</v>
      </c>
      <c r="B1974" s="2">
        <v>42678</v>
      </c>
      <c r="C1974" s="2">
        <v>42682</v>
      </c>
      <c r="D1974" s="1" t="s">
        <v>37</v>
      </c>
      <c r="E1974" s="1" t="s">
        <v>4236</v>
      </c>
      <c r="F1974" s="1" t="s">
        <v>4237</v>
      </c>
      <c r="G1974" s="1" t="s">
        <v>24</v>
      </c>
      <c r="H1974" s="1" t="s">
        <v>95</v>
      </c>
      <c r="I1974" s="1" t="s">
        <v>86</v>
      </c>
      <c r="J1974" s="1" t="s">
        <v>87</v>
      </c>
      <c r="K1974" s="1" t="s">
        <v>2195</v>
      </c>
      <c r="L1974" s="1" t="s">
        <v>29</v>
      </c>
      <c r="M1974" s="1" t="s">
        <v>53</v>
      </c>
      <c r="N1974" s="1" t="s">
        <v>2196</v>
      </c>
      <c r="O1974">
        <v>11.375999999999999</v>
      </c>
      <c r="P1974">
        <v>3</v>
      </c>
      <c r="Q1974">
        <v>-5.6879999999999997</v>
      </c>
      <c r="R1974" s="1" t="s">
        <v>4424</v>
      </c>
      <c r="S1974">
        <v>2016</v>
      </c>
      <c r="T1974" s="1" t="s">
        <v>32</v>
      </c>
    </row>
    <row r="1975" spans="1:20" x14ac:dyDescent="0.25">
      <c r="A1975" s="1" t="s">
        <v>4235</v>
      </c>
      <c r="B1975" s="2">
        <v>42678</v>
      </c>
      <c r="C1975" s="2">
        <v>42682</v>
      </c>
      <c r="D1975" s="1" t="s">
        <v>37</v>
      </c>
      <c r="E1975" s="1" t="s">
        <v>4236</v>
      </c>
      <c r="F1975" s="1" t="s">
        <v>4237</v>
      </c>
      <c r="G1975" s="1" t="s">
        <v>24</v>
      </c>
      <c r="H1975" s="1" t="s">
        <v>95</v>
      </c>
      <c r="I1975" s="1" t="s">
        <v>86</v>
      </c>
      <c r="J1975" s="1" t="s">
        <v>87</v>
      </c>
      <c r="K1975" s="1" t="s">
        <v>587</v>
      </c>
      <c r="L1975" s="1" t="s">
        <v>29</v>
      </c>
      <c r="M1975" s="1" t="s">
        <v>53</v>
      </c>
      <c r="N1975" s="1" t="s">
        <v>588</v>
      </c>
      <c r="O1975">
        <v>66.111999999999995</v>
      </c>
      <c r="P1975">
        <v>4</v>
      </c>
      <c r="Q1975">
        <v>-84.2928</v>
      </c>
      <c r="R1975" s="1" t="s">
        <v>4424</v>
      </c>
      <c r="S1975">
        <v>2016</v>
      </c>
      <c r="T1975" s="1" t="s">
        <v>32</v>
      </c>
    </row>
    <row r="1976" spans="1:20" x14ac:dyDescent="0.25">
      <c r="A1976" s="1" t="s">
        <v>4238</v>
      </c>
      <c r="B1976" s="2">
        <v>43001</v>
      </c>
      <c r="C1976" s="2">
        <v>43007</v>
      </c>
      <c r="D1976" s="1" t="s">
        <v>37</v>
      </c>
      <c r="E1976" s="1" t="s">
        <v>1584</v>
      </c>
      <c r="F1976" s="1" t="s">
        <v>1585</v>
      </c>
      <c r="G1976" s="1" t="s">
        <v>24</v>
      </c>
      <c r="H1976" s="1" t="s">
        <v>49</v>
      </c>
      <c r="I1976" s="1" t="s">
        <v>50</v>
      </c>
      <c r="J1976" s="1" t="s">
        <v>51</v>
      </c>
      <c r="K1976" s="1" t="s">
        <v>1086</v>
      </c>
      <c r="L1976" s="1" t="s">
        <v>29</v>
      </c>
      <c r="M1976" s="1" t="s">
        <v>34</v>
      </c>
      <c r="N1976" s="1" t="s">
        <v>1087</v>
      </c>
      <c r="O1976">
        <v>594.81600000000003</v>
      </c>
      <c r="P1976">
        <v>2</v>
      </c>
      <c r="Q1976">
        <v>59.4816</v>
      </c>
      <c r="R1976" s="1" t="s">
        <v>4426</v>
      </c>
      <c r="S1976">
        <v>2017</v>
      </c>
      <c r="T1976" s="1" t="s">
        <v>72</v>
      </c>
    </row>
    <row r="1977" spans="1:20" x14ac:dyDescent="0.25">
      <c r="A1977" s="1" t="s">
        <v>4239</v>
      </c>
      <c r="B1977" s="2">
        <v>42985</v>
      </c>
      <c r="C1977" s="2">
        <v>42988</v>
      </c>
      <c r="D1977" s="1" t="s">
        <v>81</v>
      </c>
      <c r="E1977" s="1" t="s">
        <v>1907</v>
      </c>
      <c r="F1977" s="1" t="s">
        <v>1908</v>
      </c>
      <c r="G1977" s="1" t="s">
        <v>24</v>
      </c>
      <c r="H1977" s="1" t="s">
        <v>836</v>
      </c>
      <c r="I1977" s="1" t="s">
        <v>184</v>
      </c>
      <c r="J1977" s="1" t="s">
        <v>51</v>
      </c>
      <c r="K1977" s="1" t="s">
        <v>2786</v>
      </c>
      <c r="L1977" s="1" t="s">
        <v>29</v>
      </c>
      <c r="M1977" s="1" t="s">
        <v>53</v>
      </c>
      <c r="N1977" s="1" t="s">
        <v>2787</v>
      </c>
      <c r="O1977">
        <v>80.959999999999994</v>
      </c>
      <c r="P1977">
        <v>4</v>
      </c>
      <c r="Q1977">
        <v>34.812800000000003</v>
      </c>
      <c r="R1977" s="1" t="s">
        <v>4420</v>
      </c>
      <c r="S1977">
        <v>2017</v>
      </c>
      <c r="T1977" s="1" t="s">
        <v>72</v>
      </c>
    </row>
    <row r="1978" spans="1:20" x14ac:dyDescent="0.25">
      <c r="A1978" s="1" t="s">
        <v>4240</v>
      </c>
      <c r="B1978" s="2">
        <v>42856</v>
      </c>
      <c r="C1978" s="2">
        <v>42857</v>
      </c>
      <c r="D1978" s="1" t="s">
        <v>81</v>
      </c>
      <c r="E1978" s="1" t="s">
        <v>1463</v>
      </c>
      <c r="F1978" s="1" t="s">
        <v>1464</v>
      </c>
      <c r="G1978" s="1" t="s">
        <v>24</v>
      </c>
      <c r="H1978" s="1" t="s">
        <v>1089</v>
      </c>
      <c r="I1978" s="1" t="s">
        <v>41</v>
      </c>
      <c r="J1978" s="1" t="s">
        <v>27</v>
      </c>
      <c r="K1978" s="1" t="s">
        <v>28</v>
      </c>
      <c r="L1978" s="1" t="s">
        <v>29</v>
      </c>
      <c r="M1978" s="1" t="s">
        <v>30</v>
      </c>
      <c r="N1978" s="1" t="s">
        <v>31</v>
      </c>
      <c r="O1978">
        <v>314.35199999999998</v>
      </c>
      <c r="P1978">
        <v>3</v>
      </c>
      <c r="Q1978">
        <v>-15.717599999999999</v>
      </c>
      <c r="R1978" s="1" t="s">
        <v>4425</v>
      </c>
      <c r="S1978">
        <v>2017</v>
      </c>
      <c r="T1978" s="1" t="s">
        <v>153</v>
      </c>
    </row>
    <row r="1979" spans="1:20" x14ac:dyDescent="0.25">
      <c r="A1979" s="1" t="s">
        <v>4241</v>
      </c>
      <c r="B1979" s="2">
        <v>42783</v>
      </c>
      <c r="C1979" s="2">
        <v>42786</v>
      </c>
      <c r="D1979" s="1" t="s">
        <v>81</v>
      </c>
      <c r="E1979" s="1" t="s">
        <v>739</v>
      </c>
      <c r="F1979" s="1" t="s">
        <v>740</v>
      </c>
      <c r="G1979" s="1" t="s">
        <v>94</v>
      </c>
      <c r="H1979" s="1" t="s">
        <v>113</v>
      </c>
      <c r="I1979" s="1" t="s">
        <v>223</v>
      </c>
      <c r="J1979" s="1" t="s">
        <v>63</v>
      </c>
      <c r="K1979" s="1" t="s">
        <v>3180</v>
      </c>
      <c r="L1979" s="1" t="s">
        <v>29</v>
      </c>
      <c r="M1979" s="1" t="s">
        <v>43</v>
      </c>
      <c r="N1979" s="1" t="s">
        <v>3181</v>
      </c>
      <c r="O1979">
        <v>455.97</v>
      </c>
      <c r="P1979">
        <v>5</v>
      </c>
      <c r="Q1979">
        <v>-106.393</v>
      </c>
      <c r="R1979" s="1" t="s">
        <v>4420</v>
      </c>
      <c r="S1979">
        <v>2017</v>
      </c>
      <c r="T1979" s="1" t="s">
        <v>289</v>
      </c>
    </row>
    <row r="1980" spans="1:20" x14ac:dyDescent="0.25">
      <c r="A1980" s="1" t="s">
        <v>4241</v>
      </c>
      <c r="B1980" s="2">
        <v>42783</v>
      </c>
      <c r="C1980" s="2">
        <v>42786</v>
      </c>
      <c r="D1980" s="1" t="s">
        <v>81</v>
      </c>
      <c r="E1980" s="1" t="s">
        <v>739</v>
      </c>
      <c r="F1980" s="1" t="s">
        <v>740</v>
      </c>
      <c r="G1980" s="1" t="s">
        <v>94</v>
      </c>
      <c r="H1980" s="1" t="s">
        <v>113</v>
      </c>
      <c r="I1980" s="1" t="s">
        <v>223</v>
      </c>
      <c r="J1980" s="1" t="s">
        <v>63</v>
      </c>
      <c r="K1980" s="1" t="s">
        <v>1533</v>
      </c>
      <c r="L1980" s="1" t="s">
        <v>29</v>
      </c>
      <c r="M1980" s="1" t="s">
        <v>53</v>
      </c>
      <c r="N1980" s="1" t="s">
        <v>1534</v>
      </c>
      <c r="O1980">
        <v>30.143999999999998</v>
      </c>
      <c r="P1980">
        <v>2</v>
      </c>
      <c r="Q1980">
        <v>8.2896000000000001</v>
      </c>
      <c r="R1980" s="1" t="s">
        <v>4420</v>
      </c>
      <c r="S1980">
        <v>2017</v>
      </c>
      <c r="T1980" s="1" t="s">
        <v>289</v>
      </c>
    </row>
    <row r="1981" spans="1:20" x14ac:dyDescent="0.25">
      <c r="A1981" s="1" t="s">
        <v>4241</v>
      </c>
      <c r="B1981" s="2">
        <v>42783</v>
      </c>
      <c r="C1981" s="2">
        <v>42786</v>
      </c>
      <c r="D1981" s="1" t="s">
        <v>81</v>
      </c>
      <c r="E1981" s="1" t="s">
        <v>739</v>
      </c>
      <c r="F1981" s="1" t="s">
        <v>740</v>
      </c>
      <c r="G1981" s="1" t="s">
        <v>94</v>
      </c>
      <c r="H1981" s="1" t="s">
        <v>113</v>
      </c>
      <c r="I1981" s="1" t="s">
        <v>223</v>
      </c>
      <c r="J1981" s="1" t="s">
        <v>63</v>
      </c>
      <c r="K1981" s="1" t="s">
        <v>1591</v>
      </c>
      <c r="L1981" s="1" t="s">
        <v>29</v>
      </c>
      <c r="M1981" s="1" t="s">
        <v>34</v>
      </c>
      <c r="N1981" s="1" t="s">
        <v>1592</v>
      </c>
      <c r="O1981">
        <v>899.43</v>
      </c>
      <c r="P1981">
        <v>5</v>
      </c>
      <c r="Q1981">
        <v>-12.849</v>
      </c>
      <c r="R1981" s="1" t="s">
        <v>4420</v>
      </c>
      <c r="S1981">
        <v>2017</v>
      </c>
      <c r="T1981" s="1" t="s">
        <v>289</v>
      </c>
    </row>
    <row r="1982" spans="1:20" x14ac:dyDescent="0.25">
      <c r="A1982" s="1" t="s">
        <v>4242</v>
      </c>
      <c r="B1982" s="2">
        <v>42726</v>
      </c>
      <c r="C1982" s="2">
        <v>42732</v>
      </c>
      <c r="D1982" s="1" t="s">
        <v>37</v>
      </c>
      <c r="E1982" s="1" t="s">
        <v>2633</v>
      </c>
      <c r="F1982" s="1" t="s">
        <v>2634</v>
      </c>
      <c r="G1982" s="1" t="s">
        <v>24</v>
      </c>
      <c r="H1982" s="1" t="s">
        <v>4243</v>
      </c>
      <c r="I1982" s="1" t="s">
        <v>50</v>
      </c>
      <c r="J1982" s="1" t="s">
        <v>51</v>
      </c>
      <c r="K1982" s="1" t="s">
        <v>3608</v>
      </c>
      <c r="L1982" s="1" t="s">
        <v>29</v>
      </c>
      <c r="M1982" s="1" t="s">
        <v>53</v>
      </c>
      <c r="N1982" s="1" t="s">
        <v>3609</v>
      </c>
      <c r="O1982">
        <v>842.72</v>
      </c>
      <c r="P1982">
        <v>8</v>
      </c>
      <c r="Q1982">
        <v>202.25280000000001</v>
      </c>
      <c r="R1982" s="1" t="s">
        <v>4426</v>
      </c>
      <c r="S1982">
        <v>2016</v>
      </c>
      <c r="T1982" s="1" t="s">
        <v>90</v>
      </c>
    </row>
    <row r="1983" spans="1:20" x14ac:dyDescent="0.25">
      <c r="A1983" s="1" t="s">
        <v>4242</v>
      </c>
      <c r="B1983" s="2">
        <v>42726</v>
      </c>
      <c r="C1983" s="2">
        <v>42732</v>
      </c>
      <c r="D1983" s="1" t="s">
        <v>37</v>
      </c>
      <c r="E1983" s="1" t="s">
        <v>2633</v>
      </c>
      <c r="F1983" s="1" t="s">
        <v>2634</v>
      </c>
      <c r="G1983" s="1" t="s">
        <v>24</v>
      </c>
      <c r="H1983" s="1" t="s">
        <v>4243</v>
      </c>
      <c r="I1983" s="1" t="s">
        <v>50</v>
      </c>
      <c r="J1983" s="1" t="s">
        <v>51</v>
      </c>
      <c r="K1983" s="1" t="s">
        <v>178</v>
      </c>
      <c r="L1983" s="1" t="s">
        <v>29</v>
      </c>
      <c r="M1983" s="1" t="s">
        <v>53</v>
      </c>
      <c r="N1983" s="1" t="s">
        <v>179</v>
      </c>
      <c r="O1983">
        <v>41.96</v>
      </c>
      <c r="P1983">
        <v>2</v>
      </c>
      <c r="Q1983">
        <v>10.909599999999999</v>
      </c>
      <c r="R1983" s="1" t="s">
        <v>4426</v>
      </c>
      <c r="S1983">
        <v>2016</v>
      </c>
      <c r="T1983" s="1" t="s">
        <v>90</v>
      </c>
    </row>
    <row r="1984" spans="1:20" x14ac:dyDescent="0.25">
      <c r="A1984" s="1" t="s">
        <v>4244</v>
      </c>
      <c r="B1984" s="2">
        <v>42636</v>
      </c>
      <c r="C1984" s="2">
        <v>42640</v>
      </c>
      <c r="D1984" s="1" t="s">
        <v>37</v>
      </c>
      <c r="E1984" s="1" t="s">
        <v>4245</v>
      </c>
      <c r="F1984" s="1" t="s">
        <v>4246</v>
      </c>
      <c r="G1984" s="1" t="s">
        <v>84</v>
      </c>
      <c r="H1984" s="1" t="s">
        <v>183</v>
      </c>
      <c r="I1984" s="1" t="s">
        <v>184</v>
      </c>
      <c r="J1984" s="1" t="s">
        <v>51</v>
      </c>
      <c r="K1984" s="1" t="s">
        <v>479</v>
      </c>
      <c r="L1984" s="1" t="s">
        <v>29</v>
      </c>
      <c r="M1984" s="1" t="s">
        <v>34</v>
      </c>
      <c r="N1984" s="1" t="s">
        <v>480</v>
      </c>
      <c r="O1984">
        <v>184.75200000000001</v>
      </c>
      <c r="P1984">
        <v>3</v>
      </c>
      <c r="Q1984">
        <v>-20.784600000000001</v>
      </c>
      <c r="R1984" s="1" t="s">
        <v>4424</v>
      </c>
      <c r="S1984">
        <v>2016</v>
      </c>
      <c r="T1984" s="1" t="s">
        <v>72</v>
      </c>
    </row>
    <row r="1985" spans="1:20" x14ac:dyDescent="0.25">
      <c r="A1985" s="1" t="s">
        <v>4247</v>
      </c>
      <c r="B1985" s="2">
        <v>43002</v>
      </c>
      <c r="C1985" s="2">
        <v>43004</v>
      </c>
      <c r="D1985" s="1" t="s">
        <v>81</v>
      </c>
      <c r="E1985" s="1" t="s">
        <v>536</v>
      </c>
      <c r="F1985" s="1" t="s">
        <v>537</v>
      </c>
      <c r="G1985" s="1" t="s">
        <v>24</v>
      </c>
      <c r="H1985" s="1" t="s">
        <v>125</v>
      </c>
      <c r="I1985" s="1" t="s">
        <v>126</v>
      </c>
      <c r="J1985" s="1" t="s">
        <v>87</v>
      </c>
      <c r="K1985" s="1" t="s">
        <v>1086</v>
      </c>
      <c r="L1985" s="1" t="s">
        <v>29</v>
      </c>
      <c r="M1985" s="1" t="s">
        <v>34</v>
      </c>
      <c r="N1985" s="1" t="s">
        <v>1087</v>
      </c>
      <c r="O1985">
        <v>520.46400000000006</v>
      </c>
      <c r="P1985">
        <v>2</v>
      </c>
      <c r="Q1985">
        <v>-14.8704</v>
      </c>
      <c r="R1985" s="1" t="s">
        <v>4423</v>
      </c>
      <c r="S1985">
        <v>2017</v>
      </c>
      <c r="T1985" s="1" t="s">
        <v>72</v>
      </c>
    </row>
    <row r="1986" spans="1:20" x14ac:dyDescent="0.25">
      <c r="A1986" s="1" t="s">
        <v>4248</v>
      </c>
      <c r="B1986" s="2">
        <v>42394</v>
      </c>
      <c r="C1986" s="2">
        <v>42397</v>
      </c>
      <c r="D1986" s="1" t="s">
        <v>21</v>
      </c>
      <c r="E1986" s="1" t="s">
        <v>217</v>
      </c>
      <c r="F1986" s="1" t="s">
        <v>218</v>
      </c>
      <c r="G1986" s="1" t="s">
        <v>84</v>
      </c>
      <c r="H1986" s="1" t="s">
        <v>165</v>
      </c>
      <c r="I1986" s="1" t="s">
        <v>114</v>
      </c>
      <c r="J1986" s="1" t="s">
        <v>63</v>
      </c>
      <c r="K1986" s="1" t="s">
        <v>775</v>
      </c>
      <c r="L1986" s="1" t="s">
        <v>29</v>
      </c>
      <c r="M1986" s="1" t="s">
        <v>43</v>
      </c>
      <c r="N1986" s="1" t="s">
        <v>776</v>
      </c>
      <c r="O1986">
        <v>313.72199999999998</v>
      </c>
      <c r="P1986">
        <v>3</v>
      </c>
      <c r="Q1986">
        <v>-99.345299999999995</v>
      </c>
      <c r="R1986" s="1" t="s">
        <v>4420</v>
      </c>
      <c r="S1986">
        <v>2016</v>
      </c>
      <c r="T1986" s="1" t="s">
        <v>161</v>
      </c>
    </row>
    <row r="1987" spans="1:20" x14ac:dyDescent="0.25">
      <c r="A1987" s="1" t="s">
        <v>4248</v>
      </c>
      <c r="B1987" s="2">
        <v>42394</v>
      </c>
      <c r="C1987" s="2">
        <v>42397</v>
      </c>
      <c r="D1987" s="1" t="s">
        <v>21</v>
      </c>
      <c r="E1987" s="1" t="s">
        <v>217</v>
      </c>
      <c r="F1987" s="1" t="s">
        <v>218</v>
      </c>
      <c r="G1987" s="1" t="s">
        <v>84</v>
      </c>
      <c r="H1987" s="1" t="s">
        <v>165</v>
      </c>
      <c r="I1987" s="1" t="s">
        <v>114</v>
      </c>
      <c r="J1987" s="1" t="s">
        <v>63</v>
      </c>
      <c r="K1987" s="1" t="s">
        <v>3279</v>
      </c>
      <c r="L1987" s="1" t="s">
        <v>29</v>
      </c>
      <c r="M1987" s="1" t="s">
        <v>53</v>
      </c>
      <c r="N1987" s="1" t="s">
        <v>3280</v>
      </c>
      <c r="O1987">
        <v>45.98</v>
      </c>
      <c r="P1987">
        <v>1</v>
      </c>
      <c r="Q1987">
        <v>7.8166000000000002</v>
      </c>
      <c r="R1987" s="1" t="s">
        <v>4420</v>
      </c>
      <c r="S1987">
        <v>2016</v>
      </c>
      <c r="T1987" s="1" t="s">
        <v>161</v>
      </c>
    </row>
    <row r="1988" spans="1:20" x14ac:dyDescent="0.25">
      <c r="A1988" s="1" t="s">
        <v>4249</v>
      </c>
      <c r="B1988" s="2">
        <v>42815</v>
      </c>
      <c r="C1988" s="2">
        <v>42819</v>
      </c>
      <c r="D1988" s="1" t="s">
        <v>37</v>
      </c>
      <c r="E1988" s="1" t="s">
        <v>123</v>
      </c>
      <c r="F1988" s="1" t="s">
        <v>124</v>
      </c>
      <c r="G1988" s="1" t="s">
        <v>94</v>
      </c>
      <c r="H1988" s="1" t="s">
        <v>183</v>
      </c>
      <c r="I1988" s="1" t="s">
        <v>184</v>
      </c>
      <c r="J1988" s="1" t="s">
        <v>51</v>
      </c>
      <c r="K1988" s="1" t="s">
        <v>1709</v>
      </c>
      <c r="L1988" s="1" t="s">
        <v>29</v>
      </c>
      <c r="M1988" s="1" t="s">
        <v>53</v>
      </c>
      <c r="N1988" s="1" t="s">
        <v>1710</v>
      </c>
      <c r="O1988">
        <v>22.14</v>
      </c>
      <c r="P1988">
        <v>3</v>
      </c>
      <c r="Q1988">
        <v>6.4206000000000003</v>
      </c>
      <c r="R1988" s="1" t="s">
        <v>4424</v>
      </c>
      <c r="S1988">
        <v>2017</v>
      </c>
      <c r="T1988" s="1" t="s">
        <v>187</v>
      </c>
    </row>
    <row r="1989" spans="1:20" x14ac:dyDescent="0.25">
      <c r="A1989" s="1" t="s">
        <v>4250</v>
      </c>
      <c r="B1989" s="2">
        <v>43046</v>
      </c>
      <c r="C1989" s="2">
        <v>43048</v>
      </c>
      <c r="D1989" s="1" t="s">
        <v>21</v>
      </c>
      <c r="E1989" s="1" t="s">
        <v>3479</v>
      </c>
      <c r="F1989" s="1" t="s">
        <v>3480</v>
      </c>
      <c r="G1989" s="1" t="s">
        <v>84</v>
      </c>
      <c r="H1989" s="1" t="s">
        <v>2513</v>
      </c>
      <c r="I1989" s="1" t="s">
        <v>1080</v>
      </c>
      <c r="J1989" s="1" t="s">
        <v>63</v>
      </c>
      <c r="K1989" s="1" t="s">
        <v>2171</v>
      </c>
      <c r="L1989" s="1" t="s">
        <v>29</v>
      </c>
      <c r="M1989" s="1" t="s">
        <v>34</v>
      </c>
      <c r="N1989" s="1" t="s">
        <v>2172</v>
      </c>
      <c r="O1989">
        <v>272.97000000000003</v>
      </c>
      <c r="P1989">
        <v>3</v>
      </c>
      <c r="Q1989">
        <v>43.675199999999997</v>
      </c>
      <c r="R1989" s="1" t="s">
        <v>4423</v>
      </c>
      <c r="S1989">
        <v>2017</v>
      </c>
      <c r="T1989" s="1" t="s">
        <v>32</v>
      </c>
    </row>
    <row r="1990" spans="1:20" x14ac:dyDescent="0.25">
      <c r="A1990" s="1" t="s">
        <v>4251</v>
      </c>
      <c r="B1990" s="2">
        <v>42153</v>
      </c>
      <c r="C1990" s="2">
        <v>42155</v>
      </c>
      <c r="D1990" s="1" t="s">
        <v>81</v>
      </c>
      <c r="E1990" s="1" t="s">
        <v>3518</v>
      </c>
      <c r="F1990" s="1" t="s">
        <v>3519</v>
      </c>
      <c r="G1990" s="1" t="s">
        <v>84</v>
      </c>
      <c r="H1990" s="1" t="s">
        <v>339</v>
      </c>
      <c r="I1990" s="1" t="s">
        <v>223</v>
      </c>
      <c r="J1990" s="1" t="s">
        <v>63</v>
      </c>
      <c r="K1990" s="1" t="s">
        <v>3816</v>
      </c>
      <c r="L1990" s="1" t="s">
        <v>29</v>
      </c>
      <c r="M1990" s="1" t="s">
        <v>53</v>
      </c>
      <c r="N1990" s="1" t="s">
        <v>3817</v>
      </c>
      <c r="O1990">
        <v>41.567999999999998</v>
      </c>
      <c r="P1990">
        <v>4</v>
      </c>
      <c r="Q1990">
        <v>-4.1567999999999996</v>
      </c>
      <c r="R1990" s="1" t="s">
        <v>4423</v>
      </c>
      <c r="S1990">
        <v>2015</v>
      </c>
      <c r="T1990" s="1" t="s">
        <v>153</v>
      </c>
    </row>
    <row r="1991" spans="1:20" x14ac:dyDescent="0.25">
      <c r="A1991" s="1" t="s">
        <v>4251</v>
      </c>
      <c r="B1991" s="2">
        <v>42153</v>
      </c>
      <c r="C1991" s="2">
        <v>42155</v>
      </c>
      <c r="D1991" s="1" t="s">
        <v>81</v>
      </c>
      <c r="E1991" s="1" t="s">
        <v>3518</v>
      </c>
      <c r="F1991" s="1" t="s">
        <v>3519</v>
      </c>
      <c r="G1991" s="1" t="s">
        <v>84</v>
      </c>
      <c r="H1991" s="1" t="s">
        <v>339</v>
      </c>
      <c r="I1991" s="1" t="s">
        <v>223</v>
      </c>
      <c r="J1991" s="1" t="s">
        <v>63</v>
      </c>
      <c r="K1991" s="1" t="s">
        <v>151</v>
      </c>
      <c r="L1991" s="1" t="s">
        <v>29</v>
      </c>
      <c r="M1991" s="1" t="s">
        <v>34</v>
      </c>
      <c r="N1991" s="1" t="s">
        <v>152</v>
      </c>
      <c r="O1991">
        <v>317.05799999999999</v>
      </c>
      <c r="P1991">
        <v>3</v>
      </c>
      <c r="Q1991">
        <v>-86.058599999999998</v>
      </c>
      <c r="R1991" s="1" t="s">
        <v>4423</v>
      </c>
      <c r="S1991">
        <v>2015</v>
      </c>
      <c r="T1991" s="1" t="s">
        <v>153</v>
      </c>
    </row>
    <row r="1992" spans="1:20" x14ac:dyDescent="0.25">
      <c r="A1992" s="1" t="s">
        <v>4252</v>
      </c>
      <c r="B1992" s="2">
        <v>41996</v>
      </c>
      <c r="C1992" s="2">
        <v>42000</v>
      </c>
      <c r="D1992" s="1" t="s">
        <v>21</v>
      </c>
      <c r="E1992" s="1" t="s">
        <v>2831</v>
      </c>
      <c r="F1992" s="1" t="s">
        <v>2832</v>
      </c>
      <c r="G1992" s="1" t="s">
        <v>24</v>
      </c>
      <c r="H1992" s="1" t="s">
        <v>295</v>
      </c>
      <c r="I1992" s="1" t="s">
        <v>41</v>
      </c>
      <c r="J1992" s="1" t="s">
        <v>27</v>
      </c>
      <c r="K1992" s="1" t="s">
        <v>247</v>
      </c>
      <c r="L1992" s="1" t="s">
        <v>29</v>
      </c>
      <c r="M1992" s="1" t="s">
        <v>34</v>
      </c>
      <c r="N1992" s="1" t="s">
        <v>248</v>
      </c>
      <c r="O1992">
        <v>64.784000000000006</v>
      </c>
      <c r="P1992">
        <v>1</v>
      </c>
      <c r="Q1992">
        <v>6.4783999999999997</v>
      </c>
      <c r="R1992" s="1" t="s">
        <v>4424</v>
      </c>
      <c r="S1992">
        <v>2014</v>
      </c>
      <c r="T1992" s="1" t="s">
        <v>90</v>
      </c>
    </row>
    <row r="1993" spans="1:20" x14ac:dyDescent="0.25">
      <c r="A1993" s="1" t="s">
        <v>4253</v>
      </c>
      <c r="B1993" s="2">
        <v>42974</v>
      </c>
      <c r="C1993" s="2">
        <v>42978</v>
      </c>
      <c r="D1993" s="1" t="s">
        <v>37</v>
      </c>
      <c r="E1993" s="1" t="s">
        <v>1961</v>
      </c>
      <c r="F1993" s="1" t="s">
        <v>1962</v>
      </c>
      <c r="G1993" s="1" t="s">
        <v>24</v>
      </c>
      <c r="H1993" s="1" t="s">
        <v>905</v>
      </c>
      <c r="I1993" s="1" t="s">
        <v>511</v>
      </c>
      <c r="J1993" s="1" t="s">
        <v>51</v>
      </c>
      <c r="K1993" s="1" t="s">
        <v>1533</v>
      </c>
      <c r="L1993" s="1" t="s">
        <v>29</v>
      </c>
      <c r="M1993" s="1" t="s">
        <v>53</v>
      </c>
      <c r="N1993" s="1" t="s">
        <v>1534</v>
      </c>
      <c r="O1993">
        <v>120.57599999999999</v>
      </c>
      <c r="P1993">
        <v>8</v>
      </c>
      <c r="Q1993">
        <v>33.1584</v>
      </c>
      <c r="R1993" s="1" t="s">
        <v>4424</v>
      </c>
      <c r="S1993">
        <v>2017</v>
      </c>
      <c r="T1993" s="1" t="s">
        <v>245</v>
      </c>
    </row>
    <row r="1994" spans="1:20" x14ac:dyDescent="0.25">
      <c r="A1994" s="1" t="s">
        <v>4254</v>
      </c>
      <c r="B1994" s="2">
        <v>42302</v>
      </c>
      <c r="C1994" s="2">
        <v>42302</v>
      </c>
      <c r="D1994" s="1" t="s">
        <v>417</v>
      </c>
      <c r="E1994" s="1" t="s">
        <v>999</v>
      </c>
      <c r="F1994" s="1" t="s">
        <v>1000</v>
      </c>
      <c r="G1994" s="1" t="s">
        <v>84</v>
      </c>
      <c r="H1994" s="1" t="s">
        <v>257</v>
      </c>
      <c r="I1994" s="1" t="s">
        <v>172</v>
      </c>
      <c r="J1994" s="1" t="s">
        <v>51</v>
      </c>
      <c r="K1994" s="1" t="s">
        <v>2171</v>
      </c>
      <c r="L1994" s="1" t="s">
        <v>29</v>
      </c>
      <c r="M1994" s="1" t="s">
        <v>34</v>
      </c>
      <c r="N1994" s="1" t="s">
        <v>2172</v>
      </c>
      <c r="O1994">
        <v>582.33600000000001</v>
      </c>
      <c r="P1994">
        <v>8</v>
      </c>
      <c r="Q1994">
        <v>-29.116800000000001</v>
      </c>
      <c r="R1994" s="1" t="s">
        <v>4427</v>
      </c>
      <c r="S1994">
        <v>2015</v>
      </c>
      <c r="T1994" s="1" t="s">
        <v>45</v>
      </c>
    </row>
    <row r="1995" spans="1:20" x14ac:dyDescent="0.25">
      <c r="A1995" s="1" t="s">
        <v>4255</v>
      </c>
      <c r="B1995" s="2">
        <v>41902</v>
      </c>
      <c r="C1995" s="2">
        <v>41905</v>
      </c>
      <c r="D1995" s="1" t="s">
        <v>81</v>
      </c>
      <c r="E1995" s="1" t="s">
        <v>4256</v>
      </c>
      <c r="F1995" s="1" t="s">
        <v>4257</v>
      </c>
      <c r="G1995" s="1" t="s">
        <v>24</v>
      </c>
      <c r="H1995" s="1" t="s">
        <v>165</v>
      </c>
      <c r="I1995" s="1" t="s">
        <v>114</v>
      </c>
      <c r="J1995" s="1" t="s">
        <v>63</v>
      </c>
      <c r="K1995" s="1" t="s">
        <v>842</v>
      </c>
      <c r="L1995" s="1" t="s">
        <v>29</v>
      </c>
      <c r="M1995" s="1" t="s">
        <v>34</v>
      </c>
      <c r="N1995" s="1" t="s">
        <v>843</v>
      </c>
      <c r="O1995">
        <v>631.78200000000004</v>
      </c>
      <c r="P1995">
        <v>2</v>
      </c>
      <c r="Q1995">
        <v>140.39599999999999</v>
      </c>
      <c r="R1995" s="1" t="s">
        <v>4420</v>
      </c>
      <c r="S1995">
        <v>2014</v>
      </c>
      <c r="T1995" s="1" t="s">
        <v>72</v>
      </c>
    </row>
    <row r="1996" spans="1:20" x14ac:dyDescent="0.25">
      <c r="A1996" s="1" t="s">
        <v>4255</v>
      </c>
      <c r="B1996" s="2">
        <v>41902</v>
      </c>
      <c r="C1996" s="2">
        <v>41905</v>
      </c>
      <c r="D1996" s="1" t="s">
        <v>81</v>
      </c>
      <c r="E1996" s="1" t="s">
        <v>4256</v>
      </c>
      <c r="F1996" s="1" t="s">
        <v>4257</v>
      </c>
      <c r="G1996" s="1" t="s">
        <v>24</v>
      </c>
      <c r="H1996" s="1" t="s">
        <v>165</v>
      </c>
      <c r="I1996" s="1" t="s">
        <v>114</v>
      </c>
      <c r="J1996" s="1" t="s">
        <v>63</v>
      </c>
      <c r="K1996" s="1" t="s">
        <v>1686</v>
      </c>
      <c r="L1996" s="1" t="s">
        <v>29</v>
      </c>
      <c r="M1996" s="1" t="s">
        <v>30</v>
      </c>
      <c r="N1996" s="1" t="s">
        <v>1687</v>
      </c>
      <c r="O1996">
        <v>801.56799999999998</v>
      </c>
      <c r="P1996">
        <v>2</v>
      </c>
      <c r="Q1996">
        <v>-10.019600000000001</v>
      </c>
      <c r="R1996" s="1" t="s">
        <v>4420</v>
      </c>
      <c r="S1996">
        <v>2014</v>
      </c>
      <c r="T1996" s="1" t="s">
        <v>72</v>
      </c>
    </row>
    <row r="1997" spans="1:20" x14ac:dyDescent="0.25">
      <c r="A1997" s="1" t="s">
        <v>4258</v>
      </c>
      <c r="B1997" s="2">
        <v>41814</v>
      </c>
      <c r="C1997" s="2">
        <v>41818</v>
      </c>
      <c r="D1997" s="1" t="s">
        <v>37</v>
      </c>
      <c r="E1997" s="1" t="s">
        <v>606</v>
      </c>
      <c r="F1997" s="1" t="s">
        <v>607</v>
      </c>
      <c r="G1997" s="1" t="s">
        <v>24</v>
      </c>
      <c r="H1997" s="1" t="s">
        <v>1213</v>
      </c>
      <c r="I1997" s="1" t="s">
        <v>511</v>
      </c>
      <c r="J1997" s="1" t="s">
        <v>51</v>
      </c>
      <c r="K1997" s="1" t="s">
        <v>2504</v>
      </c>
      <c r="L1997" s="1" t="s">
        <v>29</v>
      </c>
      <c r="M1997" s="1" t="s">
        <v>53</v>
      </c>
      <c r="N1997" s="1" t="s">
        <v>2505</v>
      </c>
      <c r="O1997">
        <v>4.2720000000000002</v>
      </c>
      <c r="P1997">
        <v>2</v>
      </c>
      <c r="Q1997">
        <v>0.96120000000000005</v>
      </c>
      <c r="R1997" s="1" t="s">
        <v>4424</v>
      </c>
      <c r="S1997">
        <v>2014</v>
      </c>
      <c r="T1997" s="1" t="s">
        <v>55</v>
      </c>
    </row>
    <row r="1998" spans="1:20" x14ac:dyDescent="0.25">
      <c r="A1998" s="1" t="s">
        <v>4259</v>
      </c>
      <c r="B1998" s="2">
        <v>42594</v>
      </c>
      <c r="C1998" s="2">
        <v>42599</v>
      </c>
      <c r="D1998" s="1" t="s">
        <v>21</v>
      </c>
      <c r="E1998" s="1" t="s">
        <v>1122</v>
      </c>
      <c r="F1998" s="1" t="s">
        <v>1123</v>
      </c>
      <c r="G1998" s="1" t="s">
        <v>24</v>
      </c>
      <c r="H1998" s="1" t="s">
        <v>165</v>
      </c>
      <c r="I1998" s="1" t="s">
        <v>114</v>
      </c>
      <c r="J1998" s="1" t="s">
        <v>63</v>
      </c>
      <c r="K1998" s="1" t="s">
        <v>775</v>
      </c>
      <c r="L1998" s="1" t="s">
        <v>29</v>
      </c>
      <c r="M1998" s="1" t="s">
        <v>43</v>
      </c>
      <c r="N1998" s="1" t="s">
        <v>776</v>
      </c>
      <c r="O1998">
        <v>209.148</v>
      </c>
      <c r="P1998">
        <v>2</v>
      </c>
      <c r="Q1998">
        <v>-66.230199999999996</v>
      </c>
      <c r="R1998" s="1" t="s">
        <v>4422</v>
      </c>
      <c r="S1998">
        <v>2016</v>
      </c>
      <c r="T1998" s="1" t="s">
        <v>245</v>
      </c>
    </row>
    <row r="1999" spans="1:20" x14ac:dyDescent="0.25">
      <c r="A1999" s="1" t="s">
        <v>4260</v>
      </c>
      <c r="B1999" s="2">
        <v>43000</v>
      </c>
      <c r="C1999" s="2">
        <v>43002</v>
      </c>
      <c r="D1999" s="1" t="s">
        <v>21</v>
      </c>
      <c r="E1999" s="1" t="s">
        <v>1161</v>
      </c>
      <c r="F1999" s="1" t="s">
        <v>1162</v>
      </c>
      <c r="G1999" s="1" t="s">
        <v>24</v>
      </c>
      <c r="H1999" s="1" t="s">
        <v>165</v>
      </c>
      <c r="I1999" s="1" t="s">
        <v>114</v>
      </c>
      <c r="J1999" s="1" t="s">
        <v>63</v>
      </c>
      <c r="K1999" s="1" t="s">
        <v>542</v>
      </c>
      <c r="L1999" s="1" t="s">
        <v>29</v>
      </c>
      <c r="M1999" s="1" t="s">
        <v>53</v>
      </c>
      <c r="N1999" s="1" t="s">
        <v>3116</v>
      </c>
      <c r="O1999">
        <v>12.07</v>
      </c>
      <c r="P1999">
        <v>1</v>
      </c>
      <c r="Q1999">
        <v>3.9830999999999999</v>
      </c>
      <c r="R1999" s="1" t="s">
        <v>4423</v>
      </c>
      <c r="S1999">
        <v>2017</v>
      </c>
      <c r="T1999" s="1" t="s">
        <v>72</v>
      </c>
    </row>
    <row r="2000" spans="1:20" x14ac:dyDescent="0.25">
      <c r="A2000" s="1" t="s">
        <v>4261</v>
      </c>
      <c r="B2000" s="2">
        <v>43079</v>
      </c>
      <c r="C2000" s="2">
        <v>43082</v>
      </c>
      <c r="D2000" s="1" t="s">
        <v>81</v>
      </c>
      <c r="E2000" s="1" t="s">
        <v>1721</v>
      </c>
      <c r="F2000" s="1" t="s">
        <v>1722</v>
      </c>
      <c r="G2000" s="1" t="s">
        <v>24</v>
      </c>
      <c r="H2000" s="1" t="s">
        <v>61</v>
      </c>
      <c r="I2000" s="1" t="s">
        <v>62</v>
      </c>
      <c r="J2000" s="1" t="s">
        <v>63</v>
      </c>
      <c r="K2000" s="1" t="s">
        <v>621</v>
      </c>
      <c r="L2000" s="1" t="s">
        <v>29</v>
      </c>
      <c r="M2000" s="1" t="s">
        <v>53</v>
      </c>
      <c r="N2000" s="1" t="s">
        <v>622</v>
      </c>
      <c r="O2000">
        <v>87.92</v>
      </c>
      <c r="P2000">
        <v>5</v>
      </c>
      <c r="Q2000">
        <v>15.385999999999999</v>
      </c>
      <c r="R2000" s="1" t="s">
        <v>4420</v>
      </c>
      <c r="S2000">
        <v>2017</v>
      </c>
      <c r="T2000" s="1" t="s">
        <v>90</v>
      </c>
    </row>
    <row r="2001" spans="1:20" x14ac:dyDescent="0.25">
      <c r="A2001" s="1" t="s">
        <v>4262</v>
      </c>
      <c r="B2001" s="2">
        <v>42031</v>
      </c>
      <c r="C2001" s="2">
        <v>42033</v>
      </c>
      <c r="D2001" s="1" t="s">
        <v>81</v>
      </c>
      <c r="E2001" s="1" t="s">
        <v>3674</v>
      </c>
      <c r="F2001" s="1" t="s">
        <v>3675</v>
      </c>
      <c r="G2001" s="1" t="s">
        <v>24</v>
      </c>
      <c r="H2001" s="1" t="s">
        <v>49</v>
      </c>
      <c r="I2001" s="1" t="s">
        <v>50</v>
      </c>
      <c r="J2001" s="1" t="s">
        <v>51</v>
      </c>
      <c r="K2001" s="1" t="s">
        <v>592</v>
      </c>
      <c r="L2001" s="1" t="s">
        <v>29</v>
      </c>
      <c r="M2001" s="1" t="s">
        <v>34</v>
      </c>
      <c r="N2001" s="1" t="s">
        <v>593</v>
      </c>
      <c r="O2001">
        <v>2803.92</v>
      </c>
      <c r="P2001">
        <v>5</v>
      </c>
      <c r="Q2001">
        <v>0</v>
      </c>
      <c r="R2001" s="1" t="s">
        <v>4423</v>
      </c>
      <c r="S2001">
        <v>2015</v>
      </c>
      <c r="T2001" s="1" t="s">
        <v>161</v>
      </c>
    </row>
    <row r="2002" spans="1:20" x14ac:dyDescent="0.25">
      <c r="A2002" s="1" t="s">
        <v>4263</v>
      </c>
      <c r="B2002" s="2">
        <v>42295</v>
      </c>
      <c r="C2002" s="2">
        <v>42299</v>
      </c>
      <c r="D2002" s="1" t="s">
        <v>37</v>
      </c>
      <c r="E2002" s="1" t="s">
        <v>2497</v>
      </c>
      <c r="F2002" s="1" t="s">
        <v>2498</v>
      </c>
      <c r="G2002" s="1" t="s">
        <v>24</v>
      </c>
      <c r="H2002" s="1" t="s">
        <v>183</v>
      </c>
      <c r="I2002" s="1" t="s">
        <v>184</v>
      </c>
      <c r="J2002" s="1" t="s">
        <v>51</v>
      </c>
      <c r="K2002" s="1" t="s">
        <v>311</v>
      </c>
      <c r="L2002" s="1" t="s">
        <v>29</v>
      </c>
      <c r="M2002" s="1" t="s">
        <v>53</v>
      </c>
      <c r="N2002" s="1" t="s">
        <v>312</v>
      </c>
      <c r="O2002">
        <v>10.11</v>
      </c>
      <c r="P2002">
        <v>3</v>
      </c>
      <c r="Q2002">
        <v>3.2351999999999999</v>
      </c>
      <c r="R2002" s="1" t="s">
        <v>4424</v>
      </c>
      <c r="S2002">
        <v>2015</v>
      </c>
      <c r="T2002" s="1" t="s">
        <v>45</v>
      </c>
    </row>
    <row r="2003" spans="1:20" x14ac:dyDescent="0.25">
      <c r="A2003" s="1" t="s">
        <v>4264</v>
      </c>
      <c r="B2003" s="2">
        <v>41894</v>
      </c>
      <c r="C2003" s="2">
        <v>41899</v>
      </c>
      <c r="D2003" s="1" t="s">
        <v>21</v>
      </c>
      <c r="E2003" s="1" t="s">
        <v>3835</v>
      </c>
      <c r="F2003" s="1" t="s">
        <v>3836</v>
      </c>
      <c r="G2003" s="1" t="s">
        <v>24</v>
      </c>
      <c r="H2003" s="1" t="s">
        <v>165</v>
      </c>
      <c r="I2003" s="1" t="s">
        <v>114</v>
      </c>
      <c r="J2003" s="1" t="s">
        <v>63</v>
      </c>
      <c r="K2003" s="1" t="s">
        <v>592</v>
      </c>
      <c r="L2003" s="1" t="s">
        <v>29</v>
      </c>
      <c r="M2003" s="1" t="s">
        <v>34</v>
      </c>
      <c r="N2003" s="1" t="s">
        <v>593</v>
      </c>
      <c r="O2003">
        <v>3785.2919999999999</v>
      </c>
      <c r="P2003">
        <v>6</v>
      </c>
      <c r="Q2003">
        <v>420.58800000000002</v>
      </c>
      <c r="R2003" s="1" t="s">
        <v>4422</v>
      </c>
      <c r="S2003">
        <v>2014</v>
      </c>
      <c r="T2003" s="1" t="s">
        <v>72</v>
      </c>
    </row>
    <row r="2004" spans="1:20" x14ac:dyDescent="0.25">
      <c r="A2004" s="1" t="s">
        <v>4265</v>
      </c>
      <c r="B2004" s="2">
        <v>41970</v>
      </c>
      <c r="C2004" s="2">
        <v>41974</v>
      </c>
      <c r="D2004" s="1" t="s">
        <v>37</v>
      </c>
      <c r="E2004" s="1" t="s">
        <v>2687</v>
      </c>
      <c r="F2004" s="1" t="s">
        <v>2688</v>
      </c>
      <c r="G2004" s="1" t="s">
        <v>84</v>
      </c>
      <c r="H2004" s="1" t="s">
        <v>2945</v>
      </c>
      <c r="I2004" s="1" t="s">
        <v>114</v>
      </c>
      <c r="J2004" s="1" t="s">
        <v>63</v>
      </c>
      <c r="K2004" s="1" t="s">
        <v>1114</v>
      </c>
      <c r="L2004" s="1" t="s">
        <v>29</v>
      </c>
      <c r="M2004" s="1" t="s">
        <v>53</v>
      </c>
      <c r="N2004" s="1" t="s">
        <v>1115</v>
      </c>
      <c r="O2004">
        <v>199.9</v>
      </c>
      <c r="P2004">
        <v>5</v>
      </c>
      <c r="Q2004">
        <v>39.979999999999997</v>
      </c>
      <c r="R2004" s="1" t="s">
        <v>4424</v>
      </c>
      <c r="S2004">
        <v>2014</v>
      </c>
      <c r="T2004" s="1" t="s">
        <v>32</v>
      </c>
    </row>
    <row r="2005" spans="1:20" x14ac:dyDescent="0.25">
      <c r="A2005" s="1" t="s">
        <v>4266</v>
      </c>
      <c r="B2005" s="2">
        <v>41770</v>
      </c>
      <c r="C2005" s="2">
        <v>41775</v>
      </c>
      <c r="D2005" s="1" t="s">
        <v>37</v>
      </c>
      <c r="E2005" s="1" t="s">
        <v>266</v>
      </c>
      <c r="F2005" s="1" t="s">
        <v>267</v>
      </c>
      <c r="G2005" s="1" t="s">
        <v>84</v>
      </c>
      <c r="H2005" s="1" t="s">
        <v>1859</v>
      </c>
      <c r="I2005" s="1" t="s">
        <v>86</v>
      </c>
      <c r="J2005" s="1" t="s">
        <v>87</v>
      </c>
      <c r="K2005" s="1" t="s">
        <v>470</v>
      </c>
      <c r="L2005" s="1" t="s">
        <v>29</v>
      </c>
      <c r="M2005" s="1" t="s">
        <v>34</v>
      </c>
      <c r="N2005" s="1" t="s">
        <v>471</v>
      </c>
      <c r="O2005">
        <v>1212.96</v>
      </c>
      <c r="P2005">
        <v>8</v>
      </c>
      <c r="Q2005">
        <v>-69.311999999999998</v>
      </c>
      <c r="R2005" s="1" t="s">
        <v>4422</v>
      </c>
      <c r="S2005">
        <v>2014</v>
      </c>
      <c r="T2005" s="1" t="s">
        <v>153</v>
      </c>
    </row>
    <row r="2006" spans="1:20" x14ac:dyDescent="0.25">
      <c r="A2006" s="1" t="s">
        <v>4267</v>
      </c>
      <c r="B2006" s="2">
        <v>42244</v>
      </c>
      <c r="C2006" s="2">
        <v>42248</v>
      </c>
      <c r="D2006" s="1" t="s">
        <v>37</v>
      </c>
      <c r="E2006" s="1" t="s">
        <v>368</v>
      </c>
      <c r="F2006" s="1" t="s">
        <v>369</v>
      </c>
      <c r="G2006" s="1" t="s">
        <v>84</v>
      </c>
      <c r="H2006" s="1" t="s">
        <v>1730</v>
      </c>
      <c r="I2006" s="1" t="s">
        <v>86</v>
      </c>
      <c r="J2006" s="1" t="s">
        <v>87</v>
      </c>
      <c r="K2006" s="1" t="s">
        <v>1456</v>
      </c>
      <c r="L2006" s="1" t="s">
        <v>29</v>
      </c>
      <c r="M2006" s="1" t="s">
        <v>43</v>
      </c>
      <c r="N2006" s="1" t="s">
        <v>1457</v>
      </c>
      <c r="O2006">
        <v>103.48099999999999</v>
      </c>
      <c r="P2006">
        <v>1</v>
      </c>
      <c r="Q2006">
        <v>-16.261299999999999</v>
      </c>
      <c r="R2006" s="1" t="s">
        <v>4424</v>
      </c>
      <c r="S2006">
        <v>2015</v>
      </c>
      <c r="T2006" s="1" t="s">
        <v>245</v>
      </c>
    </row>
    <row r="2007" spans="1:20" x14ac:dyDescent="0.25">
      <c r="A2007" s="1" t="s">
        <v>4268</v>
      </c>
      <c r="B2007" s="2">
        <v>42882</v>
      </c>
      <c r="C2007" s="2">
        <v>42889</v>
      </c>
      <c r="D2007" s="1" t="s">
        <v>37</v>
      </c>
      <c r="E2007" s="1" t="s">
        <v>2633</v>
      </c>
      <c r="F2007" s="1" t="s">
        <v>2634</v>
      </c>
      <c r="G2007" s="1" t="s">
        <v>24</v>
      </c>
      <c r="H2007" s="1" t="s">
        <v>2012</v>
      </c>
      <c r="I2007" s="1" t="s">
        <v>1513</v>
      </c>
      <c r="J2007" s="1" t="s">
        <v>87</v>
      </c>
      <c r="K2007" s="1" t="s">
        <v>88</v>
      </c>
      <c r="L2007" s="1" t="s">
        <v>29</v>
      </c>
      <c r="M2007" s="1" t="s">
        <v>53</v>
      </c>
      <c r="N2007" s="1" t="s">
        <v>89</v>
      </c>
      <c r="O2007">
        <v>477.3</v>
      </c>
      <c r="P2007">
        <v>5</v>
      </c>
      <c r="Q2007">
        <v>138.417</v>
      </c>
      <c r="R2007" s="1" t="s">
        <v>4421</v>
      </c>
      <c r="S2007">
        <v>2017</v>
      </c>
      <c r="T2007" s="1" t="s">
        <v>153</v>
      </c>
    </row>
    <row r="2008" spans="1:20" x14ac:dyDescent="0.25">
      <c r="A2008" s="1" t="s">
        <v>4269</v>
      </c>
      <c r="B2008" s="2">
        <v>43064</v>
      </c>
      <c r="C2008" s="2">
        <v>43069</v>
      </c>
      <c r="D2008" s="1" t="s">
        <v>21</v>
      </c>
      <c r="E2008" s="1" t="s">
        <v>3475</v>
      </c>
      <c r="F2008" s="1" t="s">
        <v>3476</v>
      </c>
      <c r="G2008" s="1" t="s">
        <v>84</v>
      </c>
      <c r="H2008" s="1" t="s">
        <v>856</v>
      </c>
      <c r="I2008" s="1" t="s">
        <v>26</v>
      </c>
      <c r="J2008" s="1" t="s">
        <v>27</v>
      </c>
      <c r="K2008" s="1" t="s">
        <v>1477</v>
      </c>
      <c r="L2008" s="1" t="s">
        <v>29</v>
      </c>
      <c r="M2008" s="1" t="s">
        <v>34</v>
      </c>
      <c r="N2008" s="1" t="s">
        <v>1478</v>
      </c>
      <c r="O2008">
        <v>701.96</v>
      </c>
      <c r="P2008">
        <v>2</v>
      </c>
      <c r="Q2008">
        <v>168.47040000000001</v>
      </c>
      <c r="R2008" s="1" t="s">
        <v>4422</v>
      </c>
      <c r="S2008">
        <v>2017</v>
      </c>
      <c r="T2008" s="1" t="s">
        <v>32</v>
      </c>
    </row>
    <row r="2009" spans="1:20" x14ac:dyDescent="0.25">
      <c r="A2009" s="1" t="s">
        <v>4270</v>
      </c>
      <c r="B2009" s="2">
        <v>42693</v>
      </c>
      <c r="C2009" s="2">
        <v>42697</v>
      </c>
      <c r="D2009" s="1" t="s">
        <v>37</v>
      </c>
      <c r="E2009" s="1" t="s">
        <v>473</v>
      </c>
      <c r="F2009" s="1" t="s">
        <v>474</v>
      </c>
      <c r="G2009" s="1" t="s">
        <v>84</v>
      </c>
      <c r="H2009" s="1" t="s">
        <v>183</v>
      </c>
      <c r="I2009" s="1" t="s">
        <v>184</v>
      </c>
      <c r="J2009" s="1" t="s">
        <v>51</v>
      </c>
      <c r="K2009" s="1" t="s">
        <v>576</v>
      </c>
      <c r="L2009" s="1" t="s">
        <v>29</v>
      </c>
      <c r="M2009" s="1" t="s">
        <v>53</v>
      </c>
      <c r="N2009" s="1" t="s">
        <v>577</v>
      </c>
      <c r="O2009">
        <v>31.96</v>
      </c>
      <c r="P2009">
        <v>2</v>
      </c>
      <c r="Q2009">
        <v>1.5980000000000001</v>
      </c>
      <c r="R2009" s="1" t="s">
        <v>4424</v>
      </c>
      <c r="S2009">
        <v>2016</v>
      </c>
      <c r="T2009" s="1" t="s">
        <v>32</v>
      </c>
    </row>
    <row r="2010" spans="1:20" x14ac:dyDescent="0.25">
      <c r="A2010" s="1" t="s">
        <v>4271</v>
      </c>
      <c r="B2010" s="2">
        <v>43044</v>
      </c>
      <c r="C2010" s="2">
        <v>43049</v>
      </c>
      <c r="D2010" s="1" t="s">
        <v>21</v>
      </c>
      <c r="E2010" s="1" t="s">
        <v>4272</v>
      </c>
      <c r="F2010" s="1" t="s">
        <v>4273</v>
      </c>
      <c r="G2010" s="1" t="s">
        <v>24</v>
      </c>
      <c r="H2010" s="1" t="s">
        <v>165</v>
      </c>
      <c r="I2010" s="1" t="s">
        <v>114</v>
      </c>
      <c r="J2010" s="1" t="s">
        <v>63</v>
      </c>
      <c r="K2010" s="1" t="s">
        <v>2557</v>
      </c>
      <c r="L2010" s="1" t="s">
        <v>29</v>
      </c>
      <c r="M2010" s="1" t="s">
        <v>43</v>
      </c>
      <c r="N2010" s="1" t="s">
        <v>2558</v>
      </c>
      <c r="O2010">
        <v>166.5</v>
      </c>
      <c r="P2010">
        <v>2</v>
      </c>
      <c r="Q2010">
        <v>-66.599999999999994</v>
      </c>
      <c r="R2010" s="1" t="s">
        <v>4422</v>
      </c>
      <c r="S2010">
        <v>2017</v>
      </c>
      <c r="T2010" s="1" t="s">
        <v>32</v>
      </c>
    </row>
    <row r="2011" spans="1:20" x14ac:dyDescent="0.25">
      <c r="A2011" s="1" t="s">
        <v>4271</v>
      </c>
      <c r="B2011" s="2">
        <v>43044</v>
      </c>
      <c r="C2011" s="2">
        <v>43049</v>
      </c>
      <c r="D2011" s="1" t="s">
        <v>21</v>
      </c>
      <c r="E2011" s="1" t="s">
        <v>4272</v>
      </c>
      <c r="F2011" s="1" t="s">
        <v>4273</v>
      </c>
      <c r="G2011" s="1" t="s">
        <v>24</v>
      </c>
      <c r="H2011" s="1" t="s">
        <v>165</v>
      </c>
      <c r="I2011" s="1" t="s">
        <v>114</v>
      </c>
      <c r="J2011" s="1" t="s">
        <v>63</v>
      </c>
      <c r="K2011" s="1" t="s">
        <v>2185</v>
      </c>
      <c r="L2011" s="1" t="s">
        <v>29</v>
      </c>
      <c r="M2011" s="1" t="s">
        <v>34</v>
      </c>
      <c r="N2011" s="1" t="s">
        <v>2186</v>
      </c>
      <c r="O2011">
        <v>128.124</v>
      </c>
      <c r="P2011">
        <v>2</v>
      </c>
      <c r="Q2011">
        <v>24.2012</v>
      </c>
      <c r="R2011" s="1" t="s">
        <v>4422</v>
      </c>
      <c r="S2011">
        <v>2017</v>
      </c>
      <c r="T2011" s="1" t="s">
        <v>32</v>
      </c>
    </row>
    <row r="2012" spans="1:20" x14ac:dyDescent="0.25">
      <c r="A2012" s="1" t="s">
        <v>4271</v>
      </c>
      <c r="B2012" s="2">
        <v>43044</v>
      </c>
      <c r="C2012" s="2">
        <v>43049</v>
      </c>
      <c r="D2012" s="1" t="s">
        <v>21</v>
      </c>
      <c r="E2012" s="1" t="s">
        <v>4272</v>
      </c>
      <c r="F2012" s="1" t="s">
        <v>4273</v>
      </c>
      <c r="G2012" s="1" t="s">
        <v>24</v>
      </c>
      <c r="H2012" s="1" t="s">
        <v>165</v>
      </c>
      <c r="I2012" s="1" t="s">
        <v>114</v>
      </c>
      <c r="J2012" s="1" t="s">
        <v>63</v>
      </c>
      <c r="K2012" s="1" t="s">
        <v>3214</v>
      </c>
      <c r="L2012" s="1" t="s">
        <v>29</v>
      </c>
      <c r="M2012" s="1" t="s">
        <v>53</v>
      </c>
      <c r="N2012" s="1" t="s">
        <v>3215</v>
      </c>
      <c r="O2012">
        <v>101.4</v>
      </c>
      <c r="P2012">
        <v>5</v>
      </c>
      <c r="Q2012">
        <v>38.531999999999996</v>
      </c>
      <c r="R2012" s="1" t="s">
        <v>4422</v>
      </c>
      <c r="S2012">
        <v>2017</v>
      </c>
      <c r="T2012" s="1" t="s">
        <v>32</v>
      </c>
    </row>
    <row r="2013" spans="1:20" x14ac:dyDescent="0.25">
      <c r="A2013" s="1" t="s">
        <v>4274</v>
      </c>
      <c r="B2013" s="2">
        <v>42155</v>
      </c>
      <c r="C2013" s="2">
        <v>42160</v>
      </c>
      <c r="D2013" s="1" t="s">
        <v>21</v>
      </c>
      <c r="E2013" s="1" t="s">
        <v>473</v>
      </c>
      <c r="F2013" s="1" t="s">
        <v>474</v>
      </c>
      <c r="G2013" s="1" t="s">
        <v>84</v>
      </c>
      <c r="H2013" s="1" t="s">
        <v>125</v>
      </c>
      <c r="I2013" s="1" t="s">
        <v>126</v>
      </c>
      <c r="J2013" s="1" t="s">
        <v>87</v>
      </c>
      <c r="K2013" s="1" t="s">
        <v>2440</v>
      </c>
      <c r="L2013" s="1" t="s">
        <v>29</v>
      </c>
      <c r="M2013" s="1" t="s">
        <v>53</v>
      </c>
      <c r="N2013" s="1" t="s">
        <v>2441</v>
      </c>
      <c r="O2013">
        <v>51.56</v>
      </c>
      <c r="P2013">
        <v>2</v>
      </c>
      <c r="Q2013">
        <v>-61.872</v>
      </c>
      <c r="R2013" s="1" t="s">
        <v>4422</v>
      </c>
      <c r="S2013">
        <v>2015</v>
      </c>
      <c r="T2013" s="1" t="s">
        <v>153</v>
      </c>
    </row>
    <row r="2014" spans="1:20" x14ac:dyDescent="0.25">
      <c r="A2014" s="1" t="s">
        <v>4275</v>
      </c>
      <c r="B2014" s="2">
        <v>42706</v>
      </c>
      <c r="C2014" s="2">
        <v>42708</v>
      </c>
      <c r="D2014" s="1" t="s">
        <v>21</v>
      </c>
      <c r="E2014" s="1" t="s">
        <v>2579</v>
      </c>
      <c r="F2014" s="1" t="s">
        <v>2580</v>
      </c>
      <c r="G2014" s="1" t="s">
        <v>84</v>
      </c>
      <c r="H2014" s="1" t="s">
        <v>95</v>
      </c>
      <c r="I2014" s="1" t="s">
        <v>86</v>
      </c>
      <c r="J2014" s="1" t="s">
        <v>87</v>
      </c>
      <c r="K2014" s="1" t="s">
        <v>2896</v>
      </c>
      <c r="L2014" s="1" t="s">
        <v>29</v>
      </c>
      <c r="M2014" s="1" t="s">
        <v>30</v>
      </c>
      <c r="N2014" s="1" t="s">
        <v>2897</v>
      </c>
      <c r="O2014">
        <v>781.86400000000003</v>
      </c>
      <c r="P2014">
        <v>10</v>
      </c>
      <c r="Q2014">
        <v>-137.976</v>
      </c>
      <c r="R2014" s="1" t="s">
        <v>4423</v>
      </c>
      <c r="S2014">
        <v>2016</v>
      </c>
      <c r="T2014" s="1" t="s">
        <v>90</v>
      </c>
    </row>
    <row r="2015" spans="1:20" x14ac:dyDescent="0.25">
      <c r="A2015" s="1" t="s">
        <v>4276</v>
      </c>
      <c r="B2015" s="2">
        <v>43020</v>
      </c>
      <c r="C2015" s="2">
        <v>43020</v>
      </c>
      <c r="D2015" s="1" t="s">
        <v>417</v>
      </c>
      <c r="E2015" s="1" t="s">
        <v>466</v>
      </c>
      <c r="F2015" s="1" t="s">
        <v>467</v>
      </c>
      <c r="G2015" s="1" t="s">
        <v>24</v>
      </c>
      <c r="H2015" s="1" t="s">
        <v>1979</v>
      </c>
      <c r="I2015" s="1" t="s">
        <v>4277</v>
      </c>
      <c r="J2015" s="1" t="s">
        <v>63</v>
      </c>
      <c r="K2015" s="1" t="s">
        <v>1068</v>
      </c>
      <c r="L2015" s="1" t="s">
        <v>29</v>
      </c>
      <c r="M2015" s="1" t="s">
        <v>43</v>
      </c>
      <c r="N2015" s="1" t="s">
        <v>1069</v>
      </c>
      <c r="O2015">
        <v>673.34400000000005</v>
      </c>
      <c r="P2015">
        <v>3</v>
      </c>
      <c r="Q2015">
        <v>-76.953599999999994</v>
      </c>
      <c r="R2015" s="1" t="s">
        <v>4427</v>
      </c>
      <c r="S2015">
        <v>2017</v>
      </c>
      <c r="T2015" s="1" t="s">
        <v>45</v>
      </c>
    </row>
    <row r="2016" spans="1:20" x14ac:dyDescent="0.25">
      <c r="A2016" s="1" t="s">
        <v>4278</v>
      </c>
      <c r="B2016" s="2">
        <v>42372</v>
      </c>
      <c r="C2016" s="2">
        <v>42377</v>
      </c>
      <c r="D2016" s="1" t="s">
        <v>37</v>
      </c>
      <c r="E2016" s="1" t="s">
        <v>1991</v>
      </c>
      <c r="F2016" s="1" t="s">
        <v>1992</v>
      </c>
      <c r="G2016" s="1" t="s">
        <v>84</v>
      </c>
      <c r="H2016" s="1" t="s">
        <v>4279</v>
      </c>
      <c r="I2016" s="1" t="s">
        <v>1513</v>
      </c>
      <c r="J2016" s="1" t="s">
        <v>87</v>
      </c>
      <c r="K2016" s="1" t="s">
        <v>432</v>
      </c>
      <c r="L2016" s="1" t="s">
        <v>29</v>
      </c>
      <c r="M2016" s="1" t="s">
        <v>43</v>
      </c>
      <c r="N2016" s="1" t="s">
        <v>433</v>
      </c>
      <c r="O2016">
        <v>1592.85</v>
      </c>
      <c r="P2016">
        <v>7</v>
      </c>
      <c r="Q2016">
        <v>350.42700000000002</v>
      </c>
      <c r="R2016" s="1" t="s">
        <v>4422</v>
      </c>
      <c r="S2016">
        <v>2016</v>
      </c>
      <c r="T2016" s="1" t="s">
        <v>161</v>
      </c>
    </row>
    <row r="2017" spans="1:20" x14ac:dyDescent="0.25">
      <c r="A2017" s="1" t="s">
        <v>4280</v>
      </c>
      <c r="B2017" s="2">
        <v>42516</v>
      </c>
      <c r="C2017" s="2">
        <v>42520</v>
      </c>
      <c r="D2017" s="1" t="s">
        <v>37</v>
      </c>
      <c r="E2017" s="1" t="s">
        <v>4281</v>
      </c>
      <c r="F2017" s="1" t="s">
        <v>4282</v>
      </c>
      <c r="G2017" s="1" t="s">
        <v>24</v>
      </c>
      <c r="H2017" s="1" t="s">
        <v>896</v>
      </c>
      <c r="I2017" s="1" t="s">
        <v>230</v>
      </c>
      <c r="J2017" s="1" t="s">
        <v>87</v>
      </c>
      <c r="K2017" s="1" t="s">
        <v>1442</v>
      </c>
      <c r="L2017" s="1" t="s">
        <v>29</v>
      </c>
      <c r="M2017" s="1" t="s">
        <v>53</v>
      </c>
      <c r="N2017" s="1" t="s">
        <v>1443</v>
      </c>
      <c r="O2017">
        <v>26.94</v>
      </c>
      <c r="P2017">
        <v>3</v>
      </c>
      <c r="Q2017">
        <v>11.3148</v>
      </c>
      <c r="R2017" s="1" t="s">
        <v>4424</v>
      </c>
      <c r="S2017">
        <v>2016</v>
      </c>
      <c r="T2017" s="1" t="s">
        <v>153</v>
      </c>
    </row>
    <row r="2018" spans="1:20" x14ac:dyDescent="0.25">
      <c r="A2018" s="1" t="s">
        <v>4283</v>
      </c>
      <c r="B2018" s="2">
        <v>42328</v>
      </c>
      <c r="C2018" s="2">
        <v>42332</v>
      </c>
      <c r="D2018" s="1" t="s">
        <v>37</v>
      </c>
      <c r="E2018" s="1" t="s">
        <v>3051</v>
      </c>
      <c r="F2018" s="1" t="s">
        <v>3052</v>
      </c>
      <c r="G2018" s="1" t="s">
        <v>24</v>
      </c>
      <c r="H2018" s="1" t="s">
        <v>320</v>
      </c>
      <c r="I2018" s="1" t="s">
        <v>50</v>
      </c>
      <c r="J2018" s="1" t="s">
        <v>51</v>
      </c>
      <c r="K2018" s="1" t="s">
        <v>2131</v>
      </c>
      <c r="L2018" s="1" t="s">
        <v>29</v>
      </c>
      <c r="M2018" s="1" t="s">
        <v>53</v>
      </c>
      <c r="N2018" s="1" t="s">
        <v>2132</v>
      </c>
      <c r="O2018">
        <v>32.04</v>
      </c>
      <c r="P2018">
        <v>3</v>
      </c>
      <c r="Q2018">
        <v>8.01</v>
      </c>
      <c r="R2018" s="1" t="s">
        <v>4424</v>
      </c>
      <c r="S2018">
        <v>2015</v>
      </c>
      <c r="T2018" s="1" t="s">
        <v>32</v>
      </c>
    </row>
    <row r="2019" spans="1:20" x14ac:dyDescent="0.25">
      <c r="A2019" s="1" t="s">
        <v>4284</v>
      </c>
      <c r="B2019" s="2">
        <v>42885</v>
      </c>
      <c r="C2019" s="2">
        <v>42889</v>
      </c>
      <c r="D2019" s="1" t="s">
        <v>21</v>
      </c>
      <c r="E2019" s="1" t="s">
        <v>1918</v>
      </c>
      <c r="F2019" s="1" t="s">
        <v>1919</v>
      </c>
      <c r="G2019" s="1" t="s">
        <v>24</v>
      </c>
      <c r="H2019" s="1" t="s">
        <v>1730</v>
      </c>
      <c r="I2019" s="1" t="s">
        <v>86</v>
      </c>
      <c r="J2019" s="1" t="s">
        <v>87</v>
      </c>
      <c r="K2019" s="1" t="s">
        <v>990</v>
      </c>
      <c r="L2019" s="1" t="s">
        <v>29</v>
      </c>
      <c r="M2019" s="1" t="s">
        <v>30</v>
      </c>
      <c r="N2019" s="1" t="s">
        <v>991</v>
      </c>
      <c r="O2019">
        <v>204.66640000000001</v>
      </c>
      <c r="P2019">
        <v>1</v>
      </c>
      <c r="Q2019">
        <v>-6.0195999999999996</v>
      </c>
      <c r="R2019" s="1" t="s">
        <v>4424</v>
      </c>
      <c r="S2019">
        <v>2017</v>
      </c>
      <c r="T2019" s="1" t="s">
        <v>153</v>
      </c>
    </row>
    <row r="2020" spans="1:20" x14ac:dyDescent="0.25">
      <c r="A2020" s="1" t="s">
        <v>4285</v>
      </c>
      <c r="B2020" s="2">
        <v>43074</v>
      </c>
      <c r="C2020" s="2">
        <v>43075</v>
      </c>
      <c r="D2020" s="1" t="s">
        <v>81</v>
      </c>
      <c r="E2020" s="1" t="s">
        <v>4286</v>
      </c>
      <c r="F2020" s="1" t="s">
        <v>4287</v>
      </c>
      <c r="G2020" s="1" t="s">
        <v>94</v>
      </c>
      <c r="H2020" s="1" t="s">
        <v>183</v>
      </c>
      <c r="I2020" s="1" t="s">
        <v>184</v>
      </c>
      <c r="J2020" s="1" t="s">
        <v>51</v>
      </c>
      <c r="K2020" s="1" t="s">
        <v>1114</v>
      </c>
      <c r="L2020" s="1" t="s">
        <v>29</v>
      </c>
      <c r="M2020" s="1" t="s">
        <v>53</v>
      </c>
      <c r="N2020" s="1" t="s">
        <v>1115</v>
      </c>
      <c r="O2020">
        <v>199.9</v>
      </c>
      <c r="P2020">
        <v>5</v>
      </c>
      <c r="Q2020">
        <v>39.979999999999997</v>
      </c>
      <c r="R2020" s="1" t="s">
        <v>4425</v>
      </c>
      <c r="S2020">
        <v>2017</v>
      </c>
      <c r="T2020" s="1" t="s">
        <v>90</v>
      </c>
    </row>
    <row r="2021" spans="1:20" x14ac:dyDescent="0.25">
      <c r="A2021" s="1" t="s">
        <v>4288</v>
      </c>
      <c r="B2021" s="2">
        <v>42670</v>
      </c>
      <c r="C2021" s="2">
        <v>42674</v>
      </c>
      <c r="D2021" s="1" t="s">
        <v>37</v>
      </c>
      <c r="E2021" s="1" t="s">
        <v>2839</v>
      </c>
      <c r="F2021" s="1" t="s">
        <v>2840</v>
      </c>
      <c r="G2021" s="1" t="s">
        <v>24</v>
      </c>
      <c r="H2021" s="1" t="s">
        <v>165</v>
      </c>
      <c r="I2021" s="1" t="s">
        <v>114</v>
      </c>
      <c r="J2021" s="1" t="s">
        <v>63</v>
      </c>
      <c r="K2021" s="1" t="s">
        <v>1756</v>
      </c>
      <c r="L2021" s="1" t="s">
        <v>29</v>
      </c>
      <c r="M2021" s="1" t="s">
        <v>34</v>
      </c>
      <c r="N2021" s="1" t="s">
        <v>1757</v>
      </c>
      <c r="O2021">
        <v>427.64400000000001</v>
      </c>
      <c r="P2021">
        <v>14</v>
      </c>
      <c r="Q2021">
        <v>80.777199999999993</v>
      </c>
      <c r="R2021" s="1" t="s">
        <v>4424</v>
      </c>
      <c r="S2021">
        <v>2016</v>
      </c>
      <c r="T2021" s="1" t="s">
        <v>45</v>
      </c>
    </row>
    <row r="2022" spans="1:20" x14ac:dyDescent="0.25">
      <c r="A2022" s="1" t="s">
        <v>4289</v>
      </c>
      <c r="B2022" s="2">
        <v>42898</v>
      </c>
      <c r="C2022" s="2">
        <v>42900</v>
      </c>
      <c r="D2022" s="1" t="s">
        <v>21</v>
      </c>
      <c r="E2022" s="1" t="s">
        <v>1419</v>
      </c>
      <c r="F2022" s="1" t="s">
        <v>1420</v>
      </c>
      <c r="G2022" s="1" t="s">
        <v>24</v>
      </c>
      <c r="H2022" s="1" t="s">
        <v>125</v>
      </c>
      <c r="I2022" s="1" t="s">
        <v>126</v>
      </c>
      <c r="J2022" s="1" t="s">
        <v>87</v>
      </c>
      <c r="K2022" s="1" t="s">
        <v>1709</v>
      </c>
      <c r="L2022" s="1" t="s">
        <v>29</v>
      </c>
      <c r="M2022" s="1" t="s">
        <v>53</v>
      </c>
      <c r="N2022" s="1" t="s">
        <v>1710</v>
      </c>
      <c r="O2022">
        <v>8.8559999999999999</v>
      </c>
      <c r="P2022">
        <v>3</v>
      </c>
      <c r="Q2022">
        <v>-6.8634000000000004</v>
      </c>
      <c r="R2022" s="1" t="s">
        <v>4423</v>
      </c>
      <c r="S2022">
        <v>2017</v>
      </c>
      <c r="T2022" s="1" t="s">
        <v>55</v>
      </c>
    </row>
    <row r="2023" spans="1:20" x14ac:dyDescent="0.25">
      <c r="A2023" s="1" t="s">
        <v>4290</v>
      </c>
      <c r="B2023" s="2">
        <v>42638</v>
      </c>
      <c r="C2023" s="2">
        <v>42640</v>
      </c>
      <c r="D2023" s="1" t="s">
        <v>81</v>
      </c>
      <c r="E2023" s="1" t="s">
        <v>2255</v>
      </c>
      <c r="F2023" s="1" t="s">
        <v>2256</v>
      </c>
      <c r="G2023" s="1" t="s">
        <v>84</v>
      </c>
      <c r="H2023" s="1" t="s">
        <v>320</v>
      </c>
      <c r="I2023" s="1" t="s">
        <v>50</v>
      </c>
      <c r="J2023" s="1" t="s">
        <v>51</v>
      </c>
      <c r="K2023" s="1" t="s">
        <v>252</v>
      </c>
      <c r="L2023" s="1" t="s">
        <v>29</v>
      </c>
      <c r="M2023" s="1" t="s">
        <v>30</v>
      </c>
      <c r="N2023" s="1" t="s">
        <v>253</v>
      </c>
      <c r="O2023">
        <v>477.666</v>
      </c>
      <c r="P2023">
        <v>2</v>
      </c>
      <c r="Q2023">
        <v>84.293999999999997</v>
      </c>
      <c r="R2023" s="1" t="s">
        <v>4423</v>
      </c>
      <c r="S2023">
        <v>2016</v>
      </c>
      <c r="T2023" s="1" t="s">
        <v>72</v>
      </c>
    </row>
    <row r="2024" spans="1:20" x14ac:dyDescent="0.25">
      <c r="A2024" s="1" t="s">
        <v>4291</v>
      </c>
      <c r="B2024" s="2">
        <v>42135</v>
      </c>
      <c r="C2024" s="2">
        <v>42140</v>
      </c>
      <c r="D2024" s="1" t="s">
        <v>21</v>
      </c>
      <c r="E2024" s="1" t="s">
        <v>123</v>
      </c>
      <c r="F2024" s="1" t="s">
        <v>124</v>
      </c>
      <c r="G2024" s="1" t="s">
        <v>94</v>
      </c>
      <c r="H2024" s="1" t="s">
        <v>510</v>
      </c>
      <c r="I2024" s="1" t="s">
        <v>511</v>
      </c>
      <c r="J2024" s="1" t="s">
        <v>51</v>
      </c>
      <c r="K2024" s="1" t="s">
        <v>1093</v>
      </c>
      <c r="L2024" s="1" t="s">
        <v>29</v>
      </c>
      <c r="M2024" s="1" t="s">
        <v>34</v>
      </c>
      <c r="N2024" s="1" t="s">
        <v>1094</v>
      </c>
      <c r="O2024">
        <v>191.96799999999999</v>
      </c>
      <c r="P2024">
        <v>7</v>
      </c>
      <c r="Q2024">
        <v>16.7972</v>
      </c>
      <c r="R2024" s="1" t="s">
        <v>4422</v>
      </c>
      <c r="S2024">
        <v>2015</v>
      </c>
      <c r="T2024" s="1" t="s">
        <v>153</v>
      </c>
    </row>
    <row r="2025" spans="1:20" x14ac:dyDescent="0.25">
      <c r="A2025" s="1" t="s">
        <v>4292</v>
      </c>
      <c r="B2025" s="2">
        <v>42222</v>
      </c>
      <c r="C2025" s="2">
        <v>42226</v>
      </c>
      <c r="D2025" s="1" t="s">
        <v>37</v>
      </c>
      <c r="E2025" s="1" t="s">
        <v>4293</v>
      </c>
      <c r="F2025" s="1" t="s">
        <v>4294</v>
      </c>
      <c r="G2025" s="1" t="s">
        <v>84</v>
      </c>
      <c r="H2025" s="1" t="s">
        <v>95</v>
      </c>
      <c r="I2025" s="1" t="s">
        <v>86</v>
      </c>
      <c r="J2025" s="1" t="s">
        <v>87</v>
      </c>
      <c r="K2025" s="1" t="s">
        <v>1437</v>
      </c>
      <c r="L2025" s="1" t="s">
        <v>29</v>
      </c>
      <c r="M2025" s="1" t="s">
        <v>30</v>
      </c>
      <c r="N2025" s="1" t="s">
        <v>1438</v>
      </c>
      <c r="O2025">
        <v>369.19920000000002</v>
      </c>
      <c r="P2025">
        <v>3</v>
      </c>
      <c r="Q2025">
        <v>-114.01739999999999</v>
      </c>
      <c r="R2025" s="1" t="s">
        <v>4424</v>
      </c>
      <c r="S2025">
        <v>2015</v>
      </c>
      <c r="T2025" s="1" t="s">
        <v>245</v>
      </c>
    </row>
    <row r="2026" spans="1:20" x14ac:dyDescent="0.25">
      <c r="A2026" s="1" t="s">
        <v>4295</v>
      </c>
      <c r="B2026" s="2">
        <v>42635</v>
      </c>
      <c r="C2026" s="2">
        <v>42640</v>
      </c>
      <c r="D2026" s="1" t="s">
        <v>37</v>
      </c>
      <c r="E2026" s="1" t="s">
        <v>2336</v>
      </c>
      <c r="F2026" s="1" t="s">
        <v>2337</v>
      </c>
      <c r="G2026" s="1" t="s">
        <v>84</v>
      </c>
      <c r="H2026" s="1" t="s">
        <v>1602</v>
      </c>
      <c r="I2026" s="1" t="s">
        <v>172</v>
      </c>
      <c r="J2026" s="1" t="s">
        <v>51</v>
      </c>
      <c r="K2026" s="1" t="s">
        <v>484</v>
      </c>
      <c r="L2026" s="1" t="s">
        <v>29</v>
      </c>
      <c r="M2026" s="1" t="s">
        <v>53</v>
      </c>
      <c r="N2026" s="1" t="s">
        <v>485</v>
      </c>
      <c r="O2026">
        <v>68.432000000000002</v>
      </c>
      <c r="P2026">
        <v>7</v>
      </c>
      <c r="Q2026">
        <v>8.5540000000000003</v>
      </c>
      <c r="R2026" s="1" t="s">
        <v>4422</v>
      </c>
      <c r="S2026">
        <v>2016</v>
      </c>
      <c r="T2026" s="1" t="s">
        <v>72</v>
      </c>
    </row>
    <row r="2027" spans="1:20" x14ac:dyDescent="0.25">
      <c r="A2027" s="1" t="s">
        <v>4296</v>
      </c>
      <c r="B2027" s="2">
        <v>42336</v>
      </c>
      <c r="C2027" s="2">
        <v>42340</v>
      </c>
      <c r="D2027" s="1" t="s">
        <v>37</v>
      </c>
      <c r="E2027" s="1" t="s">
        <v>2954</v>
      </c>
      <c r="F2027" s="1" t="s">
        <v>2955</v>
      </c>
      <c r="G2027" s="1" t="s">
        <v>24</v>
      </c>
      <c r="H2027" s="1" t="s">
        <v>339</v>
      </c>
      <c r="I2027" s="1" t="s">
        <v>223</v>
      </c>
      <c r="J2027" s="1" t="s">
        <v>63</v>
      </c>
      <c r="K2027" s="1" t="s">
        <v>159</v>
      </c>
      <c r="L2027" s="1" t="s">
        <v>29</v>
      </c>
      <c r="M2027" s="1" t="s">
        <v>53</v>
      </c>
      <c r="N2027" s="1" t="s">
        <v>160</v>
      </c>
      <c r="O2027">
        <v>71.12</v>
      </c>
      <c r="P2027">
        <v>5</v>
      </c>
      <c r="Q2027">
        <v>9.7789999999999999</v>
      </c>
      <c r="R2027" s="1" t="s">
        <v>4424</v>
      </c>
      <c r="S2027">
        <v>2015</v>
      </c>
      <c r="T2027" s="1" t="s">
        <v>32</v>
      </c>
    </row>
    <row r="2028" spans="1:20" x14ac:dyDescent="0.25">
      <c r="A2028" s="1" t="s">
        <v>4297</v>
      </c>
      <c r="B2028" s="2">
        <v>41929</v>
      </c>
      <c r="C2028" s="2">
        <v>41931</v>
      </c>
      <c r="D2028" s="1" t="s">
        <v>21</v>
      </c>
      <c r="E2028" s="1" t="s">
        <v>4298</v>
      </c>
      <c r="F2028" s="1" t="s">
        <v>4299</v>
      </c>
      <c r="G2028" s="1" t="s">
        <v>24</v>
      </c>
      <c r="H2028" s="1" t="s">
        <v>95</v>
      </c>
      <c r="I2028" s="1" t="s">
        <v>86</v>
      </c>
      <c r="J2028" s="1" t="s">
        <v>87</v>
      </c>
      <c r="K2028" s="1" t="s">
        <v>2317</v>
      </c>
      <c r="L2028" s="1" t="s">
        <v>29</v>
      </c>
      <c r="M2028" s="1" t="s">
        <v>53</v>
      </c>
      <c r="N2028" s="1" t="s">
        <v>2318</v>
      </c>
      <c r="O2028">
        <v>5.3120000000000003</v>
      </c>
      <c r="P2028">
        <v>2</v>
      </c>
      <c r="Q2028">
        <v>-1.5935999999999999</v>
      </c>
      <c r="R2028" s="1" t="s">
        <v>4423</v>
      </c>
      <c r="S2028">
        <v>2014</v>
      </c>
      <c r="T2028" s="1" t="s">
        <v>45</v>
      </c>
    </row>
    <row r="2029" spans="1:20" x14ac:dyDescent="0.25">
      <c r="A2029" s="1" t="s">
        <v>4300</v>
      </c>
      <c r="B2029" s="2">
        <v>42493</v>
      </c>
      <c r="C2029" s="2">
        <v>42495</v>
      </c>
      <c r="D2029" s="1" t="s">
        <v>81</v>
      </c>
      <c r="E2029" s="1" t="s">
        <v>4301</v>
      </c>
      <c r="F2029" s="1" t="s">
        <v>4302</v>
      </c>
      <c r="G2029" s="1" t="s">
        <v>24</v>
      </c>
      <c r="H2029" s="1" t="s">
        <v>222</v>
      </c>
      <c r="I2029" s="1" t="s">
        <v>223</v>
      </c>
      <c r="J2029" s="1" t="s">
        <v>63</v>
      </c>
      <c r="K2029" s="1" t="s">
        <v>2046</v>
      </c>
      <c r="L2029" s="1" t="s">
        <v>29</v>
      </c>
      <c r="M2029" s="1" t="s">
        <v>53</v>
      </c>
      <c r="N2029" s="1" t="s">
        <v>2047</v>
      </c>
      <c r="O2029">
        <v>51.968000000000004</v>
      </c>
      <c r="P2029">
        <v>2</v>
      </c>
      <c r="Q2029">
        <v>10.393599999999999</v>
      </c>
      <c r="R2029" s="1" t="s">
        <v>4423</v>
      </c>
      <c r="S2029">
        <v>2016</v>
      </c>
      <c r="T2029" s="1" t="s">
        <v>153</v>
      </c>
    </row>
    <row r="2030" spans="1:20" x14ac:dyDescent="0.25">
      <c r="A2030" s="1" t="s">
        <v>4303</v>
      </c>
      <c r="B2030" s="2">
        <v>41729</v>
      </c>
      <c r="C2030" s="2">
        <v>41729</v>
      </c>
      <c r="D2030" s="1" t="s">
        <v>417</v>
      </c>
      <c r="E2030" s="1" t="s">
        <v>3227</v>
      </c>
      <c r="F2030" s="1" t="s">
        <v>3228</v>
      </c>
      <c r="G2030" s="1" t="s">
        <v>24</v>
      </c>
      <c r="H2030" s="1" t="s">
        <v>295</v>
      </c>
      <c r="I2030" s="1" t="s">
        <v>41</v>
      </c>
      <c r="J2030" s="1" t="s">
        <v>27</v>
      </c>
      <c r="K2030" s="1" t="s">
        <v>321</v>
      </c>
      <c r="L2030" s="1" t="s">
        <v>29</v>
      </c>
      <c r="M2030" s="1" t="s">
        <v>34</v>
      </c>
      <c r="N2030" s="1" t="s">
        <v>322</v>
      </c>
      <c r="O2030">
        <v>1125.4880000000001</v>
      </c>
      <c r="P2030">
        <v>7</v>
      </c>
      <c r="Q2030">
        <v>98.480199999999996</v>
      </c>
      <c r="R2030" s="1" t="s">
        <v>4427</v>
      </c>
      <c r="S2030">
        <v>2014</v>
      </c>
      <c r="T2030" s="1" t="s">
        <v>187</v>
      </c>
    </row>
    <row r="2031" spans="1:20" x14ac:dyDescent="0.25">
      <c r="A2031" s="1" t="s">
        <v>4304</v>
      </c>
      <c r="B2031" s="2">
        <v>42229</v>
      </c>
      <c r="C2031" s="2">
        <v>42229</v>
      </c>
      <c r="D2031" s="1" t="s">
        <v>417</v>
      </c>
      <c r="E2031" s="1" t="s">
        <v>59</v>
      </c>
      <c r="F2031" s="1" t="s">
        <v>60</v>
      </c>
      <c r="G2031" s="1" t="s">
        <v>24</v>
      </c>
      <c r="H2031" s="1" t="s">
        <v>1661</v>
      </c>
      <c r="I2031" s="1" t="s">
        <v>50</v>
      </c>
      <c r="J2031" s="1" t="s">
        <v>51</v>
      </c>
      <c r="K2031" s="1" t="s">
        <v>1568</v>
      </c>
      <c r="L2031" s="1" t="s">
        <v>29</v>
      </c>
      <c r="M2031" s="1" t="s">
        <v>53</v>
      </c>
      <c r="N2031" s="1" t="s">
        <v>1569</v>
      </c>
      <c r="O2031">
        <v>31.56</v>
      </c>
      <c r="P2031">
        <v>3</v>
      </c>
      <c r="Q2031">
        <v>10.4148</v>
      </c>
      <c r="R2031" s="1" t="s">
        <v>4427</v>
      </c>
      <c r="S2031">
        <v>2015</v>
      </c>
      <c r="T2031" s="1" t="s">
        <v>245</v>
      </c>
    </row>
    <row r="2032" spans="1:20" x14ac:dyDescent="0.25">
      <c r="A2032" s="1" t="s">
        <v>4305</v>
      </c>
      <c r="B2032" s="2">
        <v>42150</v>
      </c>
      <c r="C2032" s="2">
        <v>42152</v>
      </c>
      <c r="D2032" s="1" t="s">
        <v>21</v>
      </c>
      <c r="E2032" s="1" t="s">
        <v>3571</v>
      </c>
      <c r="F2032" s="1" t="s">
        <v>3572</v>
      </c>
      <c r="G2032" s="1" t="s">
        <v>24</v>
      </c>
      <c r="H2032" s="1" t="s">
        <v>237</v>
      </c>
      <c r="I2032" s="1" t="s">
        <v>86</v>
      </c>
      <c r="J2032" s="1" t="s">
        <v>87</v>
      </c>
      <c r="K2032" s="1" t="s">
        <v>151</v>
      </c>
      <c r="L2032" s="1" t="s">
        <v>29</v>
      </c>
      <c r="M2032" s="1" t="s">
        <v>34</v>
      </c>
      <c r="N2032" s="1" t="s">
        <v>152</v>
      </c>
      <c r="O2032">
        <v>105.68600000000001</v>
      </c>
      <c r="P2032">
        <v>1</v>
      </c>
      <c r="Q2032">
        <v>-28.686199999999999</v>
      </c>
      <c r="R2032" s="1" t="s">
        <v>4423</v>
      </c>
      <c r="S2032">
        <v>2015</v>
      </c>
      <c r="T2032" s="1" t="s">
        <v>153</v>
      </c>
    </row>
    <row r="2033" spans="1:20" x14ac:dyDescent="0.25">
      <c r="A2033" s="1" t="s">
        <v>4305</v>
      </c>
      <c r="B2033" s="2">
        <v>42150</v>
      </c>
      <c r="C2033" s="2">
        <v>42152</v>
      </c>
      <c r="D2033" s="1" t="s">
        <v>21</v>
      </c>
      <c r="E2033" s="1" t="s">
        <v>3571</v>
      </c>
      <c r="F2033" s="1" t="s">
        <v>3572</v>
      </c>
      <c r="G2033" s="1" t="s">
        <v>24</v>
      </c>
      <c r="H2033" s="1" t="s">
        <v>237</v>
      </c>
      <c r="I2033" s="1" t="s">
        <v>86</v>
      </c>
      <c r="J2033" s="1" t="s">
        <v>87</v>
      </c>
      <c r="K2033" s="1" t="s">
        <v>1504</v>
      </c>
      <c r="L2033" s="1" t="s">
        <v>29</v>
      </c>
      <c r="M2033" s="1" t="s">
        <v>34</v>
      </c>
      <c r="N2033" s="1" t="s">
        <v>1505</v>
      </c>
      <c r="O2033">
        <v>104.93</v>
      </c>
      <c r="P2033">
        <v>5</v>
      </c>
      <c r="Q2033">
        <v>-4.4969999999999999</v>
      </c>
      <c r="R2033" s="1" t="s">
        <v>4423</v>
      </c>
      <c r="S2033">
        <v>2015</v>
      </c>
      <c r="T2033" s="1" t="s">
        <v>153</v>
      </c>
    </row>
    <row r="2034" spans="1:20" x14ac:dyDescent="0.25">
      <c r="A2034" s="1" t="s">
        <v>4306</v>
      </c>
      <c r="B2034" s="2">
        <v>42992</v>
      </c>
      <c r="C2034" s="2">
        <v>42994</v>
      </c>
      <c r="D2034" s="1" t="s">
        <v>81</v>
      </c>
      <c r="E2034" s="1" t="s">
        <v>3234</v>
      </c>
      <c r="F2034" s="1" t="s">
        <v>3235</v>
      </c>
      <c r="G2034" s="1" t="s">
        <v>94</v>
      </c>
      <c r="H2034" s="1" t="s">
        <v>165</v>
      </c>
      <c r="I2034" s="1" t="s">
        <v>114</v>
      </c>
      <c r="J2034" s="1" t="s">
        <v>63</v>
      </c>
      <c r="K2034" s="1" t="s">
        <v>2569</v>
      </c>
      <c r="L2034" s="1" t="s">
        <v>29</v>
      </c>
      <c r="M2034" s="1" t="s">
        <v>34</v>
      </c>
      <c r="N2034" s="1" t="s">
        <v>2570</v>
      </c>
      <c r="O2034">
        <v>589.41</v>
      </c>
      <c r="P2034">
        <v>5</v>
      </c>
      <c r="Q2034">
        <v>-6.5490000000000004</v>
      </c>
      <c r="R2034" s="1" t="s">
        <v>4423</v>
      </c>
      <c r="S2034">
        <v>2017</v>
      </c>
      <c r="T2034" s="1" t="s">
        <v>72</v>
      </c>
    </row>
    <row r="2035" spans="1:20" x14ac:dyDescent="0.25">
      <c r="A2035" s="1" t="s">
        <v>4307</v>
      </c>
      <c r="B2035" s="2">
        <v>42911</v>
      </c>
      <c r="C2035" s="2">
        <v>42913</v>
      </c>
      <c r="D2035" s="1" t="s">
        <v>21</v>
      </c>
      <c r="E2035" s="1" t="s">
        <v>4117</v>
      </c>
      <c r="F2035" s="1" t="s">
        <v>4118</v>
      </c>
      <c r="G2035" s="1" t="s">
        <v>24</v>
      </c>
      <c r="H2035" s="1" t="s">
        <v>165</v>
      </c>
      <c r="I2035" s="1" t="s">
        <v>114</v>
      </c>
      <c r="J2035" s="1" t="s">
        <v>63</v>
      </c>
      <c r="K2035" s="1" t="s">
        <v>1686</v>
      </c>
      <c r="L2035" s="1" t="s">
        <v>29</v>
      </c>
      <c r="M2035" s="1" t="s">
        <v>30</v>
      </c>
      <c r="N2035" s="1" t="s">
        <v>1687</v>
      </c>
      <c r="O2035">
        <v>400.78399999999999</v>
      </c>
      <c r="P2035">
        <v>1</v>
      </c>
      <c r="Q2035">
        <v>-5.0098000000000003</v>
      </c>
      <c r="R2035" s="1" t="s">
        <v>4423</v>
      </c>
      <c r="S2035">
        <v>2017</v>
      </c>
      <c r="T2035" s="1" t="s">
        <v>55</v>
      </c>
    </row>
    <row r="2036" spans="1:20" x14ac:dyDescent="0.25">
      <c r="A2036" s="1" t="s">
        <v>4308</v>
      </c>
      <c r="B2036" s="2">
        <v>42579</v>
      </c>
      <c r="C2036" s="2">
        <v>42583</v>
      </c>
      <c r="D2036" s="1" t="s">
        <v>37</v>
      </c>
      <c r="E2036" s="1" t="s">
        <v>4309</v>
      </c>
      <c r="F2036" s="1" t="s">
        <v>4310</v>
      </c>
      <c r="G2036" s="1" t="s">
        <v>94</v>
      </c>
      <c r="H2036" s="1" t="s">
        <v>1176</v>
      </c>
      <c r="I2036" s="1" t="s">
        <v>86</v>
      </c>
      <c r="J2036" s="1" t="s">
        <v>87</v>
      </c>
      <c r="K2036" s="1" t="s">
        <v>1119</v>
      </c>
      <c r="L2036" s="1" t="s">
        <v>29</v>
      </c>
      <c r="M2036" s="1" t="s">
        <v>53</v>
      </c>
      <c r="N2036" s="1" t="s">
        <v>1120</v>
      </c>
      <c r="O2036">
        <v>24.7</v>
      </c>
      <c r="P2036">
        <v>5</v>
      </c>
      <c r="Q2036">
        <v>-9.8800000000000008</v>
      </c>
      <c r="R2036" s="1" t="s">
        <v>4424</v>
      </c>
      <c r="S2036">
        <v>2016</v>
      </c>
      <c r="T2036" s="1" t="s">
        <v>66</v>
      </c>
    </row>
    <row r="2037" spans="1:20" x14ac:dyDescent="0.25">
      <c r="A2037" s="1" t="s">
        <v>4308</v>
      </c>
      <c r="B2037" s="2">
        <v>42579</v>
      </c>
      <c r="C2037" s="2">
        <v>42583</v>
      </c>
      <c r="D2037" s="1" t="s">
        <v>37</v>
      </c>
      <c r="E2037" s="1" t="s">
        <v>4309</v>
      </c>
      <c r="F2037" s="1" t="s">
        <v>4310</v>
      </c>
      <c r="G2037" s="1" t="s">
        <v>94</v>
      </c>
      <c r="H2037" s="1" t="s">
        <v>1176</v>
      </c>
      <c r="I2037" s="1" t="s">
        <v>86</v>
      </c>
      <c r="J2037" s="1" t="s">
        <v>87</v>
      </c>
      <c r="K2037" s="1" t="s">
        <v>3667</v>
      </c>
      <c r="L2037" s="1" t="s">
        <v>29</v>
      </c>
      <c r="M2037" s="1" t="s">
        <v>53</v>
      </c>
      <c r="N2037" s="1" t="s">
        <v>3668</v>
      </c>
      <c r="O2037">
        <v>302.72000000000003</v>
      </c>
      <c r="P2037">
        <v>5</v>
      </c>
      <c r="Q2037">
        <v>-378.4</v>
      </c>
      <c r="R2037" s="1" t="s">
        <v>4424</v>
      </c>
      <c r="S2037">
        <v>2016</v>
      </c>
      <c r="T2037" s="1" t="s">
        <v>66</v>
      </c>
    </row>
    <row r="2038" spans="1:20" x14ac:dyDescent="0.25">
      <c r="A2038" s="1" t="s">
        <v>4311</v>
      </c>
      <c r="B2038" s="2">
        <v>42266</v>
      </c>
      <c r="C2038" s="2">
        <v>42270</v>
      </c>
      <c r="D2038" s="1" t="s">
        <v>37</v>
      </c>
      <c r="E2038" s="1" t="s">
        <v>4312</v>
      </c>
      <c r="F2038" s="1" t="s">
        <v>4313</v>
      </c>
      <c r="G2038" s="1" t="s">
        <v>94</v>
      </c>
      <c r="H2038" s="1" t="s">
        <v>1840</v>
      </c>
      <c r="I2038" s="1" t="s">
        <v>50</v>
      </c>
      <c r="J2038" s="1" t="s">
        <v>51</v>
      </c>
      <c r="K2038" s="1" t="s">
        <v>2309</v>
      </c>
      <c r="L2038" s="1" t="s">
        <v>29</v>
      </c>
      <c r="M2038" s="1" t="s">
        <v>53</v>
      </c>
      <c r="N2038" s="1" t="s">
        <v>2310</v>
      </c>
      <c r="O2038">
        <v>60.84</v>
      </c>
      <c r="P2038">
        <v>3</v>
      </c>
      <c r="Q2038">
        <v>19.468800000000002</v>
      </c>
      <c r="R2038" s="1" t="s">
        <v>4424</v>
      </c>
      <c r="S2038">
        <v>2015</v>
      </c>
      <c r="T2038" s="1" t="s">
        <v>72</v>
      </c>
    </row>
    <row r="2039" spans="1:20" x14ac:dyDescent="0.25">
      <c r="A2039" s="1" t="s">
        <v>4314</v>
      </c>
      <c r="B2039" s="2">
        <v>42538</v>
      </c>
      <c r="C2039" s="2">
        <v>42544</v>
      </c>
      <c r="D2039" s="1" t="s">
        <v>37</v>
      </c>
      <c r="E2039" s="1" t="s">
        <v>2115</v>
      </c>
      <c r="F2039" s="1" t="s">
        <v>2116</v>
      </c>
      <c r="G2039" s="1" t="s">
        <v>84</v>
      </c>
      <c r="H2039" s="1" t="s">
        <v>885</v>
      </c>
      <c r="I2039" s="1" t="s">
        <v>114</v>
      </c>
      <c r="J2039" s="1" t="s">
        <v>63</v>
      </c>
      <c r="K2039" s="1" t="s">
        <v>1319</v>
      </c>
      <c r="L2039" s="1" t="s">
        <v>29</v>
      </c>
      <c r="M2039" s="1" t="s">
        <v>43</v>
      </c>
      <c r="N2039" s="1" t="s">
        <v>1320</v>
      </c>
      <c r="O2039">
        <v>376.86599999999999</v>
      </c>
      <c r="P2039">
        <v>3</v>
      </c>
      <c r="Q2039">
        <v>-213.5574</v>
      </c>
      <c r="R2039" s="1" t="s">
        <v>4426</v>
      </c>
      <c r="S2039">
        <v>2016</v>
      </c>
      <c r="T2039" s="1" t="s">
        <v>55</v>
      </c>
    </row>
    <row r="2040" spans="1:20" x14ac:dyDescent="0.25">
      <c r="A2040" s="1" t="s">
        <v>4315</v>
      </c>
      <c r="B2040" s="2">
        <v>42506</v>
      </c>
      <c r="C2040" s="2">
        <v>42509</v>
      </c>
      <c r="D2040" s="1" t="s">
        <v>21</v>
      </c>
      <c r="E2040" s="1" t="s">
        <v>498</v>
      </c>
      <c r="F2040" s="1" t="s">
        <v>499</v>
      </c>
      <c r="G2040" s="1" t="s">
        <v>24</v>
      </c>
      <c r="H2040" s="1" t="s">
        <v>49</v>
      </c>
      <c r="I2040" s="1" t="s">
        <v>50</v>
      </c>
      <c r="J2040" s="1" t="s">
        <v>51</v>
      </c>
      <c r="K2040" s="1" t="s">
        <v>2160</v>
      </c>
      <c r="L2040" s="1" t="s">
        <v>29</v>
      </c>
      <c r="M2040" s="1" t="s">
        <v>53</v>
      </c>
      <c r="N2040" s="1" t="s">
        <v>2161</v>
      </c>
      <c r="O2040">
        <v>282.83999999999997</v>
      </c>
      <c r="P2040">
        <v>4</v>
      </c>
      <c r="Q2040">
        <v>19.7988</v>
      </c>
      <c r="R2040" s="1" t="s">
        <v>4420</v>
      </c>
      <c r="S2040">
        <v>2016</v>
      </c>
      <c r="T2040" s="1" t="s">
        <v>153</v>
      </c>
    </row>
    <row r="2041" spans="1:20" x14ac:dyDescent="0.25">
      <c r="A2041" s="1" t="s">
        <v>4316</v>
      </c>
      <c r="B2041" s="2">
        <v>42915</v>
      </c>
      <c r="C2041" s="2">
        <v>42916</v>
      </c>
      <c r="D2041" s="1" t="s">
        <v>81</v>
      </c>
      <c r="E2041" s="1" t="s">
        <v>3424</v>
      </c>
      <c r="F2041" s="1" t="s">
        <v>3425</v>
      </c>
      <c r="G2041" s="1" t="s">
        <v>24</v>
      </c>
      <c r="H2041" s="1" t="s">
        <v>1730</v>
      </c>
      <c r="I2041" s="1" t="s">
        <v>86</v>
      </c>
      <c r="J2041" s="1" t="s">
        <v>87</v>
      </c>
      <c r="K2041" s="1" t="s">
        <v>1618</v>
      </c>
      <c r="L2041" s="1" t="s">
        <v>29</v>
      </c>
      <c r="M2041" s="1" t="s">
        <v>43</v>
      </c>
      <c r="N2041" s="1" t="s">
        <v>1619</v>
      </c>
      <c r="O2041">
        <v>307.31400000000002</v>
      </c>
      <c r="P2041">
        <v>3</v>
      </c>
      <c r="Q2041">
        <v>-39.511800000000001</v>
      </c>
      <c r="R2041" s="1" t="s">
        <v>4425</v>
      </c>
      <c r="S2041">
        <v>2017</v>
      </c>
      <c r="T2041" s="1" t="s">
        <v>55</v>
      </c>
    </row>
    <row r="2042" spans="1:20" x14ac:dyDescent="0.25">
      <c r="A2042" s="1" t="s">
        <v>4316</v>
      </c>
      <c r="B2042" s="2">
        <v>42915</v>
      </c>
      <c r="C2042" s="2">
        <v>42916</v>
      </c>
      <c r="D2042" s="1" t="s">
        <v>81</v>
      </c>
      <c r="E2042" s="1" t="s">
        <v>3424</v>
      </c>
      <c r="F2042" s="1" t="s">
        <v>3425</v>
      </c>
      <c r="G2042" s="1" t="s">
        <v>24</v>
      </c>
      <c r="H2042" s="1" t="s">
        <v>1730</v>
      </c>
      <c r="I2042" s="1" t="s">
        <v>86</v>
      </c>
      <c r="J2042" s="1" t="s">
        <v>87</v>
      </c>
      <c r="K2042" s="1" t="s">
        <v>1860</v>
      </c>
      <c r="L2042" s="1" t="s">
        <v>29</v>
      </c>
      <c r="M2042" s="1" t="s">
        <v>30</v>
      </c>
      <c r="N2042" s="1" t="s">
        <v>1861</v>
      </c>
      <c r="O2042">
        <v>409.99919999999997</v>
      </c>
      <c r="P2042">
        <v>3</v>
      </c>
      <c r="Q2042">
        <v>-96.470399999999998</v>
      </c>
      <c r="R2042" s="1" t="s">
        <v>4425</v>
      </c>
      <c r="S2042">
        <v>2017</v>
      </c>
      <c r="T2042" s="1" t="s">
        <v>55</v>
      </c>
    </row>
    <row r="2043" spans="1:20" x14ac:dyDescent="0.25">
      <c r="A2043" s="1" t="s">
        <v>4317</v>
      </c>
      <c r="B2043" s="2">
        <v>41926</v>
      </c>
      <c r="C2043" s="2">
        <v>41929</v>
      </c>
      <c r="D2043" s="1" t="s">
        <v>81</v>
      </c>
      <c r="E2043" s="1" t="s">
        <v>3760</v>
      </c>
      <c r="F2043" s="1" t="s">
        <v>3761</v>
      </c>
      <c r="G2043" s="1" t="s">
        <v>24</v>
      </c>
      <c r="H2043" s="1" t="s">
        <v>1348</v>
      </c>
      <c r="I2043" s="1" t="s">
        <v>425</v>
      </c>
      <c r="J2043" s="1" t="s">
        <v>63</v>
      </c>
      <c r="K2043" s="1" t="s">
        <v>2901</v>
      </c>
      <c r="L2043" s="1" t="s">
        <v>29</v>
      </c>
      <c r="M2043" s="1" t="s">
        <v>34</v>
      </c>
      <c r="N2043" s="1" t="s">
        <v>2902</v>
      </c>
      <c r="O2043">
        <v>1628.82</v>
      </c>
      <c r="P2043">
        <v>9</v>
      </c>
      <c r="Q2043">
        <v>260.6112</v>
      </c>
      <c r="R2043" s="1" t="s">
        <v>4420</v>
      </c>
      <c r="S2043">
        <v>2014</v>
      </c>
      <c r="T2043" s="1" t="s">
        <v>45</v>
      </c>
    </row>
    <row r="2044" spans="1:20" x14ac:dyDescent="0.25">
      <c r="A2044" s="1" t="s">
        <v>4318</v>
      </c>
      <c r="B2044" s="2">
        <v>41961</v>
      </c>
      <c r="C2044" s="2">
        <v>41968</v>
      </c>
      <c r="D2044" s="1" t="s">
        <v>37</v>
      </c>
      <c r="E2044" s="1" t="s">
        <v>761</v>
      </c>
      <c r="F2044" s="1" t="s">
        <v>762</v>
      </c>
      <c r="G2044" s="1" t="s">
        <v>84</v>
      </c>
      <c r="H2044" s="1" t="s">
        <v>183</v>
      </c>
      <c r="I2044" s="1" t="s">
        <v>184</v>
      </c>
      <c r="J2044" s="1" t="s">
        <v>51</v>
      </c>
      <c r="K2044" s="1" t="s">
        <v>696</v>
      </c>
      <c r="L2044" s="1" t="s">
        <v>29</v>
      </c>
      <c r="M2044" s="1" t="s">
        <v>53</v>
      </c>
      <c r="N2044" s="1" t="s">
        <v>697</v>
      </c>
      <c r="O2044">
        <v>137.54</v>
      </c>
      <c r="P2044">
        <v>2</v>
      </c>
      <c r="Q2044">
        <v>55.015999999999998</v>
      </c>
      <c r="R2044" s="1" t="s">
        <v>4421</v>
      </c>
      <c r="S2044">
        <v>2014</v>
      </c>
      <c r="T2044" s="1" t="s">
        <v>32</v>
      </c>
    </row>
    <row r="2045" spans="1:20" x14ac:dyDescent="0.25">
      <c r="A2045" s="1" t="s">
        <v>4318</v>
      </c>
      <c r="B2045" s="2">
        <v>41961</v>
      </c>
      <c r="C2045" s="2">
        <v>41968</v>
      </c>
      <c r="D2045" s="1" t="s">
        <v>37</v>
      </c>
      <c r="E2045" s="1" t="s">
        <v>761</v>
      </c>
      <c r="F2045" s="1" t="s">
        <v>762</v>
      </c>
      <c r="G2045" s="1" t="s">
        <v>84</v>
      </c>
      <c r="H2045" s="1" t="s">
        <v>183</v>
      </c>
      <c r="I2045" s="1" t="s">
        <v>184</v>
      </c>
      <c r="J2045" s="1" t="s">
        <v>51</v>
      </c>
      <c r="K2045" s="1" t="s">
        <v>1225</v>
      </c>
      <c r="L2045" s="1" t="s">
        <v>29</v>
      </c>
      <c r="M2045" s="1" t="s">
        <v>43</v>
      </c>
      <c r="N2045" s="1" t="s">
        <v>1226</v>
      </c>
      <c r="O2045">
        <v>730.2</v>
      </c>
      <c r="P2045">
        <v>4</v>
      </c>
      <c r="Q2045">
        <v>94.926000000000002</v>
      </c>
      <c r="R2045" s="1" t="s">
        <v>4421</v>
      </c>
      <c r="S2045">
        <v>2014</v>
      </c>
      <c r="T2045" s="1" t="s">
        <v>32</v>
      </c>
    </row>
    <row r="2046" spans="1:20" x14ac:dyDescent="0.25">
      <c r="A2046" s="1" t="s">
        <v>4319</v>
      </c>
      <c r="B2046" s="2">
        <v>42032</v>
      </c>
      <c r="C2046" s="2">
        <v>42035</v>
      </c>
      <c r="D2046" s="1" t="s">
        <v>21</v>
      </c>
      <c r="E2046" s="1" t="s">
        <v>4320</v>
      </c>
      <c r="F2046" s="1" t="s">
        <v>4321</v>
      </c>
      <c r="G2046" s="1" t="s">
        <v>24</v>
      </c>
      <c r="H2046" s="1" t="s">
        <v>500</v>
      </c>
      <c r="I2046" s="1" t="s">
        <v>1027</v>
      </c>
      <c r="J2046" s="1" t="s">
        <v>27</v>
      </c>
      <c r="K2046" s="1" t="s">
        <v>742</v>
      </c>
      <c r="L2046" s="1" t="s">
        <v>29</v>
      </c>
      <c r="M2046" s="1" t="s">
        <v>43</v>
      </c>
      <c r="N2046" s="1" t="s">
        <v>743</v>
      </c>
      <c r="O2046">
        <v>4297.6440000000002</v>
      </c>
      <c r="P2046">
        <v>13</v>
      </c>
      <c r="Q2046">
        <v>-1862.3124</v>
      </c>
      <c r="R2046" s="1" t="s">
        <v>4420</v>
      </c>
      <c r="S2046">
        <v>2015</v>
      </c>
      <c r="T2046" s="1" t="s">
        <v>161</v>
      </c>
    </row>
    <row r="2047" spans="1:20" x14ac:dyDescent="0.25">
      <c r="A2047" s="1" t="s">
        <v>4322</v>
      </c>
      <c r="B2047" s="2">
        <v>41705</v>
      </c>
      <c r="C2047" s="2">
        <v>41710</v>
      </c>
      <c r="D2047" s="1" t="s">
        <v>37</v>
      </c>
      <c r="E2047" s="1" t="s">
        <v>3913</v>
      </c>
      <c r="F2047" s="1" t="s">
        <v>3914</v>
      </c>
      <c r="G2047" s="1" t="s">
        <v>84</v>
      </c>
      <c r="H2047" s="1" t="s">
        <v>183</v>
      </c>
      <c r="I2047" s="1" t="s">
        <v>184</v>
      </c>
      <c r="J2047" s="1" t="s">
        <v>51</v>
      </c>
      <c r="K2047" s="1" t="s">
        <v>4233</v>
      </c>
      <c r="L2047" s="1" t="s">
        <v>29</v>
      </c>
      <c r="M2047" s="1" t="s">
        <v>34</v>
      </c>
      <c r="N2047" s="1" t="s">
        <v>4234</v>
      </c>
      <c r="O2047">
        <v>436.70400000000001</v>
      </c>
      <c r="P2047">
        <v>6</v>
      </c>
      <c r="Q2047">
        <v>21.8352</v>
      </c>
      <c r="R2047" s="1" t="s">
        <v>4422</v>
      </c>
      <c r="S2047">
        <v>2014</v>
      </c>
      <c r="T2047" s="1" t="s">
        <v>187</v>
      </c>
    </row>
    <row r="2048" spans="1:20" x14ac:dyDescent="0.25">
      <c r="A2048" s="1" t="s">
        <v>4322</v>
      </c>
      <c r="B2048" s="2">
        <v>41705</v>
      </c>
      <c r="C2048" s="2">
        <v>41710</v>
      </c>
      <c r="D2048" s="1" t="s">
        <v>37</v>
      </c>
      <c r="E2048" s="1" t="s">
        <v>3913</v>
      </c>
      <c r="F2048" s="1" t="s">
        <v>3914</v>
      </c>
      <c r="G2048" s="1" t="s">
        <v>84</v>
      </c>
      <c r="H2048" s="1" t="s">
        <v>183</v>
      </c>
      <c r="I2048" s="1" t="s">
        <v>184</v>
      </c>
      <c r="J2048" s="1" t="s">
        <v>51</v>
      </c>
      <c r="K2048" s="1" t="s">
        <v>2325</v>
      </c>
      <c r="L2048" s="1" t="s">
        <v>29</v>
      </c>
      <c r="M2048" s="1" t="s">
        <v>34</v>
      </c>
      <c r="N2048" s="1" t="s">
        <v>2326</v>
      </c>
      <c r="O2048">
        <v>481.56799999999998</v>
      </c>
      <c r="P2048">
        <v>2</v>
      </c>
      <c r="Q2048">
        <v>54.176400000000001</v>
      </c>
      <c r="R2048" s="1" t="s">
        <v>4422</v>
      </c>
      <c r="S2048">
        <v>2014</v>
      </c>
      <c r="T2048" s="1" t="s">
        <v>187</v>
      </c>
    </row>
    <row r="2049" spans="1:20" x14ac:dyDescent="0.25">
      <c r="A2049" s="1" t="s">
        <v>4323</v>
      </c>
      <c r="B2049" s="2">
        <v>42700</v>
      </c>
      <c r="C2049" s="2">
        <v>42704</v>
      </c>
      <c r="D2049" s="1" t="s">
        <v>37</v>
      </c>
      <c r="E2049" s="1" t="s">
        <v>1672</v>
      </c>
      <c r="F2049" s="1" t="s">
        <v>1673</v>
      </c>
      <c r="G2049" s="1" t="s">
        <v>24</v>
      </c>
      <c r="H2049" s="1" t="s">
        <v>49</v>
      </c>
      <c r="I2049" s="1" t="s">
        <v>50</v>
      </c>
      <c r="J2049" s="1" t="s">
        <v>51</v>
      </c>
      <c r="K2049" s="1" t="s">
        <v>1686</v>
      </c>
      <c r="L2049" s="1" t="s">
        <v>29</v>
      </c>
      <c r="M2049" s="1" t="s">
        <v>30</v>
      </c>
      <c r="N2049" s="1" t="s">
        <v>1687</v>
      </c>
      <c r="O2049">
        <v>3406.6640000000002</v>
      </c>
      <c r="P2049">
        <v>8</v>
      </c>
      <c r="Q2049">
        <v>160.31360000000001</v>
      </c>
      <c r="R2049" s="1" t="s">
        <v>4424</v>
      </c>
      <c r="S2049">
        <v>2016</v>
      </c>
      <c r="T2049" s="1" t="s">
        <v>32</v>
      </c>
    </row>
    <row r="2050" spans="1:20" x14ac:dyDescent="0.25">
      <c r="A2050" s="1" t="s">
        <v>4323</v>
      </c>
      <c r="B2050" s="2">
        <v>42700</v>
      </c>
      <c r="C2050" s="2">
        <v>42704</v>
      </c>
      <c r="D2050" s="1" t="s">
        <v>37</v>
      </c>
      <c r="E2050" s="1" t="s">
        <v>1672</v>
      </c>
      <c r="F2050" s="1" t="s">
        <v>1673</v>
      </c>
      <c r="G2050" s="1" t="s">
        <v>24</v>
      </c>
      <c r="H2050" s="1" t="s">
        <v>49</v>
      </c>
      <c r="I2050" s="1" t="s">
        <v>50</v>
      </c>
      <c r="J2050" s="1" t="s">
        <v>51</v>
      </c>
      <c r="K2050" s="1" t="s">
        <v>1391</v>
      </c>
      <c r="L2050" s="1" t="s">
        <v>29</v>
      </c>
      <c r="M2050" s="1" t="s">
        <v>53</v>
      </c>
      <c r="N2050" s="1" t="s">
        <v>1392</v>
      </c>
      <c r="O2050">
        <v>595.38</v>
      </c>
      <c r="P2050">
        <v>6</v>
      </c>
      <c r="Q2050">
        <v>297.69</v>
      </c>
      <c r="R2050" s="1" t="s">
        <v>4424</v>
      </c>
      <c r="S2050">
        <v>2016</v>
      </c>
      <c r="T2050" s="1" t="s">
        <v>32</v>
      </c>
    </row>
    <row r="2051" spans="1:20" x14ac:dyDescent="0.25">
      <c r="A2051" s="1" t="s">
        <v>4324</v>
      </c>
      <c r="B2051" s="2">
        <v>41904</v>
      </c>
      <c r="C2051" s="2">
        <v>41911</v>
      </c>
      <c r="D2051" s="1" t="s">
        <v>37</v>
      </c>
      <c r="E2051" s="1" t="s">
        <v>1616</v>
      </c>
      <c r="F2051" s="1" t="s">
        <v>1617</v>
      </c>
      <c r="G2051" s="1" t="s">
        <v>24</v>
      </c>
      <c r="H2051" s="1" t="s">
        <v>165</v>
      </c>
      <c r="I2051" s="1" t="s">
        <v>114</v>
      </c>
      <c r="J2051" s="1" t="s">
        <v>63</v>
      </c>
      <c r="K2051" s="1" t="s">
        <v>2046</v>
      </c>
      <c r="L2051" s="1" t="s">
        <v>29</v>
      </c>
      <c r="M2051" s="1" t="s">
        <v>53</v>
      </c>
      <c r="N2051" s="1" t="s">
        <v>2047</v>
      </c>
      <c r="O2051">
        <v>97.44</v>
      </c>
      <c r="P2051">
        <v>3</v>
      </c>
      <c r="Q2051">
        <v>35.078400000000002</v>
      </c>
      <c r="R2051" s="1" t="s">
        <v>4421</v>
      </c>
      <c r="S2051">
        <v>2014</v>
      </c>
      <c r="T2051" s="1" t="s">
        <v>72</v>
      </c>
    </row>
    <row r="2052" spans="1:20" x14ac:dyDescent="0.25">
      <c r="A2052" s="1" t="s">
        <v>4324</v>
      </c>
      <c r="B2052" s="2">
        <v>41904</v>
      </c>
      <c r="C2052" s="2">
        <v>41911</v>
      </c>
      <c r="D2052" s="1" t="s">
        <v>37</v>
      </c>
      <c r="E2052" s="1" t="s">
        <v>1616</v>
      </c>
      <c r="F2052" s="1" t="s">
        <v>1617</v>
      </c>
      <c r="G2052" s="1" t="s">
        <v>24</v>
      </c>
      <c r="H2052" s="1" t="s">
        <v>165</v>
      </c>
      <c r="I2052" s="1" t="s">
        <v>114</v>
      </c>
      <c r="J2052" s="1" t="s">
        <v>63</v>
      </c>
      <c r="K2052" s="1" t="s">
        <v>2540</v>
      </c>
      <c r="L2052" s="1" t="s">
        <v>29</v>
      </c>
      <c r="M2052" s="1" t="s">
        <v>34</v>
      </c>
      <c r="N2052" s="1" t="s">
        <v>2541</v>
      </c>
      <c r="O2052">
        <v>579.52800000000002</v>
      </c>
      <c r="P2052">
        <v>4</v>
      </c>
      <c r="Q2052">
        <v>83.709599999999995</v>
      </c>
      <c r="R2052" s="1" t="s">
        <v>4421</v>
      </c>
      <c r="S2052">
        <v>2014</v>
      </c>
      <c r="T2052" s="1" t="s">
        <v>72</v>
      </c>
    </row>
    <row r="2053" spans="1:20" x14ac:dyDescent="0.25">
      <c r="A2053" s="1" t="s">
        <v>4325</v>
      </c>
      <c r="B2053" s="2">
        <v>43055</v>
      </c>
      <c r="C2053" s="2">
        <v>43059</v>
      </c>
      <c r="D2053" s="1" t="s">
        <v>37</v>
      </c>
      <c r="E2053" s="1" t="s">
        <v>213</v>
      </c>
      <c r="F2053" s="1" t="s">
        <v>214</v>
      </c>
      <c r="G2053" s="1" t="s">
        <v>24</v>
      </c>
      <c r="H2053" s="1" t="s">
        <v>49</v>
      </c>
      <c r="I2053" s="1" t="s">
        <v>50</v>
      </c>
      <c r="J2053" s="1" t="s">
        <v>51</v>
      </c>
      <c r="K2053" s="1" t="s">
        <v>1114</v>
      </c>
      <c r="L2053" s="1" t="s">
        <v>29</v>
      </c>
      <c r="M2053" s="1" t="s">
        <v>53</v>
      </c>
      <c r="N2053" s="1" t="s">
        <v>1115</v>
      </c>
      <c r="O2053">
        <v>119.94</v>
      </c>
      <c r="P2053">
        <v>3</v>
      </c>
      <c r="Q2053">
        <v>23.988</v>
      </c>
      <c r="R2053" s="1" t="s">
        <v>4424</v>
      </c>
      <c r="S2053">
        <v>2017</v>
      </c>
      <c r="T2053" s="1" t="s">
        <v>32</v>
      </c>
    </row>
    <row r="2054" spans="1:20" x14ac:dyDescent="0.25">
      <c r="A2054" s="1" t="s">
        <v>4325</v>
      </c>
      <c r="B2054" s="2">
        <v>43055</v>
      </c>
      <c r="C2054" s="2">
        <v>43059</v>
      </c>
      <c r="D2054" s="1" t="s">
        <v>37</v>
      </c>
      <c r="E2054" s="1" t="s">
        <v>213</v>
      </c>
      <c r="F2054" s="1" t="s">
        <v>214</v>
      </c>
      <c r="G2054" s="1" t="s">
        <v>24</v>
      </c>
      <c r="H2054" s="1" t="s">
        <v>49</v>
      </c>
      <c r="I2054" s="1" t="s">
        <v>50</v>
      </c>
      <c r="J2054" s="1" t="s">
        <v>51</v>
      </c>
      <c r="K2054" s="1" t="s">
        <v>1971</v>
      </c>
      <c r="L2054" s="1" t="s">
        <v>29</v>
      </c>
      <c r="M2054" s="1" t="s">
        <v>53</v>
      </c>
      <c r="N2054" s="1" t="s">
        <v>1972</v>
      </c>
      <c r="O2054">
        <v>12.42</v>
      </c>
      <c r="P2054">
        <v>3</v>
      </c>
      <c r="Q2054">
        <v>4.4711999999999996</v>
      </c>
      <c r="R2054" s="1" t="s">
        <v>4424</v>
      </c>
      <c r="S2054">
        <v>2017</v>
      </c>
      <c r="T2054" s="1" t="s">
        <v>32</v>
      </c>
    </row>
    <row r="2055" spans="1:20" x14ac:dyDescent="0.25">
      <c r="A2055" s="1" t="s">
        <v>4326</v>
      </c>
      <c r="B2055" s="2">
        <v>42496</v>
      </c>
      <c r="C2055" s="2">
        <v>42500</v>
      </c>
      <c r="D2055" s="1" t="s">
        <v>37</v>
      </c>
      <c r="E2055" s="1" t="s">
        <v>3850</v>
      </c>
      <c r="F2055" s="1" t="s">
        <v>3851</v>
      </c>
      <c r="G2055" s="1" t="s">
        <v>24</v>
      </c>
      <c r="H2055" s="1" t="s">
        <v>2076</v>
      </c>
      <c r="I2055" s="1" t="s">
        <v>50</v>
      </c>
      <c r="J2055" s="1" t="s">
        <v>51</v>
      </c>
      <c r="K2055" s="1" t="s">
        <v>1544</v>
      </c>
      <c r="L2055" s="1" t="s">
        <v>29</v>
      </c>
      <c r="M2055" s="1" t="s">
        <v>53</v>
      </c>
      <c r="N2055" s="1" t="s">
        <v>1545</v>
      </c>
      <c r="O2055">
        <v>41.6</v>
      </c>
      <c r="P2055">
        <v>4</v>
      </c>
      <c r="Q2055">
        <v>14.144</v>
      </c>
      <c r="R2055" s="1" t="s">
        <v>4424</v>
      </c>
      <c r="S2055">
        <v>2016</v>
      </c>
      <c r="T2055" s="1" t="s">
        <v>153</v>
      </c>
    </row>
    <row r="2056" spans="1:20" x14ac:dyDescent="0.25">
      <c r="A2056" s="1" t="s">
        <v>4327</v>
      </c>
      <c r="B2056" s="2">
        <v>43082</v>
      </c>
      <c r="C2056" s="2">
        <v>43087</v>
      </c>
      <c r="D2056" s="1" t="s">
        <v>37</v>
      </c>
      <c r="E2056" s="1" t="s">
        <v>2054</v>
      </c>
      <c r="F2056" s="1" t="s">
        <v>2055</v>
      </c>
      <c r="G2056" s="1" t="s">
        <v>24</v>
      </c>
      <c r="H2056" s="1" t="s">
        <v>320</v>
      </c>
      <c r="I2056" s="1" t="s">
        <v>50</v>
      </c>
      <c r="J2056" s="1" t="s">
        <v>51</v>
      </c>
      <c r="K2056" s="1" t="s">
        <v>1281</v>
      </c>
      <c r="L2056" s="1" t="s">
        <v>29</v>
      </c>
      <c r="M2056" s="1" t="s">
        <v>53</v>
      </c>
      <c r="N2056" s="1" t="s">
        <v>1749</v>
      </c>
      <c r="O2056">
        <v>201.04</v>
      </c>
      <c r="P2056">
        <v>8</v>
      </c>
      <c r="Q2056">
        <v>54.280799999999999</v>
      </c>
      <c r="R2056" s="1" t="s">
        <v>4422</v>
      </c>
      <c r="S2056">
        <v>2017</v>
      </c>
      <c r="T2056" s="1" t="s">
        <v>90</v>
      </c>
    </row>
    <row r="2057" spans="1:20" x14ac:dyDescent="0.25">
      <c r="A2057" s="1" t="s">
        <v>4328</v>
      </c>
      <c r="B2057" s="2">
        <v>42321</v>
      </c>
      <c r="C2057" s="2">
        <v>42325</v>
      </c>
      <c r="D2057" s="1" t="s">
        <v>37</v>
      </c>
      <c r="E2057" s="1" t="s">
        <v>395</v>
      </c>
      <c r="F2057" s="1" t="s">
        <v>396</v>
      </c>
      <c r="G2057" s="1" t="s">
        <v>24</v>
      </c>
      <c r="H2057" s="1" t="s">
        <v>95</v>
      </c>
      <c r="I2057" s="1" t="s">
        <v>86</v>
      </c>
      <c r="J2057" s="1" t="s">
        <v>87</v>
      </c>
      <c r="K2057" s="1" t="s">
        <v>990</v>
      </c>
      <c r="L2057" s="1" t="s">
        <v>29</v>
      </c>
      <c r="M2057" s="1" t="s">
        <v>30</v>
      </c>
      <c r="N2057" s="1" t="s">
        <v>991</v>
      </c>
      <c r="O2057">
        <v>613.99919999999997</v>
      </c>
      <c r="P2057">
        <v>3</v>
      </c>
      <c r="Q2057">
        <v>-18.058800000000002</v>
      </c>
      <c r="R2057" s="1" t="s">
        <v>4424</v>
      </c>
      <c r="S2057">
        <v>2015</v>
      </c>
      <c r="T2057" s="1" t="s">
        <v>32</v>
      </c>
    </row>
    <row r="2058" spans="1:20" x14ac:dyDescent="0.25">
      <c r="A2058" s="1" t="s">
        <v>4329</v>
      </c>
      <c r="B2058" s="2">
        <v>42440</v>
      </c>
      <c r="C2058" s="2">
        <v>42440</v>
      </c>
      <c r="D2058" s="1" t="s">
        <v>417</v>
      </c>
      <c r="E2058" s="1" t="s">
        <v>4330</v>
      </c>
      <c r="F2058" s="1" t="s">
        <v>4331</v>
      </c>
      <c r="G2058" s="1" t="s">
        <v>94</v>
      </c>
      <c r="H2058" s="1" t="s">
        <v>61</v>
      </c>
      <c r="I2058" s="1" t="s">
        <v>62</v>
      </c>
      <c r="J2058" s="1" t="s">
        <v>63</v>
      </c>
      <c r="K2058" s="1" t="s">
        <v>1586</v>
      </c>
      <c r="L2058" s="1" t="s">
        <v>29</v>
      </c>
      <c r="M2058" s="1" t="s">
        <v>53</v>
      </c>
      <c r="N2058" s="1" t="s">
        <v>1587</v>
      </c>
      <c r="O2058">
        <v>30.335999999999999</v>
      </c>
      <c r="P2058">
        <v>4</v>
      </c>
      <c r="Q2058">
        <v>9.48</v>
      </c>
      <c r="R2058" s="1" t="s">
        <v>4427</v>
      </c>
      <c r="S2058">
        <v>2016</v>
      </c>
      <c r="T2058" s="1" t="s">
        <v>187</v>
      </c>
    </row>
    <row r="2059" spans="1:20" x14ac:dyDescent="0.25">
      <c r="A2059" s="1" t="s">
        <v>4332</v>
      </c>
      <c r="B2059" s="2">
        <v>42664</v>
      </c>
      <c r="C2059" s="2">
        <v>42670</v>
      </c>
      <c r="D2059" s="1" t="s">
        <v>37</v>
      </c>
      <c r="E2059" s="1" t="s">
        <v>619</v>
      </c>
      <c r="F2059" s="1" t="s">
        <v>620</v>
      </c>
      <c r="G2059" s="1" t="s">
        <v>24</v>
      </c>
      <c r="H2059" s="1" t="s">
        <v>49</v>
      </c>
      <c r="I2059" s="1" t="s">
        <v>50</v>
      </c>
      <c r="J2059" s="1" t="s">
        <v>51</v>
      </c>
      <c r="K2059" s="1" t="s">
        <v>3008</v>
      </c>
      <c r="L2059" s="1" t="s">
        <v>29</v>
      </c>
      <c r="M2059" s="1" t="s">
        <v>34</v>
      </c>
      <c r="N2059" s="1" t="s">
        <v>3009</v>
      </c>
      <c r="O2059">
        <v>242.136</v>
      </c>
      <c r="P2059">
        <v>3</v>
      </c>
      <c r="Q2059">
        <v>12.1068</v>
      </c>
      <c r="R2059" s="1" t="s">
        <v>4426</v>
      </c>
      <c r="S2059">
        <v>2016</v>
      </c>
      <c r="T2059" s="1" t="s">
        <v>45</v>
      </c>
    </row>
    <row r="2060" spans="1:20" x14ac:dyDescent="0.25">
      <c r="A2060" s="1" t="s">
        <v>4332</v>
      </c>
      <c r="B2060" s="2">
        <v>42664</v>
      </c>
      <c r="C2060" s="2">
        <v>42670</v>
      </c>
      <c r="D2060" s="1" t="s">
        <v>37</v>
      </c>
      <c r="E2060" s="1" t="s">
        <v>619</v>
      </c>
      <c r="F2060" s="1" t="s">
        <v>620</v>
      </c>
      <c r="G2060" s="1" t="s">
        <v>24</v>
      </c>
      <c r="H2060" s="1" t="s">
        <v>49</v>
      </c>
      <c r="I2060" s="1" t="s">
        <v>50</v>
      </c>
      <c r="J2060" s="1" t="s">
        <v>51</v>
      </c>
      <c r="K2060" s="1" t="s">
        <v>2650</v>
      </c>
      <c r="L2060" s="1" t="s">
        <v>29</v>
      </c>
      <c r="M2060" s="1" t="s">
        <v>53</v>
      </c>
      <c r="N2060" s="1" t="s">
        <v>2651</v>
      </c>
      <c r="O2060">
        <v>19.96</v>
      </c>
      <c r="P2060">
        <v>2</v>
      </c>
      <c r="Q2060">
        <v>5.5888</v>
      </c>
      <c r="R2060" s="1" t="s">
        <v>4426</v>
      </c>
      <c r="S2060">
        <v>2016</v>
      </c>
      <c r="T2060" s="1" t="s">
        <v>45</v>
      </c>
    </row>
    <row r="2061" spans="1:20" x14ac:dyDescent="0.25">
      <c r="A2061" s="1" t="s">
        <v>4333</v>
      </c>
      <c r="B2061" s="2">
        <v>41948</v>
      </c>
      <c r="C2061" s="2">
        <v>41953</v>
      </c>
      <c r="D2061" s="1" t="s">
        <v>37</v>
      </c>
      <c r="E2061" s="1" t="s">
        <v>1374</v>
      </c>
      <c r="F2061" s="1" t="s">
        <v>1375</v>
      </c>
      <c r="G2061" s="1" t="s">
        <v>24</v>
      </c>
      <c r="H2061" s="1" t="s">
        <v>61</v>
      </c>
      <c r="I2061" s="1" t="s">
        <v>62</v>
      </c>
      <c r="J2061" s="1" t="s">
        <v>63</v>
      </c>
      <c r="K2061" s="1" t="s">
        <v>1822</v>
      </c>
      <c r="L2061" s="1" t="s">
        <v>29</v>
      </c>
      <c r="M2061" s="1" t="s">
        <v>53</v>
      </c>
      <c r="N2061" s="1" t="s">
        <v>1823</v>
      </c>
      <c r="O2061">
        <v>273.56799999999998</v>
      </c>
      <c r="P2061">
        <v>2</v>
      </c>
      <c r="Q2061">
        <v>-34.195999999999998</v>
      </c>
      <c r="R2061" s="1" t="s">
        <v>4422</v>
      </c>
      <c r="S2061">
        <v>2014</v>
      </c>
      <c r="T2061" s="1" t="s">
        <v>32</v>
      </c>
    </row>
    <row r="2062" spans="1:20" x14ac:dyDescent="0.25">
      <c r="A2062" s="1" t="s">
        <v>4334</v>
      </c>
      <c r="B2062" s="2">
        <v>42635</v>
      </c>
      <c r="C2062" s="2">
        <v>42639</v>
      </c>
      <c r="D2062" s="1" t="s">
        <v>37</v>
      </c>
      <c r="E2062" s="1" t="s">
        <v>3069</v>
      </c>
      <c r="F2062" s="1" t="s">
        <v>3070</v>
      </c>
      <c r="G2062" s="1" t="s">
        <v>84</v>
      </c>
      <c r="H2062" s="1" t="s">
        <v>4138</v>
      </c>
      <c r="I2062" s="1" t="s">
        <v>230</v>
      </c>
      <c r="J2062" s="1" t="s">
        <v>87</v>
      </c>
      <c r="K2062" s="1" t="s">
        <v>2195</v>
      </c>
      <c r="L2062" s="1" t="s">
        <v>29</v>
      </c>
      <c r="M2062" s="1" t="s">
        <v>53</v>
      </c>
      <c r="N2062" s="1" t="s">
        <v>2196</v>
      </c>
      <c r="O2062">
        <v>18.96</v>
      </c>
      <c r="P2062">
        <v>2</v>
      </c>
      <c r="Q2062">
        <v>7.5839999999999996</v>
      </c>
      <c r="R2062" s="1" t="s">
        <v>4424</v>
      </c>
      <c r="S2062">
        <v>2016</v>
      </c>
      <c r="T2062" s="1" t="s">
        <v>72</v>
      </c>
    </row>
    <row r="2063" spans="1:20" x14ac:dyDescent="0.25">
      <c r="A2063" s="1" t="s">
        <v>4335</v>
      </c>
      <c r="B2063" s="2">
        <v>42416</v>
      </c>
      <c r="C2063" s="2">
        <v>42420</v>
      </c>
      <c r="D2063" s="1" t="s">
        <v>37</v>
      </c>
      <c r="E2063" s="1" t="s">
        <v>2202</v>
      </c>
      <c r="F2063" s="1" t="s">
        <v>2203</v>
      </c>
      <c r="G2063" s="1" t="s">
        <v>24</v>
      </c>
      <c r="H2063" s="1" t="s">
        <v>165</v>
      </c>
      <c r="I2063" s="1" t="s">
        <v>114</v>
      </c>
      <c r="J2063" s="1" t="s">
        <v>63</v>
      </c>
      <c r="K2063" s="1" t="s">
        <v>2979</v>
      </c>
      <c r="L2063" s="1" t="s">
        <v>29</v>
      </c>
      <c r="M2063" s="1" t="s">
        <v>34</v>
      </c>
      <c r="N2063" s="1" t="s">
        <v>2980</v>
      </c>
      <c r="O2063">
        <v>326.64600000000002</v>
      </c>
      <c r="P2063">
        <v>3</v>
      </c>
      <c r="Q2063">
        <v>39.923400000000001</v>
      </c>
      <c r="R2063" s="1" t="s">
        <v>4424</v>
      </c>
      <c r="S2063">
        <v>2016</v>
      </c>
      <c r="T2063" s="1" t="s">
        <v>289</v>
      </c>
    </row>
    <row r="2064" spans="1:20" x14ac:dyDescent="0.25">
      <c r="A2064" s="1" t="s">
        <v>4336</v>
      </c>
      <c r="B2064" s="2">
        <v>41871</v>
      </c>
      <c r="C2064" s="2">
        <v>41876</v>
      </c>
      <c r="D2064" s="1" t="s">
        <v>37</v>
      </c>
      <c r="E2064" s="1" t="s">
        <v>2732</v>
      </c>
      <c r="F2064" s="1" t="s">
        <v>2733</v>
      </c>
      <c r="G2064" s="1" t="s">
        <v>84</v>
      </c>
      <c r="H2064" s="1" t="s">
        <v>2841</v>
      </c>
      <c r="I2064" s="1" t="s">
        <v>707</v>
      </c>
      <c r="J2064" s="1" t="s">
        <v>27</v>
      </c>
      <c r="K2064" s="1" t="s">
        <v>2209</v>
      </c>
      <c r="L2064" s="1" t="s">
        <v>29</v>
      </c>
      <c r="M2064" s="1" t="s">
        <v>34</v>
      </c>
      <c r="N2064" s="1" t="s">
        <v>2210</v>
      </c>
      <c r="O2064">
        <v>500.24</v>
      </c>
      <c r="P2064">
        <v>13</v>
      </c>
      <c r="Q2064">
        <v>145.06960000000001</v>
      </c>
      <c r="R2064" s="1" t="s">
        <v>4422</v>
      </c>
      <c r="S2064">
        <v>2014</v>
      </c>
      <c r="T2064" s="1" t="s">
        <v>245</v>
      </c>
    </row>
    <row r="2065" spans="1:20" x14ac:dyDescent="0.25">
      <c r="A2065" s="1" t="s">
        <v>4337</v>
      </c>
      <c r="B2065" s="2">
        <v>42316</v>
      </c>
      <c r="C2065" s="2">
        <v>42320</v>
      </c>
      <c r="D2065" s="1" t="s">
        <v>37</v>
      </c>
      <c r="E2065" s="1" t="s">
        <v>4338</v>
      </c>
      <c r="F2065" s="1" t="s">
        <v>4339</v>
      </c>
      <c r="G2065" s="1" t="s">
        <v>84</v>
      </c>
      <c r="H2065" s="1" t="s">
        <v>3022</v>
      </c>
      <c r="I2065" s="1" t="s">
        <v>3097</v>
      </c>
      <c r="J2065" s="1" t="s">
        <v>63</v>
      </c>
      <c r="K2065" s="1" t="s">
        <v>76</v>
      </c>
      <c r="L2065" s="1" t="s">
        <v>29</v>
      </c>
      <c r="M2065" s="1" t="s">
        <v>30</v>
      </c>
      <c r="N2065" s="1" t="s">
        <v>77</v>
      </c>
      <c r="O2065">
        <v>4404.8999999999996</v>
      </c>
      <c r="P2065">
        <v>5</v>
      </c>
      <c r="Q2065">
        <v>1013.127</v>
      </c>
      <c r="R2065" s="1" t="s">
        <v>4424</v>
      </c>
      <c r="S2065">
        <v>2015</v>
      </c>
      <c r="T2065" s="1" t="s">
        <v>32</v>
      </c>
    </row>
    <row r="2066" spans="1:20" x14ac:dyDescent="0.25">
      <c r="A2066" s="1" t="s">
        <v>4340</v>
      </c>
      <c r="B2066" s="2">
        <v>43063</v>
      </c>
      <c r="C2066" s="2">
        <v>43063</v>
      </c>
      <c r="D2066" s="1" t="s">
        <v>417</v>
      </c>
      <c r="E2066" s="1" t="s">
        <v>1198</v>
      </c>
      <c r="F2066" s="1" t="s">
        <v>1199</v>
      </c>
      <c r="G2066" s="1" t="s">
        <v>24</v>
      </c>
      <c r="H2066" s="1" t="s">
        <v>49</v>
      </c>
      <c r="I2066" s="1" t="s">
        <v>50</v>
      </c>
      <c r="J2066" s="1" t="s">
        <v>51</v>
      </c>
      <c r="K2066" s="1" t="s">
        <v>432</v>
      </c>
      <c r="L2066" s="1" t="s">
        <v>29</v>
      </c>
      <c r="M2066" s="1" t="s">
        <v>43</v>
      </c>
      <c r="N2066" s="1" t="s">
        <v>433</v>
      </c>
      <c r="O2066">
        <v>364.08</v>
      </c>
      <c r="P2066">
        <v>2</v>
      </c>
      <c r="Q2066">
        <v>9.1020000000000003</v>
      </c>
      <c r="R2066" s="1" t="s">
        <v>4427</v>
      </c>
      <c r="S2066">
        <v>2017</v>
      </c>
      <c r="T2066" s="1" t="s">
        <v>32</v>
      </c>
    </row>
    <row r="2067" spans="1:20" x14ac:dyDescent="0.25">
      <c r="A2067" s="1" t="s">
        <v>4340</v>
      </c>
      <c r="B2067" s="2">
        <v>43063</v>
      </c>
      <c r="C2067" s="2">
        <v>43063</v>
      </c>
      <c r="D2067" s="1" t="s">
        <v>417</v>
      </c>
      <c r="E2067" s="1" t="s">
        <v>1198</v>
      </c>
      <c r="F2067" s="1" t="s">
        <v>1199</v>
      </c>
      <c r="G2067" s="1" t="s">
        <v>24</v>
      </c>
      <c r="H2067" s="1" t="s">
        <v>49</v>
      </c>
      <c r="I2067" s="1" t="s">
        <v>50</v>
      </c>
      <c r="J2067" s="1" t="s">
        <v>51</v>
      </c>
      <c r="K2067" s="1" t="s">
        <v>1240</v>
      </c>
      <c r="L2067" s="1" t="s">
        <v>29</v>
      </c>
      <c r="M2067" s="1" t="s">
        <v>43</v>
      </c>
      <c r="N2067" s="1" t="s">
        <v>1241</v>
      </c>
      <c r="O2067">
        <v>71.087999999999994</v>
      </c>
      <c r="P2067">
        <v>2</v>
      </c>
      <c r="Q2067">
        <v>-1.7771999999999999</v>
      </c>
      <c r="R2067" s="1" t="s">
        <v>4427</v>
      </c>
      <c r="S2067">
        <v>2017</v>
      </c>
      <c r="T2067" s="1" t="s">
        <v>32</v>
      </c>
    </row>
    <row r="2068" spans="1:20" x14ac:dyDescent="0.25">
      <c r="A2068" s="1" t="s">
        <v>4341</v>
      </c>
      <c r="B2068" s="2">
        <v>41954</v>
      </c>
      <c r="C2068" s="2">
        <v>41958</v>
      </c>
      <c r="D2068" s="1" t="s">
        <v>37</v>
      </c>
      <c r="E2068" s="1" t="s">
        <v>47</v>
      </c>
      <c r="F2068" s="1" t="s">
        <v>48</v>
      </c>
      <c r="G2068" s="1" t="s">
        <v>24</v>
      </c>
      <c r="H2068" s="1" t="s">
        <v>125</v>
      </c>
      <c r="I2068" s="1" t="s">
        <v>126</v>
      </c>
      <c r="J2068" s="1" t="s">
        <v>87</v>
      </c>
      <c r="K2068" s="1" t="s">
        <v>2778</v>
      </c>
      <c r="L2068" s="1" t="s">
        <v>29</v>
      </c>
      <c r="M2068" s="1" t="s">
        <v>53</v>
      </c>
      <c r="N2068" s="1" t="s">
        <v>2779</v>
      </c>
      <c r="O2068">
        <v>10.984</v>
      </c>
      <c r="P2068">
        <v>2</v>
      </c>
      <c r="Q2068">
        <v>-7.9634</v>
      </c>
      <c r="R2068" s="1" t="s">
        <v>4424</v>
      </c>
      <c r="S2068">
        <v>2014</v>
      </c>
      <c r="T2068" s="1" t="s">
        <v>32</v>
      </c>
    </row>
    <row r="2069" spans="1:20" x14ac:dyDescent="0.25">
      <c r="A2069" s="1" t="s">
        <v>4341</v>
      </c>
      <c r="B2069" s="2">
        <v>41954</v>
      </c>
      <c r="C2069" s="2">
        <v>41958</v>
      </c>
      <c r="D2069" s="1" t="s">
        <v>37</v>
      </c>
      <c r="E2069" s="1" t="s">
        <v>47</v>
      </c>
      <c r="F2069" s="1" t="s">
        <v>48</v>
      </c>
      <c r="G2069" s="1" t="s">
        <v>24</v>
      </c>
      <c r="H2069" s="1" t="s">
        <v>125</v>
      </c>
      <c r="I2069" s="1" t="s">
        <v>126</v>
      </c>
      <c r="J2069" s="1" t="s">
        <v>87</v>
      </c>
      <c r="K2069" s="1" t="s">
        <v>566</v>
      </c>
      <c r="L2069" s="1" t="s">
        <v>29</v>
      </c>
      <c r="M2069" s="1" t="s">
        <v>34</v>
      </c>
      <c r="N2069" s="1" t="s">
        <v>567</v>
      </c>
      <c r="O2069">
        <v>797.94399999999996</v>
      </c>
      <c r="P2069">
        <v>4</v>
      </c>
      <c r="Q2069">
        <v>-56.996000000000002</v>
      </c>
      <c r="R2069" s="1" t="s">
        <v>4424</v>
      </c>
      <c r="S2069">
        <v>2014</v>
      </c>
      <c r="T2069" s="1" t="s">
        <v>32</v>
      </c>
    </row>
    <row r="2070" spans="1:20" x14ac:dyDescent="0.25">
      <c r="A2070" s="1" t="s">
        <v>4342</v>
      </c>
      <c r="B2070" s="2">
        <v>42821</v>
      </c>
      <c r="C2070" s="2">
        <v>42823</v>
      </c>
      <c r="D2070" s="1" t="s">
        <v>21</v>
      </c>
      <c r="E2070" s="1" t="s">
        <v>169</v>
      </c>
      <c r="F2070" s="1" t="s">
        <v>170</v>
      </c>
      <c r="G2070" s="1" t="s">
        <v>24</v>
      </c>
      <c r="H2070" s="1" t="s">
        <v>626</v>
      </c>
      <c r="I2070" s="1" t="s">
        <v>707</v>
      </c>
      <c r="J2070" s="1" t="s">
        <v>27</v>
      </c>
      <c r="K2070" s="1" t="s">
        <v>360</v>
      </c>
      <c r="L2070" s="1" t="s">
        <v>29</v>
      </c>
      <c r="M2070" s="1" t="s">
        <v>43</v>
      </c>
      <c r="N2070" s="1" t="s">
        <v>361</v>
      </c>
      <c r="O2070">
        <v>292.10000000000002</v>
      </c>
      <c r="P2070">
        <v>2</v>
      </c>
      <c r="Q2070">
        <v>58.42</v>
      </c>
      <c r="R2070" s="1" t="s">
        <v>4423</v>
      </c>
      <c r="S2070">
        <v>2017</v>
      </c>
      <c r="T2070" s="1" t="s">
        <v>187</v>
      </c>
    </row>
    <row r="2071" spans="1:20" x14ac:dyDescent="0.25">
      <c r="A2071" s="1" t="s">
        <v>4343</v>
      </c>
      <c r="B2071" s="2">
        <v>42674</v>
      </c>
      <c r="C2071" s="2">
        <v>42679</v>
      </c>
      <c r="D2071" s="1" t="s">
        <v>37</v>
      </c>
      <c r="E2071" s="1" t="s">
        <v>644</v>
      </c>
      <c r="F2071" s="1" t="s">
        <v>645</v>
      </c>
      <c r="G2071" s="1" t="s">
        <v>84</v>
      </c>
      <c r="H2071" s="1" t="s">
        <v>320</v>
      </c>
      <c r="I2071" s="1" t="s">
        <v>50</v>
      </c>
      <c r="J2071" s="1" t="s">
        <v>51</v>
      </c>
      <c r="K2071" s="1" t="s">
        <v>1477</v>
      </c>
      <c r="L2071" s="1" t="s">
        <v>29</v>
      </c>
      <c r="M2071" s="1" t="s">
        <v>34</v>
      </c>
      <c r="N2071" s="1" t="s">
        <v>1478</v>
      </c>
      <c r="O2071">
        <v>1403.92</v>
      </c>
      <c r="P2071">
        <v>5</v>
      </c>
      <c r="Q2071">
        <v>70.195999999999998</v>
      </c>
      <c r="R2071" s="1" t="s">
        <v>4422</v>
      </c>
      <c r="S2071">
        <v>2016</v>
      </c>
      <c r="T2071" s="1" t="s">
        <v>45</v>
      </c>
    </row>
    <row r="2072" spans="1:20" x14ac:dyDescent="0.25">
      <c r="A2072" s="1" t="s">
        <v>4344</v>
      </c>
      <c r="B2072" s="2">
        <v>42698</v>
      </c>
      <c r="C2072" s="2">
        <v>42704</v>
      </c>
      <c r="D2072" s="1" t="s">
        <v>37</v>
      </c>
      <c r="E2072" s="1" t="s">
        <v>892</v>
      </c>
      <c r="F2072" s="1" t="s">
        <v>893</v>
      </c>
      <c r="G2072" s="1" t="s">
        <v>94</v>
      </c>
      <c r="H2072" s="1" t="s">
        <v>2041</v>
      </c>
      <c r="I2072" s="1" t="s">
        <v>41</v>
      </c>
      <c r="J2072" s="1" t="s">
        <v>27</v>
      </c>
      <c r="K2072" s="1" t="s">
        <v>758</v>
      </c>
      <c r="L2072" s="1" t="s">
        <v>29</v>
      </c>
      <c r="M2072" s="1" t="s">
        <v>30</v>
      </c>
      <c r="N2072" s="1" t="s">
        <v>759</v>
      </c>
      <c r="O2072">
        <v>339.92</v>
      </c>
      <c r="P2072">
        <v>5</v>
      </c>
      <c r="Q2072">
        <v>8.4979999999999993</v>
      </c>
      <c r="R2072" s="1" t="s">
        <v>4426</v>
      </c>
      <c r="S2072">
        <v>2016</v>
      </c>
      <c r="T2072" s="1" t="s">
        <v>32</v>
      </c>
    </row>
    <row r="2073" spans="1:20" x14ac:dyDescent="0.25">
      <c r="A2073" s="1" t="s">
        <v>4345</v>
      </c>
      <c r="B2073" s="2">
        <v>41846</v>
      </c>
      <c r="C2073" s="2">
        <v>41850</v>
      </c>
      <c r="D2073" s="1" t="s">
        <v>37</v>
      </c>
      <c r="E2073" s="1" t="s">
        <v>1565</v>
      </c>
      <c r="F2073" s="1" t="s">
        <v>1566</v>
      </c>
      <c r="G2073" s="1" t="s">
        <v>24</v>
      </c>
      <c r="H2073" s="1" t="s">
        <v>237</v>
      </c>
      <c r="I2073" s="1" t="s">
        <v>86</v>
      </c>
      <c r="J2073" s="1" t="s">
        <v>87</v>
      </c>
      <c r="K2073" s="1" t="s">
        <v>2252</v>
      </c>
      <c r="L2073" s="1" t="s">
        <v>29</v>
      </c>
      <c r="M2073" s="1" t="s">
        <v>53</v>
      </c>
      <c r="N2073" s="1" t="s">
        <v>2253</v>
      </c>
      <c r="O2073">
        <v>17.495999999999999</v>
      </c>
      <c r="P2073">
        <v>3</v>
      </c>
      <c r="Q2073">
        <v>-10.0602</v>
      </c>
      <c r="R2073" s="1" t="s">
        <v>4424</v>
      </c>
      <c r="S2073">
        <v>2014</v>
      </c>
      <c r="T2073" s="1" t="s">
        <v>66</v>
      </c>
    </row>
    <row r="2074" spans="1:20" x14ac:dyDescent="0.25">
      <c r="A2074" s="1" t="s">
        <v>4346</v>
      </c>
      <c r="B2074" s="2">
        <v>42155</v>
      </c>
      <c r="C2074" s="2">
        <v>42157</v>
      </c>
      <c r="D2074" s="1" t="s">
        <v>21</v>
      </c>
      <c r="E2074" s="1" t="s">
        <v>1814</v>
      </c>
      <c r="F2074" s="1" t="s">
        <v>1815</v>
      </c>
      <c r="G2074" s="1" t="s">
        <v>84</v>
      </c>
      <c r="H2074" s="1" t="s">
        <v>3554</v>
      </c>
      <c r="I2074" s="1" t="s">
        <v>354</v>
      </c>
      <c r="J2074" s="1" t="s">
        <v>63</v>
      </c>
      <c r="K2074" s="1" t="s">
        <v>1971</v>
      </c>
      <c r="L2074" s="1" t="s">
        <v>29</v>
      </c>
      <c r="M2074" s="1" t="s">
        <v>53</v>
      </c>
      <c r="N2074" s="1" t="s">
        <v>1972</v>
      </c>
      <c r="O2074">
        <v>8.2799999999999994</v>
      </c>
      <c r="P2074">
        <v>2</v>
      </c>
      <c r="Q2074">
        <v>2.9807999999999999</v>
      </c>
      <c r="R2074" s="1" t="s">
        <v>4423</v>
      </c>
      <c r="S2074">
        <v>2015</v>
      </c>
      <c r="T2074" s="1" t="s">
        <v>153</v>
      </c>
    </row>
    <row r="2075" spans="1:20" x14ac:dyDescent="0.25">
      <c r="A2075" s="1" t="s">
        <v>4347</v>
      </c>
      <c r="B2075" s="2">
        <v>41948</v>
      </c>
      <c r="C2075" s="2">
        <v>41948</v>
      </c>
      <c r="D2075" s="1" t="s">
        <v>417</v>
      </c>
      <c r="E2075" s="1" t="s">
        <v>4348</v>
      </c>
      <c r="F2075" s="1" t="s">
        <v>4349</v>
      </c>
      <c r="G2075" s="1" t="s">
        <v>24</v>
      </c>
      <c r="H2075" s="1" t="s">
        <v>2841</v>
      </c>
      <c r="I2075" s="1" t="s">
        <v>707</v>
      </c>
      <c r="J2075" s="1" t="s">
        <v>27</v>
      </c>
      <c r="K2075" s="1" t="s">
        <v>1504</v>
      </c>
      <c r="L2075" s="1" t="s">
        <v>29</v>
      </c>
      <c r="M2075" s="1" t="s">
        <v>34</v>
      </c>
      <c r="N2075" s="1" t="s">
        <v>1505</v>
      </c>
      <c r="O2075">
        <v>149.9</v>
      </c>
      <c r="P2075">
        <v>5</v>
      </c>
      <c r="Q2075">
        <v>40.472999999999999</v>
      </c>
      <c r="R2075" s="1" t="s">
        <v>4427</v>
      </c>
      <c r="S2075">
        <v>2014</v>
      </c>
      <c r="T2075" s="1" t="s">
        <v>32</v>
      </c>
    </row>
    <row r="2076" spans="1:20" x14ac:dyDescent="0.25">
      <c r="A2076" s="1" t="s">
        <v>4350</v>
      </c>
      <c r="B2076" s="2">
        <v>42821</v>
      </c>
      <c r="C2076" s="2">
        <v>42826</v>
      </c>
      <c r="D2076" s="1" t="s">
        <v>37</v>
      </c>
      <c r="E2076" s="1" t="s">
        <v>1336</v>
      </c>
      <c r="F2076" s="1" t="s">
        <v>1337</v>
      </c>
      <c r="G2076" s="1" t="s">
        <v>24</v>
      </c>
      <c r="H2076" s="1" t="s">
        <v>95</v>
      </c>
      <c r="I2076" s="1" t="s">
        <v>86</v>
      </c>
      <c r="J2076" s="1" t="s">
        <v>87</v>
      </c>
      <c r="K2076" s="1" t="s">
        <v>990</v>
      </c>
      <c r="L2076" s="1" t="s">
        <v>29</v>
      </c>
      <c r="M2076" s="1" t="s">
        <v>30</v>
      </c>
      <c r="N2076" s="1" t="s">
        <v>991</v>
      </c>
      <c r="O2076">
        <v>1023.332</v>
      </c>
      <c r="P2076">
        <v>5</v>
      </c>
      <c r="Q2076">
        <v>-30.097999999999999</v>
      </c>
      <c r="R2076" s="1" t="s">
        <v>4422</v>
      </c>
      <c r="S2076">
        <v>2017</v>
      </c>
      <c r="T2076" s="1" t="s">
        <v>187</v>
      </c>
    </row>
    <row r="2077" spans="1:20" x14ac:dyDescent="0.25">
      <c r="A2077" s="1" t="s">
        <v>4350</v>
      </c>
      <c r="B2077" s="2">
        <v>42821</v>
      </c>
      <c r="C2077" s="2">
        <v>42826</v>
      </c>
      <c r="D2077" s="1" t="s">
        <v>37</v>
      </c>
      <c r="E2077" s="1" t="s">
        <v>1336</v>
      </c>
      <c r="F2077" s="1" t="s">
        <v>1337</v>
      </c>
      <c r="G2077" s="1" t="s">
        <v>24</v>
      </c>
      <c r="H2077" s="1" t="s">
        <v>95</v>
      </c>
      <c r="I2077" s="1" t="s">
        <v>86</v>
      </c>
      <c r="J2077" s="1" t="s">
        <v>87</v>
      </c>
      <c r="K2077" s="1" t="s">
        <v>198</v>
      </c>
      <c r="L2077" s="1" t="s">
        <v>29</v>
      </c>
      <c r="M2077" s="1" t="s">
        <v>34</v>
      </c>
      <c r="N2077" s="1" t="s">
        <v>199</v>
      </c>
      <c r="O2077">
        <v>600.55799999999999</v>
      </c>
      <c r="P2077">
        <v>3</v>
      </c>
      <c r="Q2077">
        <v>-8.5793999999999997</v>
      </c>
      <c r="R2077" s="1" t="s">
        <v>4422</v>
      </c>
      <c r="S2077">
        <v>2017</v>
      </c>
      <c r="T2077" s="1" t="s">
        <v>187</v>
      </c>
    </row>
    <row r="2078" spans="1:20" x14ac:dyDescent="0.25">
      <c r="A2078" s="1" t="s">
        <v>4350</v>
      </c>
      <c r="B2078" s="2">
        <v>42821</v>
      </c>
      <c r="C2078" s="2">
        <v>42826</v>
      </c>
      <c r="D2078" s="1" t="s">
        <v>37</v>
      </c>
      <c r="E2078" s="1" t="s">
        <v>1336</v>
      </c>
      <c r="F2078" s="1" t="s">
        <v>1337</v>
      </c>
      <c r="G2078" s="1" t="s">
        <v>24</v>
      </c>
      <c r="H2078" s="1" t="s">
        <v>95</v>
      </c>
      <c r="I2078" s="1" t="s">
        <v>86</v>
      </c>
      <c r="J2078" s="1" t="s">
        <v>87</v>
      </c>
      <c r="K2078" s="1" t="s">
        <v>1841</v>
      </c>
      <c r="L2078" s="1" t="s">
        <v>29</v>
      </c>
      <c r="M2078" s="1" t="s">
        <v>34</v>
      </c>
      <c r="N2078" s="1" t="s">
        <v>1842</v>
      </c>
      <c r="O2078">
        <v>211.24600000000001</v>
      </c>
      <c r="P2078">
        <v>2</v>
      </c>
      <c r="Q2078">
        <v>-66.391599999999997</v>
      </c>
      <c r="R2078" s="1" t="s">
        <v>4422</v>
      </c>
      <c r="S2078">
        <v>2017</v>
      </c>
      <c r="T2078" s="1" t="s">
        <v>187</v>
      </c>
    </row>
    <row r="2079" spans="1:20" x14ac:dyDescent="0.25">
      <c r="A2079" s="1" t="s">
        <v>4351</v>
      </c>
      <c r="B2079" s="2">
        <v>41780</v>
      </c>
      <c r="C2079" s="2">
        <v>41782</v>
      </c>
      <c r="D2079" s="1" t="s">
        <v>21</v>
      </c>
      <c r="E2079" s="1" t="s">
        <v>916</v>
      </c>
      <c r="F2079" s="1" t="s">
        <v>917</v>
      </c>
      <c r="G2079" s="1" t="s">
        <v>24</v>
      </c>
      <c r="H2079" s="1" t="s">
        <v>95</v>
      </c>
      <c r="I2079" s="1" t="s">
        <v>86</v>
      </c>
      <c r="J2079" s="1" t="s">
        <v>87</v>
      </c>
      <c r="K2079" s="1" t="s">
        <v>479</v>
      </c>
      <c r="L2079" s="1" t="s">
        <v>29</v>
      </c>
      <c r="M2079" s="1" t="s">
        <v>34</v>
      </c>
      <c r="N2079" s="1" t="s">
        <v>480</v>
      </c>
      <c r="O2079">
        <v>107.77200000000001</v>
      </c>
      <c r="P2079">
        <v>2</v>
      </c>
      <c r="Q2079">
        <v>-29.252400000000002</v>
      </c>
      <c r="R2079" s="1" t="s">
        <v>4423</v>
      </c>
      <c r="S2079">
        <v>2014</v>
      </c>
      <c r="T2079" s="1" t="s">
        <v>153</v>
      </c>
    </row>
    <row r="2080" spans="1:20" x14ac:dyDescent="0.25">
      <c r="A2080" s="1" t="s">
        <v>4352</v>
      </c>
      <c r="B2080" s="2">
        <v>42203</v>
      </c>
      <c r="C2080" s="2">
        <v>42205</v>
      </c>
      <c r="D2080" s="1" t="s">
        <v>21</v>
      </c>
      <c r="E2080" s="1" t="s">
        <v>838</v>
      </c>
      <c r="F2080" s="1" t="s">
        <v>839</v>
      </c>
      <c r="G2080" s="1" t="s">
        <v>24</v>
      </c>
      <c r="H2080" s="1" t="s">
        <v>165</v>
      </c>
      <c r="I2080" s="1" t="s">
        <v>114</v>
      </c>
      <c r="J2080" s="1" t="s">
        <v>63</v>
      </c>
      <c r="K2080" s="1" t="s">
        <v>1709</v>
      </c>
      <c r="L2080" s="1" t="s">
        <v>29</v>
      </c>
      <c r="M2080" s="1" t="s">
        <v>53</v>
      </c>
      <c r="N2080" s="1" t="s">
        <v>1710</v>
      </c>
      <c r="O2080">
        <v>7.38</v>
      </c>
      <c r="P2080">
        <v>1</v>
      </c>
      <c r="Q2080">
        <v>2.1402000000000001</v>
      </c>
      <c r="R2080" s="1" t="s">
        <v>4423</v>
      </c>
      <c r="S2080">
        <v>2015</v>
      </c>
      <c r="T2080" s="1" t="s">
        <v>66</v>
      </c>
    </row>
    <row r="2081" spans="1:20" x14ac:dyDescent="0.25">
      <c r="A2081" s="1" t="s">
        <v>4353</v>
      </c>
      <c r="B2081" s="2">
        <v>42664</v>
      </c>
      <c r="C2081" s="2">
        <v>42669</v>
      </c>
      <c r="D2081" s="1" t="s">
        <v>37</v>
      </c>
      <c r="E2081" s="1" t="s">
        <v>1941</v>
      </c>
      <c r="F2081" s="1" t="s">
        <v>1942</v>
      </c>
      <c r="G2081" s="1" t="s">
        <v>94</v>
      </c>
      <c r="H2081" s="1" t="s">
        <v>40</v>
      </c>
      <c r="I2081" s="1" t="s">
        <v>41</v>
      </c>
      <c r="J2081" s="1" t="s">
        <v>27</v>
      </c>
      <c r="K2081" s="1" t="s">
        <v>1509</v>
      </c>
      <c r="L2081" s="1" t="s">
        <v>29</v>
      </c>
      <c r="M2081" s="1" t="s">
        <v>53</v>
      </c>
      <c r="N2081" s="1" t="s">
        <v>1510</v>
      </c>
      <c r="O2081">
        <v>45.567999999999998</v>
      </c>
      <c r="P2081">
        <v>2</v>
      </c>
      <c r="Q2081">
        <v>9.6831999999999994</v>
      </c>
      <c r="R2081" s="1" t="s">
        <v>4422</v>
      </c>
      <c r="S2081">
        <v>2016</v>
      </c>
      <c r="T2081" s="1" t="s">
        <v>45</v>
      </c>
    </row>
    <row r="2082" spans="1:20" x14ac:dyDescent="0.25">
      <c r="A2082" s="1" t="s">
        <v>4354</v>
      </c>
      <c r="B2082" s="2">
        <v>42943</v>
      </c>
      <c r="C2082" s="2">
        <v>42948</v>
      </c>
      <c r="D2082" s="1" t="s">
        <v>21</v>
      </c>
      <c r="E2082" s="1" t="s">
        <v>1459</v>
      </c>
      <c r="F2082" s="1" t="s">
        <v>1460</v>
      </c>
      <c r="G2082" s="1" t="s">
        <v>24</v>
      </c>
      <c r="H2082" s="1" t="s">
        <v>2008</v>
      </c>
      <c r="I2082" s="1" t="s">
        <v>1027</v>
      </c>
      <c r="J2082" s="1" t="s">
        <v>27</v>
      </c>
      <c r="K2082" s="1" t="s">
        <v>127</v>
      </c>
      <c r="L2082" s="1" t="s">
        <v>29</v>
      </c>
      <c r="M2082" s="1" t="s">
        <v>34</v>
      </c>
      <c r="N2082" s="1" t="s">
        <v>128</v>
      </c>
      <c r="O2082">
        <v>194.84800000000001</v>
      </c>
      <c r="P2082">
        <v>4</v>
      </c>
      <c r="Q2082">
        <v>12.178000000000001</v>
      </c>
      <c r="R2082" s="1" t="s">
        <v>4422</v>
      </c>
      <c r="S2082">
        <v>2017</v>
      </c>
      <c r="T2082" s="1" t="s">
        <v>66</v>
      </c>
    </row>
    <row r="2083" spans="1:20" x14ac:dyDescent="0.25">
      <c r="A2083" s="1" t="s">
        <v>4355</v>
      </c>
      <c r="B2083" s="2">
        <v>42163</v>
      </c>
      <c r="C2083" s="2">
        <v>42167</v>
      </c>
      <c r="D2083" s="1" t="s">
        <v>37</v>
      </c>
      <c r="E2083" s="1" t="s">
        <v>3132</v>
      </c>
      <c r="F2083" s="1" t="s">
        <v>3133</v>
      </c>
      <c r="G2083" s="1" t="s">
        <v>84</v>
      </c>
      <c r="H2083" s="1" t="s">
        <v>780</v>
      </c>
      <c r="I2083" s="1" t="s">
        <v>41</v>
      </c>
      <c r="J2083" s="1" t="s">
        <v>27</v>
      </c>
      <c r="K2083" s="1" t="s">
        <v>2101</v>
      </c>
      <c r="L2083" s="1" t="s">
        <v>29</v>
      </c>
      <c r="M2083" s="1" t="s">
        <v>53</v>
      </c>
      <c r="N2083" s="1" t="s">
        <v>2102</v>
      </c>
      <c r="O2083">
        <v>173.208</v>
      </c>
      <c r="P2083">
        <v>7</v>
      </c>
      <c r="Q2083">
        <v>45.467100000000002</v>
      </c>
      <c r="R2083" s="1" t="s">
        <v>4424</v>
      </c>
      <c r="S2083">
        <v>2015</v>
      </c>
      <c r="T2083" s="1" t="s">
        <v>55</v>
      </c>
    </row>
    <row r="2084" spans="1:20" x14ac:dyDescent="0.25">
      <c r="A2084" s="1" t="s">
        <v>4356</v>
      </c>
      <c r="B2084" s="2">
        <v>41866</v>
      </c>
      <c r="C2084" s="2">
        <v>41870</v>
      </c>
      <c r="D2084" s="1" t="s">
        <v>37</v>
      </c>
      <c r="E2084" s="1" t="s">
        <v>1051</v>
      </c>
      <c r="F2084" s="1" t="s">
        <v>1052</v>
      </c>
      <c r="G2084" s="1" t="s">
        <v>24</v>
      </c>
      <c r="H2084" s="1" t="s">
        <v>320</v>
      </c>
      <c r="I2084" s="1" t="s">
        <v>50</v>
      </c>
      <c r="J2084" s="1" t="s">
        <v>51</v>
      </c>
      <c r="K2084" s="1" t="s">
        <v>1647</v>
      </c>
      <c r="L2084" s="1" t="s">
        <v>29</v>
      </c>
      <c r="M2084" s="1" t="s">
        <v>34</v>
      </c>
      <c r="N2084" s="1" t="s">
        <v>1648</v>
      </c>
      <c r="O2084">
        <v>195.136</v>
      </c>
      <c r="P2084">
        <v>4</v>
      </c>
      <c r="Q2084">
        <v>-12.196</v>
      </c>
      <c r="R2084" s="1" t="s">
        <v>4424</v>
      </c>
      <c r="S2084">
        <v>2014</v>
      </c>
      <c r="T2084" s="1" t="s">
        <v>245</v>
      </c>
    </row>
    <row r="2085" spans="1:20" x14ac:dyDescent="0.25">
      <c r="A2085" s="1" t="s">
        <v>4357</v>
      </c>
      <c r="B2085" s="2">
        <v>42932</v>
      </c>
      <c r="C2085" s="2">
        <v>42939</v>
      </c>
      <c r="D2085" s="1" t="s">
        <v>37</v>
      </c>
      <c r="E2085" s="1" t="s">
        <v>466</v>
      </c>
      <c r="F2085" s="1" t="s">
        <v>467</v>
      </c>
      <c r="G2085" s="1" t="s">
        <v>24</v>
      </c>
      <c r="H2085" s="1" t="s">
        <v>1518</v>
      </c>
      <c r="I2085" s="1" t="s">
        <v>1027</v>
      </c>
      <c r="J2085" s="1" t="s">
        <v>27</v>
      </c>
      <c r="K2085" s="1" t="s">
        <v>98</v>
      </c>
      <c r="L2085" s="1" t="s">
        <v>29</v>
      </c>
      <c r="M2085" s="1" t="s">
        <v>34</v>
      </c>
      <c r="N2085" s="1" t="s">
        <v>99</v>
      </c>
      <c r="O2085">
        <v>242.352</v>
      </c>
      <c r="P2085">
        <v>3</v>
      </c>
      <c r="Q2085">
        <v>15.147</v>
      </c>
      <c r="R2085" s="1" t="s">
        <v>4421</v>
      </c>
      <c r="S2085">
        <v>2017</v>
      </c>
      <c r="T2085" s="1" t="s">
        <v>66</v>
      </c>
    </row>
    <row r="2086" spans="1:20" x14ac:dyDescent="0.25">
      <c r="A2086" s="1" t="s">
        <v>4358</v>
      </c>
      <c r="B2086" s="2">
        <v>41989</v>
      </c>
      <c r="C2086" s="2">
        <v>41991</v>
      </c>
      <c r="D2086" s="1" t="s">
        <v>21</v>
      </c>
      <c r="E2086" s="1" t="s">
        <v>3674</v>
      </c>
      <c r="F2086" s="1" t="s">
        <v>3675</v>
      </c>
      <c r="G2086" s="1" t="s">
        <v>24</v>
      </c>
      <c r="H2086" s="1" t="s">
        <v>4359</v>
      </c>
      <c r="I2086" s="1" t="s">
        <v>86</v>
      </c>
      <c r="J2086" s="1" t="s">
        <v>87</v>
      </c>
      <c r="K2086" s="1" t="s">
        <v>105</v>
      </c>
      <c r="L2086" s="1" t="s">
        <v>29</v>
      </c>
      <c r="M2086" s="1" t="s">
        <v>53</v>
      </c>
      <c r="N2086" s="1" t="s">
        <v>106</v>
      </c>
      <c r="O2086">
        <v>8.6240000000000006</v>
      </c>
      <c r="P2086">
        <v>7</v>
      </c>
      <c r="Q2086">
        <v>-2.5872000000000002</v>
      </c>
      <c r="R2086" s="1" t="s">
        <v>4423</v>
      </c>
      <c r="S2086">
        <v>2014</v>
      </c>
      <c r="T2086" s="1" t="s">
        <v>90</v>
      </c>
    </row>
    <row r="2087" spans="1:20" x14ac:dyDescent="0.25">
      <c r="A2087" s="1" t="s">
        <v>4360</v>
      </c>
      <c r="B2087" s="2">
        <v>42653</v>
      </c>
      <c r="C2087" s="2">
        <v>42655</v>
      </c>
      <c r="D2087" s="1" t="s">
        <v>81</v>
      </c>
      <c r="E2087" s="1" t="s">
        <v>1721</v>
      </c>
      <c r="F2087" s="1" t="s">
        <v>1722</v>
      </c>
      <c r="G2087" s="1" t="s">
        <v>24</v>
      </c>
      <c r="H2087" s="1" t="s">
        <v>1145</v>
      </c>
      <c r="I2087" s="1" t="s">
        <v>86</v>
      </c>
      <c r="J2087" s="1" t="s">
        <v>87</v>
      </c>
      <c r="K2087" s="1" t="s">
        <v>2180</v>
      </c>
      <c r="L2087" s="1" t="s">
        <v>29</v>
      </c>
      <c r="M2087" s="1" t="s">
        <v>53</v>
      </c>
      <c r="N2087" s="1" t="s">
        <v>2181</v>
      </c>
      <c r="O2087">
        <v>14</v>
      </c>
      <c r="P2087">
        <v>4</v>
      </c>
      <c r="Q2087">
        <v>-6.3</v>
      </c>
      <c r="R2087" s="1" t="s">
        <v>4423</v>
      </c>
      <c r="S2087">
        <v>2016</v>
      </c>
      <c r="T2087" s="1" t="s">
        <v>45</v>
      </c>
    </row>
    <row r="2088" spans="1:20" x14ac:dyDescent="0.25">
      <c r="A2088" s="1" t="s">
        <v>4361</v>
      </c>
      <c r="B2088" s="2">
        <v>42638</v>
      </c>
      <c r="C2088" s="2">
        <v>42644</v>
      </c>
      <c r="D2088" s="1" t="s">
        <v>37</v>
      </c>
      <c r="E2088" s="1" t="s">
        <v>2039</v>
      </c>
      <c r="F2088" s="1" t="s">
        <v>2040</v>
      </c>
      <c r="G2088" s="1" t="s">
        <v>24</v>
      </c>
      <c r="H2088" s="1" t="s">
        <v>721</v>
      </c>
      <c r="I2088" s="1" t="s">
        <v>50</v>
      </c>
      <c r="J2088" s="1" t="s">
        <v>51</v>
      </c>
      <c r="K2088" s="1" t="s">
        <v>846</v>
      </c>
      <c r="L2088" s="1" t="s">
        <v>29</v>
      </c>
      <c r="M2088" s="1" t="s">
        <v>34</v>
      </c>
      <c r="N2088" s="1" t="s">
        <v>847</v>
      </c>
      <c r="O2088">
        <v>483.13600000000002</v>
      </c>
      <c r="P2088">
        <v>4</v>
      </c>
      <c r="Q2088">
        <v>60.392000000000003</v>
      </c>
      <c r="R2088" s="1" t="s">
        <v>4426</v>
      </c>
      <c r="S2088">
        <v>2016</v>
      </c>
      <c r="T2088" s="1" t="s">
        <v>72</v>
      </c>
    </row>
    <row r="2089" spans="1:20" x14ac:dyDescent="0.25">
      <c r="A2089" s="1" t="s">
        <v>4362</v>
      </c>
      <c r="B2089" s="2">
        <v>41793</v>
      </c>
      <c r="C2089" s="2">
        <v>41796</v>
      </c>
      <c r="D2089" s="1" t="s">
        <v>81</v>
      </c>
      <c r="E2089" s="1" t="s">
        <v>3072</v>
      </c>
      <c r="F2089" s="1" t="s">
        <v>3073</v>
      </c>
      <c r="G2089" s="1" t="s">
        <v>24</v>
      </c>
      <c r="H2089" s="1" t="s">
        <v>504</v>
      </c>
      <c r="I2089" s="1" t="s">
        <v>126</v>
      </c>
      <c r="J2089" s="1" t="s">
        <v>87</v>
      </c>
      <c r="K2089" s="1" t="s">
        <v>621</v>
      </c>
      <c r="L2089" s="1" t="s">
        <v>29</v>
      </c>
      <c r="M2089" s="1" t="s">
        <v>53</v>
      </c>
      <c r="N2089" s="1" t="s">
        <v>622</v>
      </c>
      <c r="O2089">
        <v>61.543999999999997</v>
      </c>
      <c r="P2089">
        <v>7</v>
      </c>
      <c r="Q2089">
        <v>-40.003599999999999</v>
      </c>
      <c r="R2089" s="1" t="s">
        <v>4420</v>
      </c>
      <c r="S2089">
        <v>2014</v>
      </c>
      <c r="T2089" s="1" t="s">
        <v>55</v>
      </c>
    </row>
    <row r="2090" spans="1:20" x14ac:dyDescent="0.25">
      <c r="A2090" s="1" t="s">
        <v>4363</v>
      </c>
      <c r="B2090" s="2">
        <v>42980</v>
      </c>
      <c r="C2090" s="2">
        <v>42982</v>
      </c>
      <c r="D2090" s="1" t="s">
        <v>21</v>
      </c>
      <c r="E2090" s="1" t="s">
        <v>3141</v>
      </c>
      <c r="F2090" s="1" t="s">
        <v>3142</v>
      </c>
      <c r="G2090" s="1" t="s">
        <v>94</v>
      </c>
      <c r="H2090" s="1" t="s">
        <v>49</v>
      </c>
      <c r="I2090" s="1" t="s">
        <v>50</v>
      </c>
      <c r="J2090" s="1" t="s">
        <v>51</v>
      </c>
      <c r="K2090" s="1" t="s">
        <v>926</v>
      </c>
      <c r="L2090" s="1" t="s">
        <v>29</v>
      </c>
      <c r="M2090" s="1" t="s">
        <v>53</v>
      </c>
      <c r="N2090" s="1" t="s">
        <v>927</v>
      </c>
      <c r="O2090">
        <v>511.5</v>
      </c>
      <c r="P2090">
        <v>5</v>
      </c>
      <c r="Q2090">
        <v>132.99</v>
      </c>
      <c r="R2090" s="1" t="s">
        <v>4423</v>
      </c>
      <c r="S2090">
        <v>2017</v>
      </c>
      <c r="T2090" s="1" t="s">
        <v>72</v>
      </c>
    </row>
    <row r="2091" spans="1:20" x14ac:dyDescent="0.25">
      <c r="A2091" s="1" t="s">
        <v>4364</v>
      </c>
      <c r="B2091" s="2">
        <v>42492</v>
      </c>
      <c r="C2091" s="2">
        <v>42496</v>
      </c>
      <c r="D2091" s="1" t="s">
        <v>37</v>
      </c>
      <c r="E2091" s="1" t="s">
        <v>1589</v>
      </c>
      <c r="F2091" s="1" t="s">
        <v>1590</v>
      </c>
      <c r="G2091" s="1" t="s">
        <v>84</v>
      </c>
      <c r="H2091" s="1" t="s">
        <v>165</v>
      </c>
      <c r="I2091" s="1" t="s">
        <v>114</v>
      </c>
      <c r="J2091" s="1" t="s">
        <v>63</v>
      </c>
      <c r="K2091" s="1" t="s">
        <v>668</v>
      </c>
      <c r="L2091" s="1" t="s">
        <v>29</v>
      </c>
      <c r="M2091" s="1" t="s">
        <v>53</v>
      </c>
      <c r="N2091" s="1" t="s">
        <v>669</v>
      </c>
      <c r="O2091">
        <v>12.56</v>
      </c>
      <c r="P2091">
        <v>2</v>
      </c>
      <c r="Q2091">
        <v>4.0191999999999997</v>
      </c>
      <c r="R2091" s="1" t="s">
        <v>4424</v>
      </c>
      <c r="S2091">
        <v>2016</v>
      </c>
      <c r="T2091" s="1" t="s">
        <v>153</v>
      </c>
    </row>
    <row r="2092" spans="1:20" x14ac:dyDescent="0.25">
      <c r="A2092" s="1" t="s">
        <v>4364</v>
      </c>
      <c r="B2092" s="2">
        <v>42492</v>
      </c>
      <c r="C2092" s="2">
        <v>42496</v>
      </c>
      <c r="D2092" s="1" t="s">
        <v>37</v>
      </c>
      <c r="E2092" s="1" t="s">
        <v>1589</v>
      </c>
      <c r="F2092" s="1" t="s">
        <v>1590</v>
      </c>
      <c r="G2092" s="1" t="s">
        <v>84</v>
      </c>
      <c r="H2092" s="1" t="s">
        <v>165</v>
      </c>
      <c r="I2092" s="1" t="s">
        <v>114</v>
      </c>
      <c r="J2092" s="1" t="s">
        <v>63</v>
      </c>
      <c r="K2092" s="1" t="s">
        <v>736</v>
      </c>
      <c r="L2092" s="1" t="s">
        <v>29</v>
      </c>
      <c r="M2092" s="1" t="s">
        <v>53</v>
      </c>
      <c r="N2092" s="1" t="s">
        <v>737</v>
      </c>
      <c r="O2092">
        <v>214.7</v>
      </c>
      <c r="P2092">
        <v>5</v>
      </c>
      <c r="Q2092">
        <v>83.733000000000004</v>
      </c>
      <c r="R2092" s="1" t="s">
        <v>4424</v>
      </c>
      <c r="S2092">
        <v>2016</v>
      </c>
      <c r="T2092" s="1" t="s">
        <v>153</v>
      </c>
    </row>
    <row r="2093" spans="1:20" x14ac:dyDescent="0.25">
      <c r="A2093" s="1" t="s">
        <v>4365</v>
      </c>
      <c r="B2093" s="2">
        <v>42905</v>
      </c>
      <c r="C2093" s="2">
        <v>42909</v>
      </c>
      <c r="D2093" s="1" t="s">
        <v>37</v>
      </c>
      <c r="E2093" s="1" t="s">
        <v>2693</v>
      </c>
      <c r="F2093" s="1" t="s">
        <v>2694</v>
      </c>
      <c r="G2093" s="1" t="s">
        <v>24</v>
      </c>
      <c r="H2093" s="1" t="s">
        <v>320</v>
      </c>
      <c r="I2093" s="1" t="s">
        <v>50</v>
      </c>
      <c r="J2093" s="1" t="s">
        <v>51</v>
      </c>
      <c r="K2093" s="1" t="s">
        <v>2605</v>
      </c>
      <c r="L2093" s="1" t="s">
        <v>29</v>
      </c>
      <c r="M2093" s="1" t="s">
        <v>53</v>
      </c>
      <c r="N2093" s="1" t="s">
        <v>2606</v>
      </c>
      <c r="O2093">
        <v>50.32</v>
      </c>
      <c r="P2093">
        <v>4</v>
      </c>
      <c r="Q2093">
        <v>21.134399999999999</v>
      </c>
      <c r="R2093" s="1" t="s">
        <v>4424</v>
      </c>
      <c r="S2093">
        <v>2017</v>
      </c>
      <c r="T2093" s="1" t="s">
        <v>55</v>
      </c>
    </row>
    <row r="2094" spans="1:20" x14ac:dyDescent="0.25">
      <c r="A2094" s="1" t="s">
        <v>4366</v>
      </c>
      <c r="B2094" s="2">
        <v>42089</v>
      </c>
      <c r="C2094" s="2">
        <v>42093</v>
      </c>
      <c r="D2094" s="1" t="s">
        <v>37</v>
      </c>
      <c r="E2094" s="1" t="s">
        <v>614</v>
      </c>
      <c r="F2094" s="1" t="s">
        <v>615</v>
      </c>
      <c r="G2094" s="1" t="s">
        <v>84</v>
      </c>
      <c r="H2094" s="1" t="s">
        <v>183</v>
      </c>
      <c r="I2094" s="1" t="s">
        <v>184</v>
      </c>
      <c r="J2094" s="1" t="s">
        <v>51</v>
      </c>
      <c r="K2094" s="1" t="s">
        <v>512</v>
      </c>
      <c r="L2094" s="1" t="s">
        <v>29</v>
      </c>
      <c r="M2094" s="1" t="s">
        <v>43</v>
      </c>
      <c r="N2094" s="1" t="s">
        <v>513</v>
      </c>
      <c r="O2094">
        <v>3393.68</v>
      </c>
      <c r="P2094">
        <v>8</v>
      </c>
      <c r="Q2094">
        <v>610.86239999999998</v>
      </c>
      <c r="R2094" s="1" t="s">
        <v>4424</v>
      </c>
      <c r="S2094">
        <v>2015</v>
      </c>
      <c r="T2094" s="1" t="s">
        <v>187</v>
      </c>
    </row>
    <row r="2095" spans="1:20" x14ac:dyDescent="0.25">
      <c r="A2095" s="1" t="s">
        <v>4367</v>
      </c>
      <c r="B2095" s="2">
        <v>42749</v>
      </c>
      <c r="C2095" s="2">
        <v>42755</v>
      </c>
      <c r="D2095" s="1" t="s">
        <v>37</v>
      </c>
      <c r="E2095" s="1" t="s">
        <v>3012</v>
      </c>
      <c r="F2095" s="1" t="s">
        <v>3013</v>
      </c>
      <c r="G2095" s="1" t="s">
        <v>94</v>
      </c>
      <c r="H2095" s="1" t="s">
        <v>626</v>
      </c>
      <c r="I2095" s="1" t="s">
        <v>104</v>
      </c>
      <c r="J2095" s="1" t="s">
        <v>87</v>
      </c>
      <c r="K2095" s="1" t="s">
        <v>1586</v>
      </c>
      <c r="L2095" s="1" t="s">
        <v>29</v>
      </c>
      <c r="M2095" s="1" t="s">
        <v>53</v>
      </c>
      <c r="N2095" s="1" t="s">
        <v>1587</v>
      </c>
      <c r="O2095">
        <v>18.96</v>
      </c>
      <c r="P2095">
        <v>2</v>
      </c>
      <c r="Q2095">
        <v>8.532</v>
      </c>
      <c r="R2095" s="1" t="s">
        <v>4426</v>
      </c>
      <c r="S2095">
        <v>2017</v>
      </c>
      <c r="T2095" s="1" t="s">
        <v>161</v>
      </c>
    </row>
    <row r="2096" spans="1:20" x14ac:dyDescent="0.25">
      <c r="A2096" s="1" t="s">
        <v>4368</v>
      </c>
      <c r="B2096" s="2">
        <v>41944</v>
      </c>
      <c r="C2096" s="2">
        <v>41946</v>
      </c>
      <c r="D2096" s="1" t="s">
        <v>81</v>
      </c>
      <c r="E2096" s="1" t="s">
        <v>1502</v>
      </c>
      <c r="F2096" s="1" t="s">
        <v>1503</v>
      </c>
      <c r="G2096" s="1" t="s">
        <v>84</v>
      </c>
      <c r="H2096" s="1" t="s">
        <v>4369</v>
      </c>
      <c r="I2096" s="1" t="s">
        <v>223</v>
      </c>
      <c r="J2096" s="1" t="s">
        <v>63</v>
      </c>
      <c r="K2096" s="1" t="s">
        <v>736</v>
      </c>
      <c r="L2096" s="1" t="s">
        <v>29</v>
      </c>
      <c r="M2096" s="1" t="s">
        <v>53</v>
      </c>
      <c r="N2096" s="1" t="s">
        <v>737</v>
      </c>
      <c r="O2096">
        <v>68.703999999999994</v>
      </c>
      <c r="P2096">
        <v>2</v>
      </c>
      <c r="Q2096">
        <v>16.3172</v>
      </c>
      <c r="R2096" s="1" t="s">
        <v>4423</v>
      </c>
      <c r="S2096">
        <v>2014</v>
      </c>
      <c r="T2096" s="1" t="s">
        <v>32</v>
      </c>
    </row>
    <row r="2097" spans="1:20" x14ac:dyDescent="0.25">
      <c r="A2097" s="1" t="s">
        <v>4370</v>
      </c>
      <c r="B2097" s="2">
        <v>42603</v>
      </c>
      <c r="C2097" s="2">
        <v>42607</v>
      </c>
      <c r="D2097" s="1" t="s">
        <v>37</v>
      </c>
      <c r="E2097" s="1" t="s">
        <v>719</v>
      </c>
      <c r="F2097" s="1" t="s">
        <v>720</v>
      </c>
      <c r="G2097" s="1" t="s">
        <v>24</v>
      </c>
      <c r="H2097" s="1" t="s">
        <v>165</v>
      </c>
      <c r="I2097" s="1" t="s">
        <v>114</v>
      </c>
      <c r="J2097" s="1" t="s">
        <v>63</v>
      </c>
      <c r="K2097" s="1" t="s">
        <v>1208</v>
      </c>
      <c r="L2097" s="1" t="s">
        <v>29</v>
      </c>
      <c r="M2097" s="1" t="s">
        <v>34</v>
      </c>
      <c r="N2097" s="1" t="s">
        <v>1209</v>
      </c>
      <c r="O2097">
        <v>573.17399999999998</v>
      </c>
      <c r="P2097">
        <v>7</v>
      </c>
      <c r="Q2097">
        <v>63.686</v>
      </c>
      <c r="R2097" s="1" t="s">
        <v>4424</v>
      </c>
      <c r="S2097">
        <v>2016</v>
      </c>
      <c r="T2097" s="1" t="s">
        <v>245</v>
      </c>
    </row>
    <row r="2098" spans="1:20" x14ac:dyDescent="0.25">
      <c r="A2098" s="1" t="s">
        <v>4371</v>
      </c>
      <c r="B2098" s="2">
        <v>42576</v>
      </c>
      <c r="C2098" s="2">
        <v>42579</v>
      </c>
      <c r="D2098" s="1" t="s">
        <v>21</v>
      </c>
      <c r="E2098" s="1" t="s">
        <v>2015</v>
      </c>
      <c r="F2098" s="1" t="s">
        <v>2016</v>
      </c>
      <c r="G2098" s="1" t="s">
        <v>84</v>
      </c>
      <c r="H2098" s="1" t="s">
        <v>896</v>
      </c>
      <c r="I2098" s="1" t="s">
        <v>230</v>
      </c>
      <c r="J2098" s="1" t="s">
        <v>87</v>
      </c>
      <c r="K2098" s="1" t="s">
        <v>3008</v>
      </c>
      <c r="L2098" s="1" t="s">
        <v>29</v>
      </c>
      <c r="M2098" s="1" t="s">
        <v>34</v>
      </c>
      <c r="N2098" s="1" t="s">
        <v>3009</v>
      </c>
      <c r="O2098">
        <v>403.56</v>
      </c>
      <c r="P2098">
        <v>4</v>
      </c>
      <c r="Q2098">
        <v>96.854399999999998</v>
      </c>
      <c r="R2098" s="1" t="s">
        <v>4420</v>
      </c>
      <c r="S2098">
        <v>2016</v>
      </c>
      <c r="T2098" s="1" t="s">
        <v>66</v>
      </c>
    </row>
    <row r="2099" spans="1:20" x14ac:dyDescent="0.25">
      <c r="A2099" s="1" t="s">
        <v>4371</v>
      </c>
      <c r="B2099" s="2">
        <v>42576</v>
      </c>
      <c r="C2099" s="2">
        <v>42579</v>
      </c>
      <c r="D2099" s="1" t="s">
        <v>21</v>
      </c>
      <c r="E2099" s="1" t="s">
        <v>2015</v>
      </c>
      <c r="F2099" s="1" t="s">
        <v>2016</v>
      </c>
      <c r="G2099" s="1" t="s">
        <v>84</v>
      </c>
      <c r="H2099" s="1" t="s">
        <v>896</v>
      </c>
      <c r="I2099" s="1" t="s">
        <v>230</v>
      </c>
      <c r="J2099" s="1" t="s">
        <v>87</v>
      </c>
      <c r="K2099" s="1" t="s">
        <v>375</v>
      </c>
      <c r="L2099" s="1" t="s">
        <v>29</v>
      </c>
      <c r="M2099" s="1" t="s">
        <v>53</v>
      </c>
      <c r="N2099" s="1" t="s">
        <v>376</v>
      </c>
      <c r="O2099">
        <v>95.2</v>
      </c>
      <c r="P2099">
        <v>5</v>
      </c>
      <c r="Q2099">
        <v>27.608000000000001</v>
      </c>
      <c r="R2099" s="1" t="s">
        <v>4420</v>
      </c>
      <c r="S2099">
        <v>2016</v>
      </c>
      <c r="T2099" s="1" t="s">
        <v>66</v>
      </c>
    </row>
    <row r="2100" spans="1:20" x14ac:dyDescent="0.25">
      <c r="A2100" s="1" t="s">
        <v>4372</v>
      </c>
      <c r="B2100" s="2">
        <v>42527</v>
      </c>
      <c r="C2100" s="2">
        <v>42531</v>
      </c>
      <c r="D2100" s="1" t="s">
        <v>37</v>
      </c>
      <c r="E2100" s="1" t="s">
        <v>3976</v>
      </c>
      <c r="F2100" s="1" t="s">
        <v>3977</v>
      </c>
      <c r="G2100" s="1" t="s">
        <v>24</v>
      </c>
      <c r="H2100" s="1" t="s">
        <v>1571</v>
      </c>
      <c r="I2100" s="1" t="s">
        <v>223</v>
      </c>
      <c r="J2100" s="1" t="s">
        <v>63</v>
      </c>
      <c r="K2100" s="1" t="s">
        <v>781</v>
      </c>
      <c r="L2100" s="1" t="s">
        <v>29</v>
      </c>
      <c r="M2100" s="1" t="s">
        <v>53</v>
      </c>
      <c r="N2100" s="1" t="s">
        <v>782</v>
      </c>
      <c r="O2100">
        <v>466.32</v>
      </c>
      <c r="P2100">
        <v>3</v>
      </c>
      <c r="Q2100">
        <v>34.973999999999997</v>
      </c>
      <c r="R2100" s="1" t="s">
        <v>4424</v>
      </c>
      <c r="S2100">
        <v>2016</v>
      </c>
      <c r="T2100" s="1" t="s">
        <v>55</v>
      </c>
    </row>
    <row r="2101" spans="1:20" x14ac:dyDescent="0.25">
      <c r="A2101" s="1" t="s">
        <v>4372</v>
      </c>
      <c r="B2101" s="2">
        <v>42527</v>
      </c>
      <c r="C2101" s="2">
        <v>42531</v>
      </c>
      <c r="D2101" s="1" t="s">
        <v>37</v>
      </c>
      <c r="E2101" s="1" t="s">
        <v>3976</v>
      </c>
      <c r="F2101" s="1" t="s">
        <v>3977</v>
      </c>
      <c r="G2101" s="1" t="s">
        <v>24</v>
      </c>
      <c r="H2101" s="1" t="s">
        <v>1571</v>
      </c>
      <c r="I2101" s="1" t="s">
        <v>223</v>
      </c>
      <c r="J2101" s="1" t="s">
        <v>63</v>
      </c>
      <c r="K2101" s="1" t="s">
        <v>2964</v>
      </c>
      <c r="L2101" s="1" t="s">
        <v>29</v>
      </c>
      <c r="M2101" s="1" t="s">
        <v>53</v>
      </c>
      <c r="N2101" s="1" t="s">
        <v>2965</v>
      </c>
      <c r="O2101">
        <v>82.64</v>
      </c>
      <c r="P2101">
        <v>2</v>
      </c>
      <c r="Q2101">
        <v>0</v>
      </c>
      <c r="R2101" s="1" t="s">
        <v>4424</v>
      </c>
      <c r="S2101">
        <v>2016</v>
      </c>
      <c r="T2101" s="1" t="s">
        <v>55</v>
      </c>
    </row>
    <row r="2102" spans="1:20" x14ac:dyDescent="0.25">
      <c r="A2102" s="1" t="s">
        <v>4373</v>
      </c>
      <c r="B2102" s="2">
        <v>41726</v>
      </c>
      <c r="C2102" s="2">
        <v>41732</v>
      </c>
      <c r="D2102" s="1" t="s">
        <v>37</v>
      </c>
      <c r="E2102" s="1" t="s">
        <v>1342</v>
      </c>
      <c r="F2102" s="1" t="s">
        <v>1343</v>
      </c>
      <c r="G2102" s="1" t="s">
        <v>94</v>
      </c>
      <c r="H2102" s="1" t="s">
        <v>869</v>
      </c>
      <c r="I2102" s="1" t="s">
        <v>223</v>
      </c>
      <c r="J2102" s="1" t="s">
        <v>63</v>
      </c>
      <c r="K2102" s="1" t="s">
        <v>742</v>
      </c>
      <c r="L2102" s="1" t="s">
        <v>29</v>
      </c>
      <c r="M2102" s="1" t="s">
        <v>43</v>
      </c>
      <c r="N2102" s="1" t="s">
        <v>743</v>
      </c>
      <c r="O2102">
        <v>330.58800000000002</v>
      </c>
      <c r="P2102">
        <v>1</v>
      </c>
      <c r="Q2102">
        <v>-143.25479999999999</v>
      </c>
      <c r="R2102" s="1" t="s">
        <v>4426</v>
      </c>
      <c r="S2102">
        <v>2014</v>
      </c>
      <c r="T2102" s="1" t="s">
        <v>187</v>
      </c>
    </row>
    <row r="2103" spans="1:20" x14ac:dyDescent="0.25">
      <c r="A2103" s="1" t="s">
        <v>4374</v>
      </c>
      <c r="B2103" s="2">
        <v>42968</v>
      </c>
      <c r="C2103" s="2">
        <v>42972</v>
      </c>
      <c r="D2103" s="1" t="s">
        <v>37</v>
      </c>
      <c r="E2103" s="1" t="s">
        <v>4375</v>
      </c>
      <c r="F2103" s="1" t="s">
        <v>4376</v>
      </c>
      <c r="G2103" s="1" t="s">
        <v>24</v>
      </c>
      <c r="H2103" s="1" t="s">
        <v>856</v>
      </c>
      <c r="I2103" s="1" t="s">
        <v>172</v>
      </c>
      <c r="J2103" s="1" t="s">
        <v>51</v>
      </c>
      <c r="K2103" s="1" t="s">
        <v>1586</v>
      </c>
      <c r="L2103" s="1" t="s">
        <v>29</v>
      </c>
      <c r="M2103" s="1" t="s">
        <v>53</v>
      </c>
      <c r="N2103" s="1" t="s">
        <v>1587</v>
      </c>
      <c r="O2103">
        <v>22.751999999999999</v>
      </c>
      <c r="P2103">
        <v>3</v>
      </c>
      <c r="Q2103">
        <v>7.11</v>
      </c>
      <c r="R2103" s="1" t="s">
        <v>4424</v>
      </c>
      <c r="S2103">
        <v>2017</v>
      </c>
      <c r="T2103" s="1" t="s">
        <v>245</v>
      </c>
    </row>
    <row r="2104" spans="1:20" x14ac:dyDescent="0.25">
      <c r="A2104" s="1" t="s">
        <v>4377</v>
      </c>
      <c r="B2104" s="2">
        <v>41955</v>
      </c>
      <c r="C2104" s="2">
        <v>41961</v>
      </c>
      <c r="D2104" s="1" t="s">
        <v>37</v>
      </c>
      <c r="E2104" s="1" t="s">
        <v>101</v>
      </c>
      <c r="F2104" s="1" t="s">
        <v>102</v>
      </c>
      <c r="G2104" s="1" t="s">
        <v>24</v>
      </c>
      <c r="H2104" s="1" t="s">
        <v>1380</v>
      </c>
      <c r="I2104" s="1" t="s">
        <v>86</v>
      </c>
      <c r="J2104" s="1" t="s">
        <v>87</v>
      </c>
      <c r="K2104" s="1" t="s">
        <v>1969</v>
      </c>
      <c r="L2104" s="1" t="s">
        <v>29</v>
      </c>
      <c r="M2104" s="1" t="s">
        <v>53</v>
      </c>
      <c r="N2104" s="1" t="s">
        <v>1970</v>
      </c>
      <c r="O2104">
        <v>25.128</v>
      </c>
      <c r="P2104">
        <v>3</v>
      </c>
      <c r="Q2104">
        <v>-6.9101999999999997</v>
      </c>
      <c r="R2104" s="1" t="s">
        <v>4426</v>
      </c>
      <c r="S2104">
        <v>2014</v>
      </c>
      <c r="T2104" s="1" t="s">
        <v>32</v>
      </c>
    </row>
    <row r="2105" spans="1:20" x14ac:dyDescent="0.25">
      <c r="A2105" s="1" t="s">
        <v>4378</v>
      </c>
      <c r="B2105" s="2">
        <v>42260</v>
      </c>
      <c r="C2105" s="2">
        <v>42262</v>
      </c>
      <c r="D2105" s="1" t="s">
        <v>81</v>
      </c>
      <c r="E2105" s="1" t="s">
        <v>1937</v>
      </c>
      <c r="F2105" s="1" t="s">
        <v>1938</v>
      </c>
      <c r="G2105" s="1" t="s">
        <v>84</v>
      </c>
      <c r="H2105" s="1" t="s">
        <v>3038</v>
      </c>
      <c r="I2105" s="1" t="s">
        <v>50</v>
      </c>
      <c r="J2105" s="1" t="s">
        <v>51</v>
      </c>
      <c r="K2105" s="1" t="s">
        <v>1533</v>
      </c>
      <c r="L2105" s="1" t="s">
        <v>29</v>
      </c>
      <c r="M2105" s="1" t="s">
        <v>53</v>
      </c>
      <c r="N2105" s="1" t="s">
        <v>1534</v>
      </c>
      <c r="O2105">
        <v>131.88</v>
      </c>
      <c r="P2105">
        <v>7</v>
      </c>
      <c r="Q2105">
        <v>55.389600000000002</v>
      </c>
      <c r="R2105" s="1" t="s">
        <v>4423</v>
      </c>
      <c r="S2105">
        <v>2015</v>
      </c>
      <c r="T2105" s="1" t="s">
        <v>72</v>
      </c>
    </row>
    <row r="2106" spans="1:20" x14ac:dyDescent="0.25">
      <c r="A2106" s="1" t="s">
        <v>4378</v>
      </c>
      <c r="B2106" s="2">
        <v>42260</v>
      </c>
      <c r="C2106" s="2">
        <v>42262</v>
      </c>
      <c r="D2106" s="1" t="s">
        <v>81</v>
      </c>
      <c r="E2106" s="1" t="s">
        <v>1937</v>
      </c>
      <c r="F2106" s="1" t="s">
        <v>1938</v>
      </c>
      <c r="G2106" s="1" t="s">
        <v>84</v>
      </c>
      <c r="H2106" s="1" t="s">
        <v>3038</v>
      </c>
      <c r="I2106" s="1" t="s">
        <v>50</v>
      </c>
      <c r="J2106" s="1" t="s">
        <v>51</v>
      </c>
      <c r="K2106" s="1" t="s">
        <v>1576</v>
      </c>
      <c r="L2106" s="1" t="s">
        <v>29</v>
      </c>
      <c r="M2106" s="1" t="s">
        <v>34</v>
      </c>
      <c r="N2106" s="1" t="s">
        <v>1577</v>
      </c>
      <c r="O2106">
        <v>717.72</v>
      </c>
      <c r="P2106">
        <v>3</v>
      </c>
      <c r="Q2106">
        <v>71.772000000000006</v>
      </c>
      <c r="R2106" s="1" t="s">
        <v>4423</v>
      </c>
      <c r="S2106">
        <v>2015</v>
      </c>
      <c r="T2106" s="1" t="s">
        <v>72</v>
      </c>
    </row>
    <row r="2107" spans="1:20" x14ac:dyDescent="0.25">
      <c r="A2107" s="1" t="s">
        <v>4378</v>
      </c>
      <c r="B2107" s="2">
        <v>42260</v>
      </c>
      <c r="C2107" s="2">
        <v>42262</v>
      </c>
      <c r="D2107" s="1" t="s">
        <v>81</v>
      </c>
      <c r="E2107" s="1" t="s">
        <v>1937</v>
      </c>
      <c r="F2107" s="1" t="s">
        <v>1938</v>
      </c>
      <c r="G2107" s="1" t="s">
        <v>84</v>
      </c>
      <c r="H2107" s="1" t="s">
        <v>3038</v>
      </c>
      <c r="I2107" s="1" t="s">
        <v>50</v>
      </c>
      <c r="J2107" s="1" t="s">
        <v>51</v>
      </c>
      <c r="K2107" s="1" t="s">
        <v>2282</v>
      </c>
      <c r="L2107" s="1" t="s">
        <v>29</v>
      </c>
      <c r="M2107" s="1" t="s">
        <v>53</v>
      </c>
      <c r="N2107" s="1" t="s">
        <v>2283</v>
      </c>
      <c r="O2107">
        <v>207.35</v>
      </c>
      <c r="P2107">
        <v>5</v>
      </c>
      <c r="Q2107">
        <v>24.882000000000001</v>
      </c>
      <c r="R2107" s="1" t="s">
        <v>4423</v>
      </c>
      <c r="S2107">
        <v>2015</v>
      </c>
      <c r="T2107" s="1" t="s">
        <v>72</v>
      </c>
    </row>
    <row r="2108" spans="1:20" x14ac:dyDescent="0.25">
      <c r="A2108" s="1" t="s">
        <v>4378</v>
      </c>
      <c r="B2108" s="2">
        <v>42260</v>
      </c>
      <c r="C2108" s="2">
        <v>42262</v>
      </c>
      <c r="D2108" s="1" t="s">
        <v>81</v>
      </c>
      <c r="E2108" s="1" t="s">
        <v>1937</v>
      </c>
      <c r="F2108" s="1" t="s">
        <v>1938</v>
      </c>
      <c r="G2108" s="1" t="s">
        <v>84</v>
      </c>
      <c r="H2108" s="1" t="s">
        <v>3038</v>
      </c>
      <c r="I2108" s="1" t="s">
        <v>50</v>
      </c>
      <c r="J2108" s="1" t="s">
        <v>51</v>
      </c>
      <c r="K2108" s="1" t="s">
        <v>1195</v>
      </c>
      <c r="L2108" s="1" t="s">
        <v>29</v>
      </c>
      <c r="M2108" s="1" t="s">
        <v>53</v>
      </c>
      <c r="N2108" s="1" t="s">
        <v>1196</v>
      </c>
      <c r="O2108">
        <v>44.67</v>
      </c>
      <c r="P2108">
        <v>3</v>
      </c>
      <c r="Q2108">
        <v>12.0609</v>
      </c>
      <c r="R2108" s="1" t="s">
        <v>4423</v>
      </c>
      <c r="S2108">
        <v>2015</v>
      </c>
      <c r="T2108" s="1" t="s">
        <v>72</v>
      </c>
    </row>
    <row r="2109" spans="1:20" x14ac:dyDescent="0.25">
      <c r="A2109" s="1" t="s">
        <v>4379</v>
      </c>
      <c r="B2109" s="2">
        <v>42287</v>
      </c>
      <c r="C2109" s="2">
        <v>42289</v>
      </c>
      <c r="D2109" s="1" t="s">
        <v>81</v>
      </c>
      <c r="E2109" s="1" t="s">
        <v>3479</v>
      </c>
      <c r="F2109" s="1" t="s">
        <v>3480</v>
      </c>
      <c r="G2109" s="1" t="s">
        <v>84</v>
      </c>
      <c r="H2109" s="1" t="s">
        <v>4380</v>
      </c>
      <c r="I2109" s="1" t="s">
        <v>50</v>
      </c>
      <c r="J2109" s="1" t="s">
        <v>51</v>
      </c>
      <c r="K2109" s="1" t="s">
        <v>1841</v>
      </c>
      <c r="L2109" s="1" t="s">
        <v>29</v>
      </c>
      <c r="M2109" s="1" t="s">
        <v>34</v>
      </c>
      <c r="N2109" s="1" t="s">
        <v>1842</v>
      </c>
      <c r="O2109">
        <v>362.13600000000002</v>
      </c>
      <c r="P2109">
        <v>3</v>
      </c>
      <c r="Q2109">
        <v>-54.320399999999999</v>
      </c>
      <c r="R2109" s="1" t="s">
        <v>4423</v>
      </c>
      <c r="S2109">
        <v>2015</v>
      </c>
      <c r="T2109" s="1" t="s">
        <v>45</v>
      </c>
    </row>
    <row r="2110" spans="1:20" x14ac:dyDescent="0.25">
      <c r="A2110" s="1" t="s">
        <v>4381</v>
      </c>
      <c r="B2110" s="2">
        <v>42764</v>
      </c>
      <c r="C2110" s="2">
        <v>42766</v>
      </c>
      <c r="D2110" s="1" t="s">
        <v>21</v>
      </c>
      <c r="E2110" s="1" t="s">
        <v>1956</v>
      </c>
      <c r="F2110" s="1" t="s">
        <v>1957</v>
      </c>
      <c r="G2110" s="1" t="s">
        <v>24</v>
      </c>
      <c r="H2110" s="1" t="s">
        <v>1761</v>
      </c>
      <c r="I2110" s="1" t="s">
        <v>792</v>
      </c>
      <c r="J2110" s="1" t="s">
        <v>87</v>
      </c>
      <c r="K2110" s="1" t="s">
        <v>641</v>
      </c>
      <c r="L2110" s="1" t="s">
        <v>29</v>
      </c>
      <c r="M2110" s="1" t="s">
        <v>53</v>
      </c>
      <c r="N2110" s="1" t="s">
        <v>642</v>
      </c>
      <c r="O2110">
        <v>14.91</v>
      </c>
      <c r="P2110">
        <v>3</v>
      </c>
      <c r="Q2110">
        <v>4.6220999999999997</v>
      </c>
      <c r="R2110" s="1" t="s">
        <v>4423</v>
      </c>
      <c r="S2110">
        <v>2017</v>
      </c>
      <c r="T2110" s="1" t="s">
        <v>161</v>
      </c>
    </row>
    <row r="2111" spans="1:20" x14ac:dyDescent="0.25">
      <c r="A2111" s="1" t="s">
        <v>4382</v>
      </c>
      <c r="B2111" s="2">
        <v>42444</v>
      </c>
      <c r="C2111" s="2">
        <v>42448</v>
      </c>
      <c r="D2111" s="1" t="s">
        <v>37</v>
      </c>
      <c r="E2111" s="1" t="s">
        <v>2579</v>
      </c>
      <c r="F2111" s="1" t="s">
        <v>2580</v>
      </c>
      <c r="G2111" s="1" t="s">
        <v>84</v>
      </c>
      <c r="H2111" s="1" t="s">
        <v>4383</v>
      </c>
      <c r="I2111" s="1" t="s">
        <v>86</v>
      </c>
      <c r="J2111" s="1" t="s">
        <v>87</v>
      </c>
      <c r="K2111" s="1" t="s">
        <v>151</v>
      </c>
      <c r="L2111" s="1" t="s">
        <v>29</v>
      </c>
      <c r="M2111" s="1" t="s">
        <v>34</v>
      </c>
      <c r="N2111" s="1" t="s">
        <v>152</v>
      </c>
      <c r="O2111">
        <v>528.42999999999995</v>
      </c>
      <c r="P2111">
        <v>5</v>
      </c>
      <c r="Q2111">
        <v>-143.43100000000001</v>
      </c>
      <c r="R2111" s="1" t="s">
        <v>4424</v>
      </c>
      <c r="S2111">
        <v>2016</v>
      </c>
      <c r="T2111" s="1" t="s">
        <v>187</v>
      </c>
    </row>
    <row r="2112" spans="1:20" x14ac:dyDescent="0.25">
      <c r="A2112" s="1" t="s">
        <v>4384</v>
      </c>
      <c r="B2112" s="2">
        <v>42617</v>
      </c>
      <c r="C2112" s="2">
        <v>42617</v>
      </c>
      <c r="D2112" s="1" t="s">
        <v>417</v>
      </c>
      <c r="E2112" s="1" t="s">
        <v>4385</v>
      </c>
      <c r="F2112" s="1" t="s">
        <v>4386</v>
      </c>
      <c r="G2112" s="1" t="s">
        <v>24</v>
      </c>
      <c r="H2112" s="1" t="s">
        <v>320</v>
      </c>
      <c r="I2112" s="1" t="s">
        <v>50</v>
      </c>
      <c r="J2112" s="1" t="s">
        <v>51</v>
      </c>
      <c r="K2112" s="1" t="s">
        <v>141</v>
      </c>
      <c r="L2112" s="1" t="s">
        <v>29</v>
      </c>
      <c r="M2112" s="1" t="s">
        <v>53</v>
      </c>
      <c r="N2112" s="1" t="s">
        <v>142</v>
      </c>
      <c r="O2112">
        <v>24.27</v>
      </c>
      <c r="P2112">
        <v>3</v>
      </c>
      <c r="Q2112">
        <v>8.7371999999999996</v>
      </c>
      <c r="R2112" s="1" t="s">
        <v>4427</v>
      </c>
      <c r="S2112">
        <v>2016</v>
      </c>
      <c r="T2112" s="1" t="s">
        <v>72</v>
      </c>
    </row>
    <row r="2113" spans="1:20" x14ac:dyDescent="0.25">
      <c r="A2113" s="1" t="s">
        <v>4387</v>
      </c>
      <c r="B2113" s="2">
        <v>42321</v>
      </c>
      <c r="C2113" s="2">
        <v>42325</v>
      </c>
      <c r="D2113" s="1" t="s">
        <v>37</v>
      </c>
      <c r="E2113" s="1" t="s">
        <v>443</v>
      </c>
      <c r="F2113" s="1" t="s">
        <v>444</v>
      </c>
      <c r="G2113" s="1" t="s">
        <v>24</v>
      </c>
      <c r="H2113" s="1" t="s">
        <v>4388</v>
      </c>
      <c r="I2113" s="1" t="s">
        <v>50</v>
      </c>
      <c r="J2113" s="1" t="s">
        <v>51</v>
      </c>
      <c r="K2113" s="1" t="s">
        <v>1958</v>
      </c>
      <c r="L2113" s="1" t="s">
        <v>29</v>
      </c>
      <c r="M2113" s="1" t="s">
        <v>30</v>
      </c>
      <c r="N2113" s="1" t="s">
        <v>1959</v>
      </c>
      <c r="O2113">
        <v>683.33199999999999</v>
      </c>
      <c r="P2113">
        <v>4</v>
      </c>
      <c r="Q2113">
        <v>-40.195999999999998</v>
      </c>
      <c r="R2113" s="1" t="s">
        <v>4424</v>
      </c>
      <c r="S2113">
        <v>2015</v>
      </c>
      <c r="T2113" s="1" t="s">
        <v>32</v>
      </c>
    </row>
    <row r="2114" spans="1:20" x14ac:dyDescent="0.25">
      <c r="A2114" s="1" t="s">
        <v>4389</v>
      </c>
      <c r="B2114" s="2">
        <v>42524</v>
      </c>
      <c r="C2114" s="2">
        <v>42527</v>
      </c>
      <c r="D2114" s="1" t="s">
        <v>21</v>
      </c>
      <c r="E2114" s="1" t="s">
        <v>1832</v>
      </c>
      <c r="F2114" s="1" t="s">
        <v>1833</v>
      </c>
      <c r="G2114" s="1" t="s">
        <v>84</v>
      </c>
      <c r="H2114" s="1" t="s">
        <v>49</v>
      </c>
      <c r="I2114" s="1" t="s">
        <v>50</v>
      </c>
      <c r="J2114" s="1" t="s">
        <v>51</v>
      </c>
      <c r="K2114" s="1" t="s">
        <v>1240</v>
      </c>
      <c r="L2114" s="1" t="s">
        <v>29</v>
      </c>
      <c r="M2114" s="1" t="s">
        <v>43</v>
      </c>
      <c r="N2114" s="1" t="s">
        <v>1241</v>
      </c>
      <c r="O2114">
        <v>71.087999999999994</v>
      </c>
      <c r="P2114">
        <v>2</v>
      </c>
      <c r="Q2114">
        <v>-1.7771999999999999</v>
      </c>
      <c r="R2114" s="1" t="s">
        <v>4420</v>
      </c>
      <c r="S2114">
        <v>2016</v>
      </c>
      <c r="T2114" s="1" t="s">
        <v>55</v>
      </c>
    </row>
    <row r="2115" spans="1:20" x14ac:dyDescent="0.25">
      <c r="A2115" s="1" t="s">
        <v>4390</v>
      </c>
      <c r="B2115" s="2">
        <v>42716</v>
      </c>
      <c r="C2115" s="2">
        <v>42721</v>
      </c>
      <c r="D2115" s="1" t="s">
        <v>37</v>
      </c>
      <c r="E2115" s="1" t="s">
        <v>1029</v>
      </c>
      <c r="F2115" s="1" t="s">
        <v>1030</v>
      </c>
      <c r="G2115" s="1" t="s">
        <v>84</v>
      </c>
      <c r="H2115" s="1" t="s">
        <v>165</v>
      </c>
      <c r="I2115" s="1" t="s">
        <v>114</v>
      </c>
      <c r="J2115" s="1" t="s">
        <v>63</v>
      </c>
      <c r="K2115" s="1" t="s">
        <v>542</v>
      </c>
      <c r="L2115" s="1" t="s">
        <v>29</v>
      </c>
      <c r="M2115" s="1" t="s">
        <v>53</v>
      </c>
      <c r="N2115" s="1" t="s">
        <v>3116</v>
      </c>
      <c r="O2115">
        <v>60.35</v>
      </c>
      <c r="P2115">
        <v>5</v>
      </c>
      <c r="Q2115">
        <v>19.915500000000002</v>
      </c>
      <c r="R2115" s="1" t="s">
        <v>4422</v>
      </c>
      <c r="S2115">
        <v>2016</v>
      </c>
      <c r="T2115" s="1" t="s">
        <v>90</v>
      </c>
    </row>
    <row r="2116" spans="1:20" x14ac:dyDescent="0.25">
      <c r="A2116" s="1" t="s">
        <v>4391</v>
      </c>
      <c r="B2116" s="2">
        <v>42887</v>
      </c>
      <c r="C2116" s="2">
        <v>42889</v>
      </c>
      <c r="D2116" s="1" t="s">
        <v>21</v>
      </c>
      <c r="E2116" s="1" t="s">
        <v>819</v>
      </c>
      <c r="F2116" s="1" t="s">
        <v>820</v>
      </c>
      <c r="G2116" s="1" t="s">
        <v>84</v>
      </c>
      <c r="H2116" s="1" t="s">
        <v>4392</v>
      </c>
      <c r="I2116" s="1" t="s">
        <v>104</v>
      </c>
      <c r="J2116" s="1" t="s">
        <v>87</v>
      </c>
      <c r="K2116" s="1" t="s">
        <v>786</v>
      </c>
      <c r="L2116" s="1" t="s">
        <v>29</v>
      </c>
      <c r="M2116" s="1" t="s">
        <v>34</v>
      </c>
      <c r="N2116" s="1" t="s">
        <v>787</v>
      </c>
      <c r="O2116">
        <v>1925.88</v>
      </c>
      <c r="P2116">
        <v>6</v>
      </c>
      <c r="Q2116">
        <v>539.24639999999999</v>
      </c>
      <c r="R2116" s="1" t="s">
        <v>4423</v>
      </c>
      <c r="S2116">
        <v>2017</v>
      </c>
      <c r="T2116" s="1" t="s">
        <v>55</v>
      </c>
    </row>
    <row r="2117" spans="1:20" x14ac:dyDescent="0.25">
      <c r="A2117" s="1" t="s">
        <v>4393</v>
      </c>
      <c r="B2117" s="2">
        <v>42352</v>
      </c>
      <c r="C2117" s="2">
        <v>42354</v>
      </c>
      <c r="D2117" s="1" t="s">
        <v>21</v>
      </c>
      <c r="E2117" s="1" t="s">
        <v>3185</v>
      </c>
      <c r="F2117" s="1" t="s">
        <v>3186</v>
      </c>
      <c r="G2117" s="1" t="s">
        <v>84</v>
      </c>
      <c r="H2117" s="1" t="s">
        <v>49</v>
      </c>
      <c r="I2117" s="1" t="s">
        <v>50</v>
      </c>
      <c r="J2117" s="1" t="s">
        <v>51</v>
      </c>
      <c r="K2117" s="1" t="s">
        <v>1245</v>
      </c>
      <c r="L2117" s="1" t="s">
        <v>29</v>
      </c>
      <c r="M2117" s="1" t="s">
        <v>43</v>
      </c>
      <c r="N2117" s="1" t="s">
        <v>1246</v>
      </c>
      <c r="O2117">
        <v>273.56799999999998</v>
      </c>
      <c r="P2117">
        <v>2</v>
      </c>
      <c r="Q2117">
        <v>10.258800000000001</v>
      </c>
      <c r="R2117" s="1" t="s">
        <v>4423</v>
      </c>
      <c r="S2117">
        <v>2015</v>
      </c>
      <c r="T2117" s="1" t="s">
        <v>90</v>
      </c>
    </row>
    <row r="2118" spans="1:20" x14ac:dyDescent="0.25">
      <c r="A2118" s="1" t="s">
        <v>4394</v>
      </c>
      <c r="B2118" s="2">
        <v>42082</v>
      </c>
      <c r="C2118" s="2">
        <v>42085</v>
      </c>
      <c r="D2118" s="1" t="s">
        <v>81</v>
      </c>
      <c r="E2118" s="1" t="s">
        <v>1305</v>
      </c>
      <c r="F2118" s="1" t="s">
        <v>1306</v>
      </c>
      <c r="G2118" s="1" t="s">
        <v>94</v>
      </c>
      <c r="H2118" s="1" t="s">
        <v>95</v>
      </c>
      <c r="I2118" s="1" t="s">
        <v>86</v>
      </c>
      <c r="J2118" s="1" t="s">
        <v>87</v>
      </c>
      <c r="K2118" s="1" t="s">
        <v>2613</v>
      </c>
      <c r="L2118" s="1" t="s">
        <v>29</v>
      </c>
      <c r="M2118" s="1" t="s">
        <v>30</v>
      </c>
      <c r="N2118" s="1" t="s">
        <v>2614</v>
      </c>
      <c r="O2118">
        <v>383.46559999999999</v>
      </c>
      <c r="P2118">
        <v>4</v>
      </c>
      <c r="Q2118">
        <v>-67.670400000000001</v>
      </c>
      <c r="R2118" s="1" t="s">
        <v>4420</v>
      </c>
      <c r="S2118">
        <v>2015</v>
      </c>
      <c r="T2118" s="1" t="s">
        <v>187</v>
      </c>
    </row>
    <row r="2119" spans="1:20" x14ac:dyDescent="0.25">
      <c r="A2119" s="1" t="s">
        <v>4395</v>
      </c>
      <c r="B2119" s="2">
        <v>42709</v>
      </c>
      <c r="C2119" s="2">
        <v>42714</v>
      </c>
      <c r="D2119" s="1" t="s">
        <v>21</v>
      </c>
      <c r="E2119" s="1" t="s">
        <v>4019</v>
      </c>
      <c r="F2119" s="1" t="s">
        <v>4020</v>
      </c>
      <c r="G2119" s="1" t="s">
        <v>84</v>
      </c>
      <c r="H2119" s="1" t="s">
        <v>222</v>
      </c>
      <c r="I2119" s="1" t="s">
        <v>192</v>
      </c>
      <c r="J2119" s="1" t="s">
        <v>63</v>
      </c>
      <c r="K2119" s="1" t="s">
        <v>365</v>
      </c>
      <c r="L2119" s="1" t="s">
        <v>29</v>
      </c>
      <c r="M2119" s="1" t="s">
        <v>53</v>
      </c>
      <c r="N2119" s="1" t="s">
        <v>366</v>
      </c>
      <c r="O2119">
        <v>13.4</v>
      </c>
      <c r="P2119">
        <v>1</v>
      </c>
      <c r="Q2119">
        <v>6.4320000000000004</v>
      </c>
      <c r="R2119" s="1" t="s">
        <v>4422</v>
      </c>
      <c r="S2119">
        <v>2016</v>
      </c>
      <c r="T2119" s="1" t="s">
        <v>90</v>
      </c>
    </row>
    <row r="2120" spans="1:20" x14ac:dyDescent="0.25">
      <c r="A2120" s="1" t="s">
        <v>4396</v>
      </c>
      <c r="B2120" s="2">
        <v>42253</v>
      </c>
      <c r="C2120" s="2">
        <v>42256</v>
      </c>
      <c r="D2120" s="1" t="s">
        <v>21</v>
      </c>
      <c r="E2120" s="1" t="s">
        <v>1894</v>
      </c>
      <c r="F2120" s="1" t="s">
        <v>1895</v>
      </c>
      <c r="G2120" s="1" t="s">
        <v>24</v>
      </c>
      <c r="H2120" s="1" t="s">
        <v>1396</v>
      </c>
      <c r="I2120" s="1" t="s">
        <v>1397</v>
      </c>
      <c r="J2120" s="1" t="s">
        <v>27</v>
      </c>
      <c r="K2120" s="1" t="s">
        <v>1250</v>
      </c>
      <c r="L2120" s="1" t="s">
        <v>29</v>
      </c>
      <c r="M2120" s="1" t="s">
        <v>43</v>
      </c>
      <c r="N2120" s="1" t="s">
        <v>1054</v>
      </c>
      <c r="O2120">
        <v>85.98</v>
      </c>
      <c r="P2120">
        <v>1</v>
      </c>
      <c r="Q2120">
        <v>22.354800000000001</v>
      </c>
      <c r="R2120" s="1" t="s">
        <v>4420</v>
      </c>
      <c r="S2120">
        <v>2015</v>
      </c>
      <c r="T2120" s="1" t="s">
        <v>72</v>
      </c>
    </row>
    <row r="2121" spans="1:20" x14ac:dyDescent="0.25">
      <c r="A2121" s="1" t="s">
        <v>4397</v>
      </c>
      <c r="B2121" s="2">
        <v>41660</v>
      </c>
      <c r="C2121" s="2">
        <v>41662</v>
      </c>
      <c r="D2121" s="1" t="s">
        <v>21</v>
      </c>
      <c r="E2121" s="1" t="s">
        <v>2010</v>
      </c>
      <c r="F2121" s="1" t="s">
        <v>2011</v>
      </c>
      <c r="G2121" s="1" t="s">
        <v>24</v>
      </c>
      <c r="H2121" s="1" t="s">
        <v>997</v>
      </c>
      <c r="I2121" s="1" t="s">
        <v>41</v>
      </c>
      <c r="J2121" s="1" t="s">
        <v>27</v>
      </c>
      <c r="K2121" s="1" t="s">
        <v>1568</v>
      </c>
      <c r="L2121" s="1" t="s">
        <v>29</v>
      </c>
      <c r="M2121" s="1" t="s">
        <v>53</v>
      </c>
      <c r="N2121" s="1" t="s">
        <v>1569</v>
      </c>
      <c r="O2121">
        <v>25.248000000000001</v>
      </c>
      <c r="P2121">
        <v>3</v>
      </c>
      <c r="Q2121">
        <v>4.1028000000000002</v>
      </c>
      <c r="R2121" s="1" t="s">
        <v>4423</v>
      </c>
      <c r="S2121">
        <v>2014</v>
      </c>
      <c r="T2121" s="1" t="s">
        <v>161</v>
      </c>
    </row>
    <row r="2122" spans="1:20" x14ac:dyDescent="0.25">
      <c r="A2122" s="1" t="s">
        <v>4398</v>
      </c>
      <c r="B2122" s="2">
        <v>42792</v>
      </c>
      <c r="C2122" s="2">
        <v>42797</v>
      </c>
      <c r="D2122" s="1" t="s">
        <v>37</v>
      </c>
      <c r="E2122" s="1" t="s">
        <v>232</v>
      </c>
      <c r="F2122" s="1" t="s">
        <v>233</v>
      </c>
      <c r="G2122" s="1" t="s">
        <v>24</v>
      </c>
      <c r="H2122" s="1" t="s">
        <v>541</v>
      </c>
      <c r="I2122" s="1" t="s">
        <v>50</v>
      </c>
      <c r="J2122" s="1" t="s">
        <v>51</v>
      </c>
      <c r="K2122" s="1" t="s">
        <v>3279</v>
      </c>
      <c r="L2122" s="1" t="s">
        <v>29</v>
      </c>
      <c r="M2122" s="1" t="s">
        <v>53</v>
      </c>
      <c r="N2122" s="1" t="s">
        <v>3280</v>
      </c>
      <c r="O2122">
        <v>91.96</v>
      </c>
      <c r="P2122">
        <v>2</v>
      </c>
      <c r="Q2122">
        <v>15.6332</v>
      </c>
      <c r="R2122" s="1" t="s">
        <v>4422</v>
      </c>
      <c r="S2122">
        <v>2017</v>
      </c>
      <c r="T2122" s="1" t="s">
        <v>289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FE37-8FB7-42DC-AA43-72F75C14EA38}">
  <dimension ref="B3:M82"/>
  <sheetViews>
    <sheetView topLeftCell="A15" workbookViewId="0">
      <selection activeCell="G27" sqref="G27"/>
    </sheetView>
  </sheetViews>
  <sheetFormatPr defaultRowHeight="15" x14ac:dyDescent="0.25"/>
  <cols>
    <col min="2" max="2" width="15.5703125" bestFit="1" customWidth="1"/>
    <col min="3" max="3" width="12.5703125" bestFit="1" customWidth="1"/>
    <col min="4" max="5" width="12.7109375" bestFit="1" customWidth="1"/>
    <col min="7" max="7" width="14.42578125" bestFit="1" customWidth="1"/>
    <col min="8" max="8" width="17" bestFit="1" customWidth="1"/>
    <col min="9" max="9" width="12.5703125" bestFit="1" customWidth="1"/>
    <col min="10" max="11" width="7.5703125" bestFit="1" customWidth="1"/>
    <col min="12" max="12" width="11.28515625" bestFit="1" customWidth="1"/>
    <col min="13" max="13" width="10.28515625" bestFit="1" customWidth="1"/>
  </cols>
  <sheetData>
    <row r="3" spans="2:13" x14ac:dyDescent="0.25">
      <c r="B3" t="s">
        <v>4399</v>
      </c>
      <c r="C3" t="s">
        <v>4400</v>
      </c>
      <c r="D3" t="s">
        <v>4401</v>
      </c>
      <c r="H3" s="8" t="s">
        <v>4404</v>
      </c>
      <c r="I3" s="8"/>
      <c r="J3" s="8"/>
      <c r="K3" s="8"/>
      <c r="L3" s="8"/>
    </row>
    <row r="4" spans="2:13" x14ac:dyDescent="0.25">
      <c r="B4" s="1">
        <v>8028</v>
      </c>
      <c r="C4" s="1">
        <v>741999.79529999977</v>
      </c>
      <c r="D4" s="1">
        <v>18451.272799999999</v>
      </c>
      <c r="H4" t="s">
        <v>4405</v>
      </c>
      <c r="I4" t="s">
        <v>4409</v>
      </c>
      <c r="J4" t="s">
        <v>4410</v>
      </c>
      <c r="K4" t="s">
        <v>4411</v>
      </c>
      <c r="L4" t="s">
        <v>4412</v>
      </c>
    </row>
    <row r="5" spans="2:13" x14ac:dyDescent="0.25">
      <c r="H5" t="s">
        <v>4406</v>
      </c>
      <c r="I5" s="6">
        <f>C4</f>
        <v>741999.79529999977</v>
      </c>
      <c r="J5" s="6">
        <f>D10</f>
        <v>198901.43600000019</v>
      </c>
      <c r="K5" s="6">
        <f>D11</f>
        <v>215387.26920000004</v>
      </c>
      <c r="L5" s="5">
        <f>(K5-J5)/J5</f>
        <v>8.2884435283814811E-2</v>
      </c>
      <c r="M5" t="str">
        <f>IF(L5&gt;0, "▲","▼") &amp; TEXT(ABS(L5), "0%")&amp;" YoY"</f>
        <v>▲8% YoY</v>
      </c>
    </row>
    <row r="6" spans="2:13" x14ac:dyDescent="0.25">
      <c r="H6" t="s">
        <v>4407</v>
      </c>
      <c r="I6" s="6">
        <f>D4</f>
        <v>18451.272799999999</v>
      </c>
      <c r="J6" s="6">
        <f>E10</f>
        <v>6959.9530999999979</v>
      </c>
      <c r="K6" s="6">
        <f>E11</f>
        <v>3018.3912999999957</v>
      </c>
      <c r="L6" s="5">
        <f t="shared" ref="L6:L7" si="0">(K6-J6)/J6</f>
        <v>-0.56632016672641128</v>
      </c>
      <c r="M6" t="str">
        <f t="shared" ref="M6:M7" si="1">IF(L6&gt;0, "▲","▼") &amp; TEXT(ABS(L6), "0%")&amp;" YoY"</f>
        <v>▼57% YoY</v>
      </c>
    </row>
    <row r="7" spans="2:13" x14ac:dyDescent="0.25">
      <c r="B7" s="3" t="s">
        <v>4402</v>
      </c>
      <c r="C7" t="s">
        <v>4399</v>
      </c>
      <c r="D7" t="s">
        <v>4400</v>
      </c>
      <c r="E7" t="s">
        <v>4401</v>
      </c>
      <c r="H7" t="s">
        <v>4408</v>
      </c>
      <c r="I7" s="7">
        <f>B4</f>
        <v>8028</v>
      </c>
      <c r="J7" s="7">
        <f>C10</f>
        <v>2193</v>
      </c>
      <c r="K7" s="7">
        <f>C11</f>
        <v>2437</v>
      </c>
      <c r="L7" s="5">
        <f t="shared" si="0"/>
        <v>0.11126310989512084</v>
      </c>
      <c r="M7" t="str">
        <f t="shared" si="1"/>
        <v>▲11% YoY</v>
      </c>
    </row>
    <row r="8" spans="2:13" x14ac:dyDescent="0.25">
      <c r="B8" s="4">
        <v>2014</v>
      </c>
      <c r="C8" s="1">
        <v>1623</v>
      </c>
      <c r="D8" s="1">
        <v>157192.85310000001</v>
      </c>
      <c r="E8" s="1">
        <v>5457.7255000000059</v>
      </c>
    </row>
    <row r="9" spans="2:13" x14ac:dyDescent="0.25">
      <c r="B9" s="4">
        <v>2015</v>
      </c>
      <c r="C9" s="1">
        <v>1775</v>
      </c>
      <c r="D9" s="1">
        <v>170518.23700000011</v>
      </c>
      <c r="E9" s="1">
        <v>3015.2028999999993</v>
      </c>
    </row>
    <row r="10" spans="2:13" x14ac:dyDescent="0.25">
      <c r="B10" s="4">
        <v>2016</v>
      </c>
      <c r="C10" s="1">
        <v>2193</v>
      </c>
      <c r="D10" s="1">
        <v>198901.43600000019</v>
      </c>
      <c r="E10" s="1">
        <v>6959.9530999999979</v>
      </c>
    </row>
    <row r="11" spans="2:13" x14ac:dyDescent="0.25">
      <c r="B11" s="4">
        <v>2017</v>
      </c>
      <c r="C11" s="1">
        <v>2437</v>
      </c>
      <c r="D11" s="1">
        <v>215387.26920000004</v>
      </c>
      <c r="E11" s="1">
        <v>3018.3912999999957</v>
      </c>
      <c r="H11" t="s">
        <v>4414</v>
      </c>
    </row>
    <row r="12" spans="2:13" x14ac:dyDescent="0.25">
      <c r="B12" s="4" t="s">
        <v>4403</v>
      </c>
      <c r="C12" s="1">
        <v>8028</v>
      </c>
      <c r="D12" s="1">
        <v>741999.79530000035</v>
      </c>
      <c r="E12" s="1">
        <v>18451.272799999999</v>
      </c>
      <c r="H12" t="str">
        <f>"Top Selling Cities: "&amp;INDEX(H14:H18,MATCH(MAX(I14:I18),I14:I18,0))&amp; " ("&amp; TEXT(MAX(I14:I18), "$#,##" )&amp; ")"</f>
        <v>Top Selling Cities: New York City ($75,691)</v>
      </c>
      <c r="L12" t="s">
        <v>4415</v>
      </c>
    </row>
    <row r="13" spans="2:13" x14ac:dyDescent="0.25">
      <c r="H13" s="3" t="s">
        <v>4402</v>
      </c>
      <c r="I13" t="s">
        <v>4400</v>
      </c>
      <c r="L13">
        <f>MAX(K14:K18)*1.2</f>
        <v>90829.258800000011</v>
      </c>
    </row>
    <row r="14" spans="2:13" x14ac:dyDescent="0.25">
      <c r="B14" t="s">
        <v>4413</v>
      </c>
      <c r="H14" s="4" t="s">
        <v>165</v>
      </c>
      <c r="I14" s="6">
        <v>75691.049000000014</v>
      </c>
      <c r="J14" t="str" cm="1">
        <f t="array" ref="J14:K18">H14:I18</f>
        <v>New York City</v>
      </c>
      <c r="K14" s="6">
        <v>75691.049000000014</v>
      </c>
      <c r="L14" s="6">
        <f>$L$13-K14</f>
        <v>15138.209799999997</v>
      </c>
    </row>
    <row r="15" spans="2:13" x14ac:dyDescent="0.25">
      <c r="B15" t="str">
        <f>"Peak Sales Month: "&amp;INDEX(B17:B28,MATCH(MAX(C17:C28),C17:C28,0))&amp;" with "&amp;TEXT(MAX(C17:C28),"$#,##0") &amp; " in sales"</f>
        <v>Peak Sales Month: Dec with $121,818 in sales</v>
      </c>
      <c r="H15" s="4" t="s">
        <v>49</v>
      </c>
      <c r="I15" s="6">
        <v>54000.040999999976</v>
      </c>
      <c r="J15" t="str">
        <v>Los Angeles</v>
      </c>
      <c r="K15" s="6">
        <v>54000.040999999976</v>
      </c>
      <c r="L15" s="6">
        <f t="shared" ref="L15:L18" si="2">$L$13-K15</f>
        <v>36829.217800000035</v>
      </c>
    </row>
    <row r="16" spans="2:13" x14ac:dyDescent="0.25">
      <c r="B16" s="3" t="s">
        <v>4402</v>
      </c>
      <c r="C16" t="s">
        <v>4400</v>
      </c>
      <c r="H16" s="4" t="s">
        <v>183</v>
      </c>
      <c r="I16" s="6">
        <v>40995.877999999997</v>
      </c>
      <c r="J16" t="str">
        <v>Seattle</v>
      </c>
      <c r="K16" s="6">
        <v>40995.877999999997</v>
      </c>
      <c r="L16" s="6">
        <f t="shared" si="2"/>
        <v>49833.380800000014</v>
      </c>
    </row>
    <row r="17" spans="2:12" x14ac:dyDescent="0.25">
      <c r="B17" s="4" t="s">
        <v>161</v>
      </c>
      <c r="C17" s="6">
        <v>31569.241599999998</v>
      </c>
      <c r="H17" s="4" t="s">
        <v>61</v>
      </c>
      <c r="I17" s="6">
        <v>36495.541000000012</v>
      </c>
      <c r="J17" t="str">
        <v>Philadelphia</v>
      </c>
      <c r="K17" s="6">
        <v>36495.541000000012</v>
      </c>
      <c r="L17" s="6">
        <f t="shared" si="2"/>
        <v>54333.717799999999</v>
      </c>
    </row>
    <row r="18" spans="2:12" x14ac:dyDescent="0.25">
      <c r="B18" s="4" t="s">
        <v>289</v>
      </c>
      <c r="C18" s="6">
        <v>15765.920399999994</v>
      </c>
      <c r="H18" s="4" t="s">
        <v>320</v>
      </c>
      <c r="I18" s="6">
        <v>36357.307999999997</v>
      </c>
      <c r="J18" t="str">
        <v>San Francisco</v>
      </c>
      <c r="K18" s="6">
        <v>36357.307999999997</v>
      </c>
      <c r="L18" s="6">
        <f t="shared" si="2"/>
        <v>54471.950800000013</v>
      </c>
    </row>
    <row r="19" spans="2:12" x14ac:dyDescent="0.25">
      <c r="B19" s="4" t="s">
        <v>187</v>
      </c>
      <c r="C19" s="6">
        <v>50768.275799999996</v>
      </c>
      <c r="H19" s="4" t="s">
        <v>4403</v>
      </c>
      <c r="I19" s="6">
        <v>243539.81699999998</v>
      </c>
    </row>
    <row r="20" spans="2:12" x14ac:dyDescent="0.25">
      <c r="B20" s="4" t="s">
        <v>107</v>
      </c>
      <c r="C20" s="6">
        <v>40698.583600000013</v>
      </c>
    </row>
    <row r="21" spans="2:12" x14ac:dyDescent="0.25">
      <c r="B21" s="4" t="s">
        <v>153</v>
      </c>
      <c r="C21" s="6">
        <v>48365.130699999951</v>
      </c>
    </row>
    <row r="22" spans="2:12" x14ac:dyDescent="0.25">
      <c r="B22" s="4" t="s">
        <v>55</v>
      </c>
      <c r="C22" s="6">
        <v>52999.463299999974</v>
      </c>
    </row>
    <row r="23" spans="2:12" x14ac:dyDescent="0.25">
      <c r="B23" s="4" t="s">
        <v>66</v>
      </c>
      <c r="C23" s="6">
        <v>49377.011999999966</v>
      </c>
      <c r="G23" t="s">
        <v>4416</v>
      </c>
    </row>
    <row r="24" spans="2:12" x14ac:dyDescent="0.25">
      <c r="B24" s="4" t="s">
        <v>245</v>
      </c>
      <c r="C24" s="6">
        <v>44884.044999999991</v>
      </c>
      <c r="G24" t="str">
        <f>"Most orders " &amp; " ("&amp;TEXT(MAX(H26:H33), "0%")&amp; ")"&amp; " were delivered in " &amp; INDEX(G26:G33, MATCH(MAX(H26:H33),H26:H33, 0))</f>
        <v>Most orders  (28%) were delivered in 4- days</v>
      </c>
    </row>
    <row r="25" spans="2:12" x14ac:dyDescent="0.25">
      <c r="B25" s="4" t="s">
        <v>72</v>
      </c>
      <c r="C25" s="6">
        <v>106380.59069999997</v>
      </c>
      <c r="G25" s="3" t="s">
        <v>4402</v>
      </c>
      <c r="H25" t="s">
        <v>4417</v>
      </c>
    </row>
    <row r="26" spans="2:12" x14ac:dyDescent="0.25">
      <c r="B26" s="4" t="s">
        <v>45</v>
      </c>
      <c r="C26" s="6">
        <v>58087.515699999982</v>
      </c>
      <c r="G26" s="4" t="s">
        <v>4427</v>
      </c>
      <c r="H26" s="9">
        <v>5.469118340405469E-2</v>
      </c>
    </row>
    <row r="27" spans="2:12" x14ac:dyDescent="0.25">
      <c r="B27" s="4" t="s">
        <v>32</v>
      </c>
      <c r="C27" s="6">
        <v>121286.04899999996</v>
      </c>
      <c r="G27" s="4" t="s">
        <v>4425</v>
      </c>
      <c r="H27" s="9">
        <v>3.6303630363036306E-2</v>
      </c>
    </row>
    <row r="28" spans="2:12" x14ac:dyDescent="0.25">
      <c r="B28" s="4" t="s">
        <v>90</v>
      </c>
      <c r="C28" s="6">
        <v>121817.96749999993</v>
      </c>
      <c r="G28" s="4" t="s">
        <v>4423</v>
      </c>
      <c r="H28" s="9">
        <v>0.14615747289014616</v>
      </c>
    </row>
    <row r="29" spans="2:12" x14ac:dyDescent="0.25">
      <c r="B29" s="4" t="s">
        <v>4403</v>
      </c>
      <c r="C29" s="6">
        <v>741999.79529999977</v>
      </c>
      <c r="G29" s="4" t="s">
        <v>4420</v>
      </c>
      <c r="H29" s="9">
        <v>8.7694483734087697E-2</v>
      </c>
    </row>
    <row r="30" spans="2:12" x14ac:dyDescent="0.25">
      <c r="G30" s="4" t="s">
        <v>4424</v>
      </c>
      <c r="H30" s="9">
        <v>0.28335690711928335</v>
      </c>
    </row>
    <row r="31" spans="2:12" x14ac:dyDescent="0.25">
      <c r="G31" s="4" t="s">
        <v>4422</v>
      </c>
      <c r="H31" s="9">
        <v>0.2197076850542197</v>
      </c>
    </row>
    <row r="32" spans="2:12" x14ac:dyDescent="0.25">
      <c r="G32" s="4" t="s">
        <v>4426</v>
      </c>
      <c r="H32" s="9">
        <v>0.11126826968411127</v>
      </c>
    </row>
    <row r="33" spans="2:8" x14ac:dyDescent="0.25">
      <c r="B33" s="3" t="s">
        <v>4402</v>
      </c>
      <c r="C33" t="s">
        <v>4400</v>
      </c>
      <c r="D33" t="s">
        <v>8</v>
      </c>
      <c r="E33" t="s">
        <v>14</v>
      </c>
      <c r="G33" s="4" t="s">
        <v>4421</v>
      </c>
      <c r="H33" s="9">
        <v>6.0820367751060818E-2</v>
      </c>
    </row>
    <row r="34" spans="2:8" x14ac:dyDescent="0.25">
      <c r="B34" s="4" t="s">
        <v>1267</v>
      </c>
      <c r="C34" s="6">
        <v>6332.48</v>
      </c>
      <c r="D34" s="6" t="str" cm="1">
        <f t="array" ref="D34:E81">B34:C81</f>
        <v>Alabama</v>
      </c>
      <c r="E34" s="6">
        <v>6332.48</v>
      </c>
      <c r="G34" s="4" t="s">
        <v>4403</v>
      </c>
      <c r="H34" s="9">
        <v>1</v>
      </c>
    </row>
    <row r="35" spans="2:8" x14ac:dyDescent="0.25">
      <c r="B35" s="4" t="s">
        <v>511</v>
      </c>
      <c r="C35" s="6">
        <v>13525.291000000001</v>
      </c>
      <c r="D35" s="6" t="str">
        <v>Arizona</v>
      </c>
      <c r="E35" s="6">
        <v>13525.291000000001</v>
      </c>
    </row>
    <row r="36" spans="2:8" x14ac:dyDescent="0.25">
      <c r="B36" s="4" t="s">
        <v>1049</v>
      </c>
      <c r="C36" s="6">
        <v>3187.55</v>
      </c>
      <c r="D36" s="6" t="str">
        <v>Arkansas</v>
      </c>
      <c r="E36" s="6">
        <v>3187.55</v>
      </c>
    </row>
    <row r="37" spans="2:8" x14ac:dyDescent="0.25">
      <c r="B37" s="4" t="s">
        <v>50</v>
      </c>
      <c r="C37" s="6">
        <v>156064.60149999999</v>
      </c>
      <c r="D37" s="6" t="str">
        <v>California</v>
      </c>
      <c r="E37" s="6">
        <v>156064.60149999999</v>
      </c>
      <c r="G37" t="s">
        <v>4418</v>
      </c>
    </row>
    <row r="38" spans="2:8" x14ac:dyDescent="0.25">
      <c r="B38" s="4" t="s">
        <v>172</v>
      </c>
      <c r="C38" s="6">
        <v>13243.037</v>
      </c>
      <c r="D38" s="6" t="str">
        <v>Colorado</v>
      </c>
      <c r="E38" s="6">
        <v>13243.037</v>
      </c>
      <c r="G38" t="str">
        <f>"Most orders" &amp; " ("&amp;TEXT(MAX(H40:H43), "0%")&amp; ")"&amp; " used " &amp; INDEX(G40:G43, MATCH(MAX(H40:H43),H40:H43, 0))</f>
        <v>Most orders (59%) used Standard Class</v>
      </c>
    </row>
    <row r="39" spans="2:8" x14ac:dyDescent="0.25">
      <c r="B39" s="4" t="s">
        <v>421</v>
      </c>
      <c r="C39" s="6">
        <v>5174.9870000000001</v>
      </c>
      <c r="D39" s="6" t="str">
        <v>Connecticut</v>
      </c>
      <c r="E39" s="6">
        <v>5174.9870000000001</v>
      </c>
      <c r="G39" s="3" t="s">
        <v>4402</v>
      </c>
      <c r="H39" t="s">
        <v>4417</v>
      </c>
    </row>
    <row r="40" spans="2:8" x14ac:dyDescent="0.25">
      <c r="B40" s="4" t="s">
        <v>192</v>
      </c>
      <c r="C40" s="6">
        <v>4759.3189999999995</v>
      </c>
      <c r="D40" s="6" t="str">
        <v>Delaware</v>
      </c>
      <c r="E40" s="6">
        <v>4759.3189999999995</v>
      </c>
      <c r="G40" s="4" t="s">
        <v>81</v>
      </c>
      <c r="H40" s="9">
        <v>0.15417256011315417</v>
      </c>
    </row>
    <row r="41" spans="2:8" x14ac:dyDescent="0.25">
      <c r="B41" s="4" t="s">
        <v>971</v>
      </c>
      <c r="C41" s="6">
        <v>1346.58</v>
      </c>
      <c r="D41" s="6" t="str">
        <v>District of Columbia</v>
      </c>
      <c r="E41" s="6">
        <v>1346.58</v>
      </c>
      <c r="G41" s="4" t="s">
        <v>417</v>
      </c>
      <c r="H41" s="9">
        <v>5.6105610561056105E-2</v>
      </c>
    </row>
    <row r="42" spans="2:8" x14ac:dyDescent="0.25">
      <c r="B42" s="4" t="s">
        <v>41</v>
      </c>
      <c r="C42" s="6">
        <v>22987.03799999999</v>
      </c>
      <c r="D42" s="6" t="str">
        <v>Florida</v>
      </c>
      <c r="E42" s="6">
        <v>22987.03799999999</v>
      </c>
      <c r="G42" s="4" t="s">
        <v>21</v>
      </c>
      <c r="H42" s="9">
        <v>0.20132013201320131</v>
      </c>
    </row>
    <row r="43" spans="2:8" x14ac:dyDescent="0.25">
      <c r="B43" s="4" t="s">
        <v>658</v>
      </c>
      <c r="C43" s="6">
        <v>8321.48</v>
      </c>
      <c r="D43" s="6" t="str">
        <v>Georgia</v>
      </c>
      <c r="E43" s="6">
        <v>8321.48</v>
      </c>
      <c r="G43" s="4" t="s">
        <v>37</v>
      </c>
      <c r="H43" s="9">
        <v>0.5884016973125884</v>
      </c>
    </row>
    <row r="44" spans="2:8" x14ac:dyDescent="0.25">
      <c r="B44" s="4" t="s">
        <v>2271</v>
      </c>
      <c r="C44" s="6">
        <v>2595.482</v>
      </c>
      <c r="D44" s="6" t="str">
        <v>Idaho</v>
      </c>
      <c r="E44" s="6">
        <v>2595.482</v>
      </c>
      <c r="G44" s="4" t="s">
        <v>4403</v>
      </c>
      <c r="H44" s="9">
        <v>1</v>
      </c>
    </row>
    <row r="45" spans="2:8" x14ac:dyDescent="0.25">
      <c r="B45" s="4" t="s">
        <v>126</v>
      </c>
      <c r="C45" s="6">
        <v>28274.522000000008</v>
      </c>
      <c r="D45" s="6" t="str">
        <v>Illinois</v>
      </c>
      <c r="E45" s="6">
        <v>28274.522000000008</v>
      </c>
    </row>
    <row r="46" spans="2:8" x14ac:dyDescent="0.25">
      <c r="B46" s="4" t="s">
        <v>104</v>
      </c>
      <c r="C46" s="6">
        <v>11496.71</v>
      </c>
      <c r="D46" s="6" t="str">
        <v>Indiana</v>
      </c>
      <c r="E46" s="6">
        <v>11496.71</v>
      </c>
    </row>
    <row r="47" spans="2:8" x14ac:dyDescent="0.25">
      <c r="B47" s="4" t="s">
        <v>792</v>
      </c>
      <c r="C47" s="6">
        <v>2642.3099999999995</v>
      </c>
      <c r="D47" s="6" t="str">
        <v>Iowa</v>
      </c>
      <c r="E47" s="6">
        <v>2642.3099999999995</v>
      </c>
      <c r="G47" s="4" t="s">
        <v>4419</v>
      </c>
    </row>
    <row r="48" spans="2:8" x14ac:dyDescent="0.25">
      <c r="B48" s="4" t="s">
        <v>3126</v>
      </c>
      <c r="C48" s="6">
        <v>111.12</v>
      </c>
      <c r="D48" s="6" t="str">
        <v>Kansas</v>
      </c>
      <c r="E48" s="6">
        <v>111.12</v>
      </c>
      <c r="G48" t="str">
        <f>"Highest Sales from Category: " &amp;INDEX(G50:G53, MATCH(MAX(H50:H53),H50:H53, 0))&amp; " ("&amp;TEXT(MAX(H50:H53), "$#,##0")&amp; ")"</f>
        <v>Highest Sales from Category: Chairs ($328,449)</v>
      </c>
    </row>
    <row r="49" spans="2:11" x14ac:dyDescent="0.25">
      <c r="B49" s="4" t="s">
        <v>26</v>
      </c>
      <c r="C49" s="6">
        <v>12126.84</v>
      </c>
      <c r="D49" s="6" t="str">
        <v>Kentucky</v>
      </c>
      <c r="E49" s="6">
        <v>12126.84</v>
      </c>
      <c r="G49" s="3" t="s">
        <v>4402</v>
      </c>
      <c r="H49" t="s">
        <v>4400</v>
      </c>
      <c r="K49" s="6">
        <f>MAX(J50:J53)*1.2</f>
        <v>394138.92360000091</v>
      </c>
    </row>
    <row r="50" spans="2:11" x14ac:dyDescent="0.25">
      <c r="B50" s="4" t="s">
        <v>1397</v>
      </c>
      <c r="C50" s="6">
        <v>2963.03</v>
      </c>
      <c r="D50" s="6" t="str">
        <v>Louisiana</v>
      </c>
      <c r="E50" s="6">
        <v>2963.03</v>
      </c>
      <c r="G50" s="4" t="s">
        <v>30</v>
      </c>
      <c r="H50" s="6">
        <v>114879.99629999997</v>
      </c>
      <c r="I50" t="str" cm="1">
        <f t="array" ref="I50:J53">G50:H53</f>
        <v>Bookcases</v>
      </c>
      <c r="J50" s="6">
        <v>114879.99629999997</v>
      </c>
      <c r="K50" s="6">
        <f>$K$49-J50</f>
        <v>279258.92730000091</v>
      </c>
    </row>
    <row r="51" spans="2:11" x14ac:dyDescent="0.25">
      <c r="B51" s="4" t="s">
        <v>1779</v>
      </c>
      <c r="C51" s="6">
        <v>109.48</v>
      </c>
      <c r="D51" s="6" t="str">
        <v>Maine</v>
      </c>
      <c r="E51" s="6">
        <v>109.48</v>
      </c>
      <c r="G51" s="4" t="s">
        <v>34</v>
      </c>
      <c r="H51" s="6">
        <v>328449.10300000076</v>
      </c>
      <c r="I51" t="str">
        <v>Chairs</v>
      </c>
      <c r="J51" s="6">
        <v>328449.10300000076</v>
      </c>
      <c r="K51" s="6">
        <f t="shared" ref="K51:K53" si="3">$K$49-J51</f>
        <v>65689.820600000152</v>
      </c>
    </row>
    <row r="52" spans="2:11" x14ac:dyDescent="0.25">
      <c r="B52" s="4" t="s">
        <v>1080</v>
      </c>
      <c r="C52" s="6">
        <v>9149.2529999999988</v>
      </c>
      <c r="D52" s="6" t="str">
        <v>Maryland</v>
      </c>
      <c r="E52" s="6">
        <v>9149.2529999999988</v>
      </c>
      <c r="G52" s="4" t="s">
        <v>53</v>
      </c>
      <c r="H52" s="6">
        <v>91705.164000000048</v>
      </c>
      <c r="I52" t="str">
        <v>Furnishings</v>
      </c>
      <c r="J52" s="6">
        <v>91705.164000000048</v>
      </c>
      <c r="K52" s="6">
        <f t="shared" si="3"/>
        <v>302433.75960000086</v>
      </c>
    </row>
    <row r="53" spans="2:11" x14ac:dyDescent="0.25">
      <c r="B53" s="4" t="s">
        <v>425</v>
      </c>
      <c r="C53" s="6">
        <v>10919.063999999997</v>
      </c>
      <c r="D53" s="6" t="str">
        <v>Massachusetts</v>
      </c>
      <c r="E53" s="6">
        <v>10919.063999999997</v>
      </c>
      <c r="G53" s="4" t="s">
        <v>43</v>
      </c>
      <c r="H53" s="6">
        <v>206965.53200000009</v>
      </c>
      <c r="I53" t="str">
        <v>Tables</v>
      </c>
      <c r="J53" s="6">
        <v>206965.53200000009</v>
      </c>
      <c r="K53" s="6">
        <f t="shared" si="3"/>
        <v>187173.39160000082</v>
      </c>
    </row>
    <row r="54" spans="2:11" x14ac:dyDescent="0.25">
      <c r="B54" s="4" t="s">
        <v>281</v>
      </c>
      <c r="C54" s="6">
        <v>22321.099999999995</v>
      </c>
      <c r="D54" s="6" t="str">
        <v>Michigan</v>
      </c>
      <c r="E54" s="6">
        <v>22321.099999999995</v>
      </c>
      <c r="G54" s="4" t="s">
        <v>4403</v>
      </c>
      <c r="H54" s="6">
        <v>741999.79530000081</v>
      </c>
    </row>
    <row r="55" spans="2:11" x14ac:dyDescent="0.25">
      <c r="B55" s="4" t="s">
        <v>158</v>
      </c>
      <c r="C55" s="6">
        <v>7611.35</v>
      </c>
      <c r="D55" s="6" t="str">
        <v>Minnesota</v>
      </c>
      <c r="E55" s="6">
        <v>7611.35</v>
      </c>
    </row>
    <row r="56" spans="2:11" x14ac:dyDescent="0.25">
      <c r="B56" s="4" t="s">
        <v>469</v>
      </c>
      <c r="C56" s="6">
        <v>4317.8499999999995</v>
      </c>
      <c r="D56" s="6" t="str">
        <v>Mississippi</v>
      </c>
      <c r="E56" s="6">
        <v>4317.8499999999995</v>
      </c>
      <c r="G56" s="4"/>
    </row>
    <row r="57" spans="2:11" x14ac:dyDescent="0.25">
      <c r="B57" s="4" t="s">
        <v>556</v>
      </c>
      <c r="C57" s="6">
        <v>2936.45</v>
      </c>
      <c r="D57" s="6" t="str">
        <v>Missouri</v>
      </c>
      <c r="E57" s="6">
        <v>2936.45</v>
      </c>
    </row>
    <row r="58" spans="2:11" x14ac:dyDescent="0.25">
      <c r="B58" s="4" t="s">
        <v>3692</v>
      </c>
      <c r="C58" s="6">
        <v>63.98</v>
      </c>
      <c r="D58" s="6" t="str">
        <v>Montana</v>
      </c>
      <c r="E58" s="6">
        <v>63.98</v>
      </c>
    </row>
    <row r="59" spans="2:11" x14ac:dyDescent="0.25">
      <c r="B59" s="4" t="s">
        <v>832</v>
      </c>
      <c r="C59" s="6">
        <v>1944.7</v>
      </c>
      <c r="D59" s="6" t="str">
        <v>Nebraska</v>
      </c>
      <c r="E59" s="6">
        <v>1944.7</v>
      </c>
    </row>
    <row r="60" spans="2:11" x14ac:dyDescent="0.25">
      <c r="B60" s="4" t="s">
        <v>1331</v>
      </c>
      <c r="C60" s="6">
        <v>4635.1720000000005</v>
      </c>
      <c r="D60" s="6" t="str">
        <v>Nevada</v>
      </c>
      <c r="E60" s="6">
        <v>4635.1720000000005</v>
      </c>
    </row>
    <row r="61" spans="2:11" x14ac:dyDescent="0.25">
      <c r="B61" s="4" t="s">
        <v>875</v>
      </c>
      <c r="C61" s="6">
        <v>1886.4739999999999</v>
      </c>
      <c r="D61" s="6" t="str">
        <v>New Hampshire</v>
      </c>
      <c r="E61" s="6">
        <v>1886.4739999999999</v>
      </c>
    </row>
    <row r="62" spans="2:11" x14ac:dyDescent="0.25">
      <c r="B62" s="4" t="s">
        <v>354</v>
      </c>
      <c r="C62" s="6">
        <v>6307.0419999999995</v>
      </c>
      <c r="D62" s="6" t="str">
        <v>New Jersey</v>
      </c>
      <c r="E62" s="6">
        <v>6307.0419999999995</v>
      </c>
    </row>
    <row r="63" spans="2:11" x14ac:dyDescent="0.25">
      <c r="B63" s="4" t="s">
        <v>1887</v>
      </c>
      <c r="C63" s="6">
        <v>1701.412</v>
      </c>
      <c r="D63" s="6" t="str">
        <v>New Mexico</v>
      </c>
      <c r="E63" s="6">
        <v>1701.412</v>
      </c>
    </row>
    <row r="64" spans="2:11" x14ac:dyDescent="0.25">
      <c r="B64" s="4" t="s">
        <v>114</v>
      </c>
      <c r="C64" s="6">
        <v>93372.728999999978</v>
      </c>
      <c r="D64" s="6" t="str">
        <v>New York</v>
      </c>
      <c r="E64" s="6">
        <v>93372.728999999978</v>
      </c>
    </row>
    <row r="65" spans="2:5" x14ac:dyDescent="0.25">
      <c r="B65" s="4" t="s">
        <v>1027</v>
      </c>
      <c r="C65" s="6">
        <v>15155.483999999999</v>
      </c>
      <c r="D65" s="6" t="str">
        <v>North Carolina</v>
      </c>
      <c r="E65" s="6">
        <v>15155.483999999999</v>
      </c>
    </row>
    <row r="66" spans="2:5" x14ac:dyDescent="0.25">
      <c r="B66" s="4" t="s">
        <v>223</v>
      </c>
      <c r="C66" s="6">
        <v>24199.144999999993</v>
      </c>
      <c r="D66" s="6" t="str">
        <v>Ohio</v>
      </c>
      <c r="E66" s="6">
        <v>24199.144999999993</v>
      </c>
    </row>
    <row r="67" spans="2:5" x14ac:dyDescent="0.25">
      <c r="B67" s="4" t="s">
        <v>1513</v>
      </c>
      <c r="C67" s="6">
        <v>8284.1</v>
      </c>
      <c r="D67" s="6" t="str">
        <v>Oklahoma</v>
      </c>
      <c r="E67" s="6">
        <v>8284.1</v>
      </c>
    </row>
    <row r="68" spans="2:5" x14ac:dyDescent="0.25">
      <c r="B68" s="4" t="s">
        <v>1508</v>
      </c>
      <c r="C68" s="6">
        <v>6338.1299999999992</v>
      </c>
      <c r="D68" s="6" t="str">
        <v>Oregon</v>
      </c>
      <c r="E68" s="6">
        <v>6338.1299999999992</v>
      </c>
    </row>
    <row r="69" spans="2:5" x14ac:dyDescent="0.25">
      <c r="B69" s="4" t="s">
        <v>62</v>
      </c>
      <c r="C69" s="6">
        <v>39354.931000000004</v>
      </c>
      <c r="D69" s="6" t="str">
        <v>Pennsylvania</v>
      </c>
      <c r="E69" s="6">
        <v>39354.931000000004</v>
      </c>
    </row>
    <row r="70" spans="2:5" x14ac:dyDescent="0.25">
      <c r="B70" s="4" t="s">
        <v>1636</v>
      </c>
      <c r="C70" s="6">
        <v>5918.7560000000003</v>
      </c>
      <c r="D70" s="6" t="str">
        <v>Rhode Island</v>
      </c>
      <c r="E70" s="6">
        <v>5918.7560000000003</v>
      </c>
    </row>
    <row r="71" spans="2:5" x14ac:dyDescent="0.25">
      <c r="B71" s="4" t="s">
        <v>150</v>
      </c>
      <c r="C71" s="6">
        <v>3078.25</v>
      </c>
      <c r="D71" s="6" t="str">
        <v>South Carolina</v>
      </c>
      <c r="E71" s="6">
        <v>3078.25</v>
      </c>
    </row>
    <row r="72" spans="2:5" x14ac:dyDescent="0.25">
      <c r="B72" s="4" t="s">
        <v>1817</v>
      </c>
      <c r="C72" s="6">
        <v>324.89999999999998</v>
      </c>
      <c r="D72" s="6" t="str">
        <v>South Dakota</v>
      </c>
      <c r="E72" s="6">
        <v>324.89999999999998</v>
      </c>
    </row>
    <row r="73" spans="2:5" x14ac:dyDescent="0.25">
      <c r="B73" s="4" t="s">
        <v>133</v>
      </c>
      <c r="C73" s="6">
        <v>13506.732</v>
      </c>
      <c r="D73" s="6" t="str">
        <v>Tennessee</v>
      </c>
      <c r="E73" s="6">
        <v>13506.732</v>
      </c>
    </row>
    <row r="74" spans="2:5" x14ac:dyDescent="0.25">
      <c r="B74" s="4" t="s">
        <v>86</v>
      </c>
      <c r="C74" s="6">
        <v>60593.291799999992</v>
      </c>
      <c r="D74" s="6" t="str">
        <v>Texas</v>
      </c>
      <c r="E74" s="6">
        <v>60593.291799999992</v>
      </c>
    </row>
    <row r="75" spans="2:5" x14ac:dyDescent="0.25">
      <c r="B75" s="4" t="s">
        <v>71</v>
      </c>
      <c r="C75" s="6">
        <v>4822.3499999999995</v>
      </c>
      <c r="D75" s="6" t="str">
        <v>Utah</v>
      </c>
      <c r="E75" s="6">
        <v>4822.3499999999995</v>
      </c>
    </row>
    <row r="76" spans="2:5" x14ac:dyDescent="0.25">
      <c r="B76" s="4" t="s">
        <v>3097</v>
      </c>
      <c r="C76" s="6">
        <v>5120.0999999999995</v>
      </c>
      <c r="D76" s="6" t="str">
        <v>Vermont</v>
      </c>
      <c r="E76" s="6">
        <v>5120.0999999999995</v>
      </c>
    </row>
    <row r="77" spans="2:5" x14ac:dyDescent="0.25">
      <c r="B77" s="4" t="s">
        <v>707</v>
      </c>
      <c r="C77" s="6">
        <v>25321.949999999993</v>
      </c>
      <c r="D77" s="6" t="str">
        <v>Virginia</v>
      </c>
      <c r="E77" s="6">
        <v>25321.949999999993</v>
      </c>
    </row>
    <row r="78" spans="2:5" x14ac:dyDescent="0.25">
      <c r="B78" s="4" t="s">
        <v>184</v>
      </c>
      <c r="C78" s="6">
        <v>48020.151999999973</v>
      </c>
      <c r="D78" s="6" t="str">
        <v>Washington</v>
      </c>
      <c r="E78" s="6">
        <v>48020.151999999973</v>
      </c>
    </row>
    <row r="79" spans="2:5" x14ac:dyDescent="0.25">
      <c r="B79" s="4" t="s">
        <v>4277</v>
      </c>
      <c r="C79" s="6">
        <v>673.34400000000005</v>
      </c>
      <c r="D79" s="6" t="str">
        <v>West Virginia</v>
      </c>
      <c r="E79" s="6">
        <v>673.34400000000005</v>
      </c>
    </row>
    <row r="80" spans="2:5" x14ac:dyDescent="0.25">
      <c r="B80" s="4" t="s">
        <v>230</v>
      </c>
      <c r="C80" s="6">
        <v>17256.609999999997</v>
      </c>
      <c r="D80" s="6" t="str">
        <v>Wisconsin</v>
      </c>
      <c r="E80" s="6">
        <v>17256.609999999997</v>
      </c>
    </row>
    <row r="81" spans="2:5" x14ac:dyDescent="0.25">
      <c r="B81" s="4" t="s">
        <v>3302</v>
      </c>
      <c r="C81" s="6">
        <v>1603.136</v>
      </c>
      <c r="D81" s="6" t="str">
        <v>Wyoming</v>
      </c>
      <c r="E81" s="6">
        <v>1603.136</v>
      </c>
    </row>
    <row r="82" spans="2:5" x14ac:dyDescent="0.25">
      <c r="B82" s="4" t="s">
        <v>4403</v>
      </c>
      <c r="C82" s="6">
        <v>741999.79530000011</v>
      </c>
    </row>
  </sheetData>
  <mergeCells count="1">
    <mergeCell ref="H3:L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9DAD-F488-4E02-B921-B4B4AD1D678B}">
  <dimension ref="A1"/>
  <sheetViews>
    <sheetView showGridLines="0" zoomScale="70" zoomScaleNormal="70" workbookViewId="0">
      <selection activeCell="N13" sqref="N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73DC7F-7FF6-440E-B93B-815B85C544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Furniture_Sales</vt:lpstr>
      <vt:lpstr>Analysis</vt:lpstr>
      <vt:lpstr>Visualization</vt:lpstr>
      <vt:lpstr>Profit</vt:lpstr>
      <vt:lpstr>Profityoy</vt:lpstr>
      <vt:lpstr>proft</vt:lpstr>
      <vt:lpstr>Quantity</vt:lpstr>
      <vt:lpstr>Quantityyoy</vt:lpstr>
      <vt:lpstr>qunatyty</vt:lpstr>
      <vt:lpstr>sale</vt:lpstr>
      <vt:lpstr>Sales</vt:lpstr>
      <vt:lpstr>Salesyoy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Okonkwo</dc:creator>
  <cp:lastModifiedBy>Emmanuel Okonkwo</cp:lastModifiedBy>
  <dcterms:created xsi:type="dcterms:W3CDTF">2026-08-20T09:58:47Z</dcterms:created>
  <dcterms:modified xsi:type="dcterms:W3CDTF">2026-08-20T18:11:30Z</dcterms:modified>
</cp:coreProperties>
</file>